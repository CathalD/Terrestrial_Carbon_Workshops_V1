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Instructions" sheetId="1" state="visible" r:id="rId1"/>
    <sheet xmlns:r="http://schemas.openxmlformats.org/officeDocument/2006/relationships" name="1. Plot &amp; Site Log" sheetId="2" state="visible" r:id="rId2"/>
    <sheet xmlns:r="http://schemas.openxmlformats.org/officeDocument/2006/relationships" name="2. Soil Data" sheetId="3" state="visible" r:id="rId3"/>
    <sheet xmlns:r="http://schemas.openxmlformats.org/officeDocument/2006/relationships" name="3. Root Biomass" sheetId="4" state="visible" r:id="rId4"/>
    <sheet xmlns:r="http://schemas.openxmlformats.org/officeDocument/2006/relationships" name="4. Vegetation Data" sheetId="5" state="visible" r:id="rId5"/>
    <sheet xmlns:r="http://schemas.openxmlformats.org/officeDocument/2006/relationships" name="5. Plot Summary" sheetId="6" state="visible" r:id="rId6"/>
    <sheet xmlns:r="http://schemas.openxmlformats.org/officeDocument/2006/relationships" name="6. Site Summary" sheetId="7" state="visible" r:id="rId7"/>
    <sheet xmlns:r="http://schemas.openxmlformats.org/officeDocument/2006/relationships" name="7. Settings" sheetId="8" state="visible" r:id="rId8"/>
    <sheet xmlns:r="http://schemas.openxmlformats.org/officeDocument/2006/relationships" name="8. Fill Me In" sheetId="9" state="visible" r:id="rId9"/>
    <sheet xmlns:r="http://schemas.openxmlformats.org/officeDocument/2006/relationships" name="R1. Reference" sheetId="10" state="visible" r:id="rId10"/>
  </sheets>
  <definedNames>
    <definedName name="CARBON_FRACTION_BIOMASS">'7. Settings'!$B$5</definedName>
    <definedName name="CARBON_FRACTION_ROOT">'7. Settings'!$B$6</definedName>
    <definedName name="CO2E_FACTOR">'7. Settings'!$B$7</definedName>
    <definedName name="SOIL_REPORTING_DEPTH_CM">'7. Settings'!$B$8</definedName>
    <definedName name="ROOTS_REMOVED_BEFORE_SOIL_C">'7. Settings'!$B$9</definedName>
    <definedName name="ROOT_SIEVE_MM">'7. Settings'!$B$10</definedName>
    <definedName name="ASH_CORRECTED">'7. Settings'!$B$11</definedName>
    <definedName name="ROOT_DRY_TEMP_C">'7. Settings'!$B$12</definedName>
    <definedName name="PEAK_SEASON_SAMPLED">'7. Settings'!$B$13</definedName>
    <definedName name="TREE_COVER_THRESHOLD_PCT">'7. Settings'!$B$14</definedName>
    <definedName name="SMALL_PLOT_AREA_M2">'7. Settings'!$B$15</definedName>
    <definedName name="MEDIUM_PLOT_AREA_M2">'7. Settings'!$B$16</definedName>
    <definedName name="LARGE_PLOT_AREA_M2">'7. Settings'!$B$17</definedName>
    <definedName name="TARGET_MARGIN_SOIL">'7. Settings'!$B$18</definedName>
    <definedName name="TARGET_MARGIN_ROOT">'7. Settings'!$B$19</definedName>
    <definedName name="TARGET_CONFIDENCE">'7. Settings'!$B$20</definedName>
    <definedName name="QC_BD_MIN">'7. Settings'!$B$21</definedName>
    <definedName name="QC_BD_MAX">'7. Settings'!$B$22</definedName>
    <definedName name="QC_CARBON_PCT_MAX">'7. Settings'!$B$23</definedName>
    <definedName name="QC_RECOVERY_MIN">'7. Settings'!$B$24</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4A3421"/>
      <sz val="14"/>
    </font>
    <font>
      <i val="1"/>
      <color rgb="00666666"/>
      <sz val="9"/>
    </font>
    <font>
      <b val="1"/>
      <color rgb="004A3421"/>
      <sz val="10"/>
    </font>
    <font>
      <sz val="10"/>
    </font>
    <font>
      <b val="1"/>
      <color rgb="009C4221"/>
      <sz val="10"/>
    </font>
    <font>
      <b val="1"/>
      <color rgb="00FFFFFF"/>
      <sz val="10"/>
    </font>
  </fonts>
  <fills count="9">
    <fill>
      <patternFill/>
    </fill>
    <fill>
      <patternFill patternType="gray125"/>
    </fill>
    <fill>
      <patternFill patternType="solid">
        <fgColor rgb="00E2EFDA"/>
      </patternFill>
    </fill>
    <fill>
      <patternFill patternType="solid">
        <fgColor rgb="00FFF2CC"/>
      </patternFill>
    </fill>
    <fill>
      <patternFill patternType="solid">
        <fgColor rgb="00DDEBF7"/>
      </patternFill>
    </fill>
    <fill>
      <patternFill patternType="solid">
        <fgColor rgb="00FBE2D5"/>
      </patternFill>
    </fill>
    <fill>
      <patternFill patternType="solid">
        <fgColor rgb="00EDEDED"/>
      </patternFill>
    </fill>
    <fill>
      <patternFill patternType="solid">
        <fgColor rgb="00FCE4E4"/>
      </patternFill>
    </fill>
    <fill>
      <patternFill patternType="solid">
        <fgColor rgb="004A342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0" fillId="0" borderId="0" applyAlignment="1" pivotButton="0" quotePrefix="0" xfId="0">
      <alignment vertical="top" wrapText="1"/>
    </xf>
    <xf numFmtId="0" fontId="3" fillId="2" borderId="0" applyAlignment="1" pivotButton="0" quotePrefix="0" xfId="0">
      <alignment vertical="center" wrapText="1"/>
    </xf>
    <xf numFmtId="0" fontId="4" fillId="3" borderId="1" pivotButton="0" quotePrefix="0" xfId="0"/>
    <xf numFmtId="0" fontId="4" fillId="4" borderId="1" pivotButton="0" quotePrefix="0" xfId="0"/>
    <xf numFmtId="0" fontId="4" fillId="5" borderId="1" pivotButton="0" quotePrefix="0" xfId="0"/>
    <xf numFmtId="0" fontId="4" fillId="6" borderId="1" pivotButton="0" quotePrefix="0" xfId="0"/>
    <xf numFmtId="0" fontId="4" fillId="2" borderId="1" pivotButton="0" quotePrefix="0" xfId="0"/>
    <xf numFmtId="0" fontId="4" fillId="7" borderId="1" pivotButton="0" quotePrefix="0" xfId="0"/>
    <xf numFmtId="0" fontId="3" fillId="5" borderId="0" applyAlignment="1" pivotButton="0" quotePrefix="0" xfId="0">
      <alignment vertical="center" wrapText="1"/>
    </xf>
    <xf numFmtId="0" fontId="5" fillId="0" borderId="0" pivotButton="0" quotePrefix="0" xfId="0"/>
    <xf numFmtId="0" fontId="6" fillId="8" borderId="1" applyAlignment="1" pivotButton="0" quotePrefix="0" xfId="0">
      <alignment horizontal="center" vertical="center"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5"/>
  <cols>
    <col width="26" customWidth="1" min="1" max="1"/>
    <col width="62" customWidth="1" min="2" max="2"/>
    <col width="22" customWidth="1" min="3" max="3"/>
    <col width="46" customWidth="1" min="4" max="4"/>
  </cols>
  <sheetData>
    <row r="1">
      <c r="A1" s="1" t="inlineStr">
        <is>
          <t>GRASSLAND CARBON CALCULATOR</t>
        </is>
      </c>
    </row>
    <row r="2" ht="32" customHeight="1">
      <c r="A2" s="2" t="inlineStr">
        <is>
          <t>WWF-Canada Carbon Measurement · Grassland Carbon Workshop</t>
        </is>
      </c>
    </row>
    <row r="4" ht="46" customHeight="1">
      <c r="A4" s="3" t="inlineStr">
        <is>
          <t>What this workbook does</t>
        </is>
      </c>
      <c r="B4" s="4" t="inlineStr">
        <is>
          <t>Turns soil cores, separated roots and clipped vegetation into a carbon stock in kg C/m², scales plots to sites and to your study area, and checks the precision you achieved against the target you set in Part 2.</t>
        </is>
      </c>
    </row>
    <row r="6" ht="20" customHeight="1">
      <c r="A6" s="5" t="inlineStr">
        <is>
          <t>COLOUR KEY</t>
        </is>
      </c>
    </row>
    <row r="7" ht="30" customHeight="1">
      <c r="A7" s="6" t="inlineStr">
        <is>
          <t>Yellow</t>
        </is>
      </c>
      <c r="B7" s="4" t="inlineStr">
        <is>
          <t>TYPE HERE — field measurements you record.</t>
        </is>
      </c>
    </row>
    <row r="8" ht="30" customHeight="1">
      <c r="A8" s="7" t="inlineStr">
        <is>
          <t>Blue</t>
        </is>
      </c>
      <c r="B8" s="4" t="inlineStr">
        <is>
          <t>TYPE HERE — lab results, once they come back.</t>
        </is>
      </c>
    </row>
    <row r="9" ht="46" customHeight="1">
      <c r="A9" s="8" t="inlineStr">
        <is>
          <t>Orange</t>
        </is>
      </c>
      <c r="B9" s="4" t="inlineStr">
        <is>
          <t>NEEDS YOUR INPUT — a value this workshop cannot supply. Every one has a working default and a flag that stays lit until you replace it. They are all listed on '8. Fill Me In'.</t>
        </is>
      </c>
    </row>
    <row r="10" ht="30" customHeight="1">
      <c r="A10" s="9" t="inlineStr">
        <is>
          <t>Grey</t>
        </is>
      </c>
      <c r="B10" s="4" t="inlineStr">
        <is>
          <t>Calculated for you. Do not type in grey cells.</t>
        </is>
      </c>
    </row>
    <row r="11" ht="30" customHeight="1">
      <c r="A11" s="10" t="inlineStr">
        <is>
          <t>Green</t>
        </is>
      </c>
      <c r="B11" s="4" t="inlineStr">
        <is>
          <t>Summary — calculated.</t>
        </is>
      </c>
    </row>
    <row r="12" ht="30" customHeight="1">
      <c r="A12" s="11" t="inlineStr">
        <is>
          <t>Red</t>
        </is>
      </c>
      <c r="B12" s="4" t="inlineStr">
        <is>
          <t>A QC flag. Read it; it is an instruction, not a decoration.</t>
        </is>
      </c>
    </row>
    <row r="14" ht="20" customHeight="1">
      <c r="A14" s="5" t="inlineStr">
        <is>
          <t>FILL THE TABS IN THIS ORDER — each one joins to the ones above it</t>
        </is>
      </c>
    </row>
    <row r="15" ht="30" customHeight="1">
      <c r="A15" s="3" t="inlineStr">
        <is>
          <t>1. Plot &amp; Site Log</t>
        </is>
      </c>
      <c r="B15" s="4" t="inlineStr">
        <is>
          <t>One row per plot. Everything keys to Plot ID, so fill this first.</t>
        </is>
      </c>
    </row>
    <row r="16" ht="30" customHeight="1">
      <c r="A16" s="3" t="inlineStr">
        <is>
          <t>2. Soil Data</t>
        </is>
      </c>
      <c r="B16" s="4" t="inlineStr">
        <is>
          <t>One row per depth increment per core. Joins on Plot ID and Core ID.</t>
        </is>
      </c>
    </row>
    <row r="17" ht="30" customHeight="1">
      <c r="A17" s="3" t="inlineStr">
        <is>
          <t>3. Root Biomass</t>
        </is>
      </c>
      <c r="B17" s="4" t="inlineStr">
        <is>
          <t>One row per increment per diameter class per live/dead state.</t>
        </is>
      </c>
    </row>
    <row r="18" ht="30" customHeight="1">
      <c r="A18" s="3" t="inlineStr">
        <is>
          <t>4. Vegetation Data</t>
        </is>
      </c>
      <c r="B18" s="4" t="inlineStr">
        <is>
          <t>One row per plot. Clip-and-weigh, shrubs, and tree carbon carried across from the Forests calculator.</t>
        </is>
      </c>
    </row>
    <row r="19" ht="30" customHeight="1">
      <c r="A19" s="3" t="inlineStr">
        <is>
          <t>5. Plot Summary</t>
        </is>
      </c>
      <c r="B19" s="4" t="inlineStr">
        <is>
          <t>Calculated. One row per plot.</t>
        </is>
      </c>
    </row>
    <row r="20" ht="30" customHeight="1">
      <c r="A20" s="3" t="inlineStr">
        <is>
          <t>6. Site Summary</t>
        </is>
      </c>
      <c r="B20" s="4" t="inlineStr">
        <is>
          <t>Calculated, except Site ID and site area. Soil and roots are checked against SEPARATE precision targets.</t>
        </is>
      </c>
    </row>
    <row r="21" ht="30" customHeight="1">
      <c r="A21" s="3" t="inlineStr">
        <is>
          <t>7. Settings</t>
        </is>
      </c>
      <c r="B21" s="4" t="inlineStr">
        <is>
          <t>Everything the workbook assumes. Orange rows need you.</t>
        </is>
      </c>
    </row>
    <row r="22" ht="30" customHeight="1">
      <c r="A22" s="3" t="inlineStr">
        <is>
          <t>8. Fill Me In</t>
        </is>
      </c>
      <c r="B22" s="4" t="inlineStr">
        <is>
          <t>Every orange cell in one list, with what happens if you leave it.</t>
        </is>
      </c>
    </row>
    <row r="23" ht="30" customHeight="1">
      <c r="A23" s="3" t="inlineStr">
        <is>
          <t>R1. Reference</t>
        </is>
      </c>
      <c r="B23" s="4" t="inlineStr">
        <is>
          <t>Lookup tables — carbon fractions, grassland types, the bulk-density basis question.</t>
        </is>
      </c>
    </row>
    <row r="25" ht="20" customHeight="1">
      <c r="A25" s="12" t="inlineStr">
        <is>
          <t>THREE THINGS THIS WORKBOOK WILL NOT LET YOU SKIP</t>
        </is>
      </c>
    </row>
    <row r="26" ht="58" customHeight="1">
      <c r="A26" s="13" t="inlineStr">
        <is>
          <t>Roots and soil carbon can be double counted</t>
        </is>
      </c>
      <c r="B26" s="4" t="inlineStr">
        <is>
          <t>Soil carbon analysis conventionally removes visible roots, but fine roots stay in the sample. If root carbon is then added to a soil stock that already contains it, the same carbon is counted twice. Set ROOTS_REMOVED_BEFORE_SOIL_C to say which you did.</t>
        </is>
      </c>
    </row>
    <row r="27" ht="58" customHeight="1">
      <c r="A27" s="13" t="inlineStr">
        <is>
          <t>30 cm is a floor, not a total</t>
        </is>
      </c>
      <c r="B27" s="4" t="inlineStr">
        <is>
          <t>Native grassland roots reach metres. A root total whose deepest increment is simply the bottom of the core is a MINIMUM, and the Plot Summary flags it as one.</t>
        </is>
      </c>
    </row>
    <row r="28" ht="58" customHeight="1">
      <c r="A28" s="13" t="inlineStr">
        <is>
          <t>A standing crop is not a stock</t>
        </is>
      </c>
      <c r="B28" s="4" t="inlineStr">
        <is>
          <t>Clipped vegetation grows from nothing each spring and is gone by autumn. It is reported in its own column and never merged into the soil figure.</t>
        </is>
      </c>
    </row>
  </sheetData>
  <mergeCells count="5">
    <mergeCell ref="A1:D1"/>
    <mergeCell ref="A6:D6"/>
    <mergeCell ref="A25:D25"/>
    <mergeCell ref="A2:D2"/>
    <mergeCell ref="A14:D1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64"/>
  <sheetViews>
    <sheetView workbookViewId="0">
      <pane ySplit="4" topLeftCell="A5" activePane="bottomLeft" state="frozen"/>
      <selection pane="bottomLeft" activeCell="A1" sqref="A1"/>
    </sheetView>
  </sheetViews>
  <sheetFormatPr baseColWidth="8" defaultRowHeight="15"/>
  <cols>
    <col width="12" customWidth="1" min="1" max="1"/>
    <col width="10" customWidth="1" min="2" max="2"/>
    <col width="12" customWidth="1" min="3" max="3"/>
    <col width="12" customWidth="1" min="4" max="4"/>
    <col width="22" customWidth="1" min="5" max="5"/>
    <col width="11" customWidth="1" min="6" max="6"/>
    <col width="11" customWidth="1" min="7" max="7"/>
    <col width="11" customWidth="1" min="8" max="8"/>
    <col width="10" customWidth="1" min="9" max="9"/>
    <col width="11" customWidth="1" min="10" max="10"/>
    <col width="18" customWidth="1" min="11" max="11"/>
    <col width="22" customWidth="1" min="12" max="12"/>
    <col width="14" customWidth="1" min="13" max="13"/>
    <col width="12" customWidth="1" min="14" max="14"/>
    <col width="18" customWidth="1" min="15" max="15"/>
    <col width="12" customWidth="1" min="16" max="16"/>
    <col width="14" customWidth="1" min="17" max="17"/>
    <col width="34" customWidth="1" min="18" max="18"/>
  </cols>
  <sheetData>
    <row r="1">
      <c r="A1" s="1" t="inlineStr">
        <is>
          <t>PLOT &amp; SITE LOG</t>
        </is>
      </c>
    </row>
    <row r="2" ht="32" customHeight="1">
      <c r="A2" s="2" t="inlineStr">
        <is>
          <t>ONE ROW PER PLOT. Fill this in first — everything joins to it on Plot ID. Management, grazing and fire are not optional context: they are the stratification variables, and they are what lets you post-stratify if your interval comes out wide.</t>
        </is>
      </c>
    </row>
    <row r="4" ht="46" customHeight="1">
      <c r="A4" s="14" t="inlineStr">
        <is>
          <t>Plot ID</t>
        </is>
      </c>
      <c r="B4" s="14" t="inlineStr">
        <is>
          <t>Site ID</t>
        </is>
      </c>
      <c r="C4" s="14" t="inlineStr">
        <is>
          <t>Study area</t>
        </is>
      </c>
      <c r="D4" s="14" t="inlineStr">
        <is>
          <t>Date</t>
        </is>
      </c>
      <c r="E4" s="14" t="inlineStr">
        <is>
          <t>Location</t>
        </is>
      </c>
      <c r="F4" s="14" t="inlineStr">
        <is>
          <t>Latitude</t>
        </is>
      </c>
      <c r="G4" s="14" t="inlineStr">
        <is>
          <t>Longitude</t>
        </is>
      </c>
      <c r="H4" s="14" t="inlineStr">
        <is>
          <t>GNSS accuracy (m)</t>
        </is>
      </c>
      <c r="I4" s="14" t="inlineStr">
        <is>
          <t>Datum</t>
        </is>
      </c>
      <c r="J4" s="14" t="inlineStr">
        <is>
          <t>Elevation (m)</t>
        </is>
      </c>
      <c r="K4" s="14" t="inlineStr">
        <is>
          <t>Grassland type</t>
        </is>
      </c>
      <c r="L4" s="14" t="inlineStr">
        <is>
          <t>Management</t>
        </is>
      </c>
      <c r="M4" s="14" t="inlineStr">
        <is>
          <t>Grazing regime</t>
        </is>
      </c>
      <c r="N4" s="14" t="inlineStr">
        <is>
          <t>Years since fire</t>
        </is>
      </c>
      <c r="O4" s="14" t="inlineStr">
        <is>
          <t>Native or seeded</t>
        </is>
      </c>
      <c r="P4" s="14" t="inlineStr">
        <is>
          <t>Canopy cover (%)</t>
        </is>
      </c>
      <c r="Q4" s="14" t="inlineStr">
        <is>
          <t>Slope position</t>
        </is>
      </c>
      <c r="R4" s="14" t="inlineStr">
        <is>
          <t>Notes</t>
        </is>
      </c>
    </row>
    <row r="5">
      <c r="A5" s="6" t="n"/>
      <c r="B5" s="6" t="n"/>
      <c r="C5" s="6" t="n"/>
      <c r="D5" s="6" t="n"/>
      <c r="E5" s="6" t="n"/>
      <c r="F5" s="6" t="n"/>
      <c r="G5" s="6" t="n"/>
      <c r="H5" s="6" t="n"/>
      <c r="I5" s="6" t="n"/>
      <c r="J5" s="6" t="n"/>
      <c r="K5" s="6" t="n"/>
      <c r="L5" s="6" t="n"/>
      <c r="M5" s="6" t="n"/>
      <c r="N5" s="6" t="n"/>
      <c r="O5" s="6" t="n"/>
      <c r="P5" s="6" t="n"/>
      <c r="Q5" s="6" t="n"/>
      <c r="R5" s="6" t="n"/>
    </row>
    <row r="6">
      <c r="A6" s="6" t="n"/>
      <c r="B6" s="6" t="n"/>
      <c r="C6" s="6" t="n"/>
      <c r="D6" s="6" t="n"/>
      <c r="E6" s="6" t="n"/>
      <c r="F6" s="6" t="n"/>
      <c r="G6" s="6" t="n"/>
      <c r="H6" s="6" t="n"/>
      <c r="I6" s="6" t="n"/>
      <c r="J6" s="6" t="n"/>
      <c r="K6" s="6" t="n"/>
      <c r="L6" s="6" t="n"/>
      <c r="M6" s="6" t="n"/>
      <c r="N6" s="6" t="n"/>
      <c r="O6" s="6" t="n"/>
      <c r="P6" s="6" t="n"/>
      <c r="Q6" s="6" t="n"/>
      <c r="R6" s="6" t="n"/>
    </row>
    <row r="7">
      <c r="A7" s="6" t="n"/>
      <c r="B7" s="6" t="n"/>
      <c r="C7" s="6" t="n"/>
      <c r="D7" s="6" t="n"/>
      <c r="E7" s="6" t="n"/>
      <c r="F7" s="6" t="n"/>
      <c r="G7" s="6" t="n"/>
      <c r="H7" s="6" t="n"/>
      <c r="I7" s="6" t="n"/>
      <c r="J7" s="6" t="n"/>
      <c r="K7" s="6" t="n"/>
      <c r="L7" s="6" t="n"/>
      <c r="M7" s="6" t="n"/>
      <c r="N7" s="6" t="n"/>
      <c r="O7" s="6" t="n"/>
      <c r="P7" s="6" t="n"/>
      <c r="Q7" s="6" t="n"/>
      <c r="R7" s="6" t="n"/>
    </row>
    <row r="8">
      <c r="A8" s="6" t="n"/>
      <c r="B8" s="6" t="n"/>
      <c r="C8" s="6" t="n"/>
      <c r="D8" s="6" t="n"/>
      <c r="E8" s="6" t="n"/>
      <c r="F8" s="6" t="n"/>
      <c r="G8" s="6" t="n"/>
      <c r="H8" s="6" t="n"/>
      <c r="I8" s="6" t="n"/>
      <c r="J8" s="6" t="n"/>
      <c r="K8" s="6" t="n"/>
      <c r="L8" s="6" t="n"/>
      <c r="M8" s="6" t="n"/>
      <c r="N8" s="6" t="n"/>
      <c r="O8" s="6" t="n"/>
      <c r="P8" s="6" t="n"/>
      <c r="Q8" s="6" t="n"/>
      <c r="R8" s="6" t="n"/>
    </row>
    <row r="9">
      <c r="A9" s="6" t="n"/>
      <c r="B9" s="6" t="n"/>
      <c r="C9" s="6" t="n"/>
      <c r="D9" s="6" t="n"/>
      <c r="E9" s="6" t="n"/>
      <c r="F9" s="6" t="n"/>
      <c r="G9" s="6" t="n"/>
      <c r="H9" s="6" t="n"/>
      <c r="I9" s="6" t="n"/>
      <c r="J9" s="6" t="n"/>
      <c r="K9" s="6" t="n"/>
      <c r="L9" s="6" t="n"/>
      <c r="M9" s="6" t="n"/>
      <c r="N9" s="6" t="n"/>
      <c r="O9" s="6" t="n"/>
      <c r="P9" s="6" t="n"/>
      <c r="Q9" s="6" t="n"/>
      <c r="R9" s="6" t="n"/>
    </row>
    <row r="10">
      <c r="A10" s="6" t="n"/>
      <c r="B10" s="6" t="n"/>
      <c r="C10" s="6" t="n"/>
      <c r="D10" s="6" t="n"/>
      <c r="E10" s="6" t="n"/>
      <c r="F10" s="6" t="n"/>
      <c r="G10" s="6" t="n"/>
      <c r="H10" s="6" t="n"/>
      <c r="I10" s="6" t="n"/>
      <c r="J10" s="6" t="n"/>
      <c r="K10" s="6" t="n"/>
      <c r="L10" s="6" t="n"/>
      <c r="M10" s="6" t="n"/>
      <c r="N10" s="6" t="n"/>
      <c r="O10" s="6" t="n"/>
      <c r="P10" s="6" t="n"/>
      <c r="Q10" s="6" t="n"/>
      <c r="R10" s="6" t="n"/>
    </row>
    <row r="11">
      <c r="A11" s="6" t="n"/>
      <c r="B11" s="6" t="n"/>
      <c r="C11" s="6" t="n"/>
      <c r="D11" s="6" t="n"/>
      <c r="E11" s="6" t="n"/>
      <c r="F11" s="6" t="n"/>
      <c r="G11" s="6" t="n"/>
      <c r="H11" s="6" t="n"/>
      <c r="I11" s="6" t="n"/>
      <c r="J11" s="6" t="n"/>
      <c r="K11" s="6" t="n"/>
      <c r="L11" s="6" t="n"/>
      <c r="M11" s="6" t="n"/>
      <c r="N11" s="6" t="n"/>
      <c r="O11" s="6" t="n"/>
      <c r="P11" s="6" t="n"/>
      <c r="Q11" s="6" t="n"/>
      <c r="R11" s="6" t="n"/>
    </row>
    <row r="12">
      <c r="A12" s="6" t="n"/>
      <c r="B12" s="6" t="n"/>
      <c r="C12" s="6" t="n"/>
      <c r="D12" s="6" t="n"/>
      <c r="E12" s="6" t="n"/>
      <c r="F12" s="6" t="n"/>
      <c r="G12" s="6" t="n"/>
      <c r="H12" s="6" t="n"/>
      <c r="I12" s="6" t="n"/>
      <c r="J12" s="6" t="n"/>
      <c r="K12" s="6" t="n"/>
      <c r="L12" s="6" t="n"/>
      <c r="M12" s="6" t="n"/>
      <c r="N12" s="6" t="n"/>
      <c r="O12" s="6" t="n"/>
      <c r="P12" s="6" t="n"/>
      <c r="Q12" s="6" t="n"/>
      <c r="R12" s="6" t="n"/>
    </row>
    <row r="13">
      <c r="A13" s="6" t="n"/>
      <c r="B13" s="6" t="n"/>
      <c r="C13" s="6" t="n"/>
      <c r="D13" s="6" t="n"/>
      <c r="E13" s="6" t="n"/>
      <c r="F13" s="6" t="n"/>
      <c r="G13" s="6" t="n"/>
      <c r="H13" s="6" t="n"/>
      <c r="I13" s="6" t="n"/>
      <c r="J13" s="6" t="n"/>
      <c r="K13" s="6" t="n"/>
      <c r="L13" s="6" t="n"/>
      <c r="M13" s="6" t="n"/>
      <c r="N13" s="6" t="n"/>
      <c r="O13" s="6" t="n"/>
      <c r="P13" s="6" t="n"/>
      <c r="Q13" s="6" t="n"/>
      <c r="R13" s="6" t="n"/>
    </row>
    <row r="14">
      <c r="A14" s="6" t="n"/>
      <c r="B14" s="6" t="n"/>
      <c r="C14" s="6" t="n"/>
      <c r="D14" s="6" t="n"/>
      <c r="E14" s="6" t="n"/>
      <c r="F14" s="6" t="n"/>
      <c r="G14" s="6" t="n"/>
      <c r="H14" s="6" t="n"/>
      <c r="I14" s="6" t="n"/>
      <c r="J14" s="6" t="n"/>
      <c r="K14" s="6" t="n"/>
      <c r="L14" s="6" t="n"/>
      <c r="M14" s="6" t="n"/>
      <c r="N14" s="6" t="n"/>
      <c r="O14" s="6" t="n"/>
      <c r="P14" s="6" t="n"/>
      <c r="Q14" s="6" t="n"/>
      <c r="R14" s="6" t="n"/>
    </row>
    <row r="15">
      <c r="A15" s="6" t="n"/>
      <c r="B15" s="6" t="n"/>
      <c r="C15" s="6" t="n"/>
      <c r="D15" s="6" t="n"/>
      <c r="E15" s="6" t="n"/>
      <c r="F15" s="6" t="n"/>
      <c r="G15" s="6" t="n"/>
      <c r="H15" s="6" t="n"/>
      <c r="I15" s="6" t="n"/>
      <c r="J15" s="6" t="n"/>
      <c r="K15" s="6" t="n"/>
      <c r="L15" s="6" t="n"/>
      <c r="M15" s="6" t="n"/>
      <c r="N15" s="6" t="n"/>
      <c r="O15" s="6" t="n"/>
      <c r="P15" s="6" t="n"/>
      <c r="Q15" s="6" t="n"/>
      <c r="R15" s="6" t="n"/>
    </row>
    <row r="16">
      <c r="A16" s="6" t="n"/>
      <c r="B16" s="6" t="n"/>
      <c r="C16" s="6" t="n"/>
      <c r="D16" s="6" t="n"/>
      <c r="E16" s="6" t="n"/>
      <c r="F16" s="6" t="n"/>
      <c r="G16" s="6" t="n"/>
      <c r="H16" s="6" t="n"/>
      <c r="I16" s="6" t="n"/>
      <c r="J16" s="6" t="n"/>
      <c r="K16" s="6" t="n"/>
      <c r="L16" s="6" t="n"/>
      <c r="M16" s="6" t="n"/>
      <c r="N16" s="6" t="n"/>
      <c r="O16" s="6" t="n"/>
      <c r="P16" s="6" t="n"/>
      <c r="Q16" s="6" t="n"/>
      <c r="R16" s="6" t="n"/>
    </row>
    <row r="17">
      <c r="A17" s="6" t="n"/>
      <c r="B17" s="6" t="n"/>
      <c r="C17" s="6" t="n"/>
      <c r="D17" s="6" t="n"/>
      <c r="E17" s="6" t="n"/>
      <c r="F17" s="6" t="n"/>
      <c r="G17" s="6" t="n"/>
      <c r="H17" s="6" t="n"/>
      <c r="I17" s="6" t="n"/>
      <c r="J17" s="6" t="n"/>
      <c r="K17" s="6" t="n"/>
      <c r="L17" s="6" t="n"/>
      <c r="M17" s="6" t="n"/>
      <c r="N17" s="6" t="n"/>
      <c r="O17" s="6" t="n"/>
      <c r="P17" s="6" t="n"/>
      <c r="Q17" s="6" t="n"/>
      <c r="R17" s="6" t="n"/>
    </row>
    <row r="18">
      <c r="A18" s="6" t="n"/>
      <c r="B18" s="6" t="n"/>
      <c r="C18" s="6" t="n"/>
      <c r="D18" s="6" t="n"/>
      <c r="E18" s="6" t="n"/>
      <c r="F18" s="6" t="n"/>
      <c r="G18" s="6" t="n"/>
      <c r="H18" s="6" t="n"/>
      <c r="I18" s="6" t="n"/>
      <c r="J18" s="6" t="n"/>
      <c r="K18" s="6" t="n"/>
      <c r="L18" s="6" t="n"/>
      <c r="M18" s="6" t="n"/>
      <c r="N18" s="6" t="n"/>
      <c r="O18" s="6" t="n"/>
      <c r="P18" s="6" t="n"/>
      <c r="Q18" s="6" t="n"/>
      <c r="R18" s="6" t="n"/>
    </row>
    <row r="19">
      <c r="A19" s="6" t="n"/>
      <c r="B19" s="6" t="n"/>
      <c r="C19" s="6" t="n"/>
      <c r="D19" s="6" t="n"/>
      <c r="E19" s="6" t="n"/>
      <c r="F19" s="6" t="n"/>
      <c r="G19" s="6" t="n"/>
      <c r="H19" s="6" t="n"/>
      <c r="I19" s="6" t="n"/>
      <c r="J19" s="6" t="n"/>
      <c r="K19" s="6" t="n"/>
      <c r="L19" s="6" t="n"/>
      <c r="M19" s="6" t="n"/>
      <c r="N19" s="6" t="n"/>
      <c r="O19" s="6" t="n"/>
      <c r="P19" s="6" t="n"/>
      <c r="Q19" s="6" t="n"/>
      <c r="R19" s="6" t="n"/>
    </row>
    <row r="20">
      <c r="A20" s="6" t="n"/>
      <c r="B20" s="6" t="n"/>
      <c r="C20" s="6" t="n"/>
      <c r="D20" s="6" t="n"/>
      <c r="E20" s="6" t="n"/>
      <c r="F20" s="6" t="n"/>
      <c r="G20" s="6" t="n"/>
      <c r="H20" s="6" t="n"/>
      <c r="I20" s="6" t="n"/>
      <c r="J20" s="6" t="n"/>
      <c r="K20" s="6" t="n"/>
      <c r="L20" s="6" t="n"/>
      <c r="M20" s="6" t="n"/>
      <c r="N20" s="6" t="n"/>
      <c r="O20" s="6" t="n"/>
      <c r="P20" s="6" t="n"/>
      <c r="Q20" s="6" t="n"/>
      <c r="R20" s="6" t="n"/>
    </row>
    <row r="21">
      <c r="A21" s="6" t="n"/>
      <c r="B21" s="6" t="n"/>
      <c r="C21" s="6" t="n"/>
      <c r="D21" s="6" t="n"/>
      <c r="E21" s="6" t="n"/>
      <c r="F21" s="6" t="n"/>
      <c r="G21" s="6" t="n"/>
      <c r="H21" s="6" t="n"/>
      <c r="I21" s="6" t="n"/>
      <c r="J21" s="6" t="n"/>
      <c r="K21" s="6" t="n"/>
      <c r="L21" s="6" t="n"/>
      <c r="M21" s="6" t="n"/>
      <c r="N21" s="6" t="n"/>
      <c r="O21" s="6" t="n"/>
      <c r="P21" s="6" t="n"/>
      <c r="Q21" s="6" t="n"/>
      <c r="R21" s="6" t="n"/>
    </row>
    <row r="22">
      <c r="A22" s="6" t="n"/>
      <c r="B22" s="6" t="n"/>
      <c r="C22" s="6" t="n"/>
      <c r="D22" s="6" t="n"/>
      <c r="E22" s="6" t="n"/>
      <c r="F22" s="6" t="n"/>
      <c r="G22" s="6" t="n"/>
      <c r="H22" s="6" t="n"/>
      <c r="I22" s="6" t="n"/>
      <c r="J22" s="6" t="n"/>
      <c r="K22" s="6" t="n"/>
      <c r="L22" s="6" t="n"/>
      <c r="M22" s="6" t="n"/>
      <c r="N22" s="6" t="n"/>
      <c r="O22" s="6" t="n"/>
      <c r="P22" s="6" t="n"/>
      <c r="Q22" s="6" t="n"/>
      <c r="R22" s="6" t="n"/>
    </row>
    <row r="23">
      <c r="A23" s="6" t="n"/>
      <c r="B23" s="6" t="n"/>
      <c r="C23" s="6" t="n"/>
      <c r="D23" s="6" t="n"/>
      <c r="E23" s="6" t="n"/>
      <c r="F23" s="6" t="n"/>
      <c r="G23" s="6" t="n"/>
      <c r="H23" s="6" t="n"/>
      <c r="I23" s="6" t="n"/>
      <c r="J23" s="6" t="n"/>
      <c r="K23" s="6" t="n"/>
      <c r="L23" s="6" t="n"/>
      <c r="M23" s="6" t="n"/>
      <c r="N23" s="6" t="n"/>
      <c r="O23" s="6" t="n"/>
      <c r="P23" s="6" t="n"/>
      <c r="Q23" s="6" t="n"/>
      <c r="R23" s="6" t="n"/>
    </row>
    <row r="24">
      <c r="A24" s="6" t="n"/>
      <c r="B24" s="6" t="n"/>
      <c r="C24" s="6" t="n"/>
      <c r="D24" s="6" t="n"/>
      <c r="E24" s="6" t="n"/>
      <c r="F24" s="6" t="n"/>
      <c r="G24" s="6" t="n"/>
      <c r="H24" s="6" t="n"/>
      <c r="I24" s="6" t="n"/>
      <c r="J24" s="6" t="n"/>
      <c r="K24" s="6" t="n"/>
      <c r="L24" s="6" t="n"/>
      <c r="M24" s="6" t="n"/>
      <c r="N24" s="6" t="n"/>
      <c r="O24" s="6" t="n"/>
      <c r="P24" s="6" t="n"/>
      <c r="Q24" s="6" t="n"/>
      <c r="R24" s="6" t="n"/>
    </row>
    <row r="25">
      <c r="A25" s="6" t="n"/>
      <c r="B25" s="6" t="n"/>
      <c r="C25" s="6" t="n"/>
      <c r="D25" s="6" t="n"/>
      <c r="E25" s="6" t="n"/>
      <c r="F25" s="6" t="n"/>
      <c r="G25" s="6" t="n"/>
      <c r="H25" s="6" t="n"/>
      <c r="I25" s="6" t="n"/>
      <c r="J25" s="6" t="n"/>
      <c r="K25" s="6" t="n"/>
      <c r="L25" s="6" t="n"/>
      <c r="M25" s="6" t="n"/>
      <c r="N25" s="6" t="n"/>
      <c r="O25" s="6" t="n"/>
      <c r="P25" s="6" t="n"/>
      <c r="Q25" s="6" t="n"/>
      <c r="R25" s="6" t="n"/>
    </row>
    <row r="26">
      <c r="A26" s="6" t="n"/>
      <c r="B26" s="6" t="n"/>
      <c r="C26" s="6" t="n"/>
      <c r="D26" s="6" t="n"/>
      <c r="E26" s="6" t="n"/>
      <c r="F26" s="6" t="n"/>
      <c r="G26" s="6" t="n"/>
      <c r="H26" s="6" t="n"/>
      <c r="I26" s="6" t="n"/>
      <c r="J26" s="6" t="n"/>
      <c r="K26" s="6" t="n"/>
      <c r="L26" s="6" t="n"/>
      <c r="M26" s="6" t="n"/>
      <c r="N26" s="6" t="n"/>
      <c r="O26" s="6" t="n"/>
      <c r="P26" s="6" t="n"/>
      <c r="Q26" s="6" t="n"/>
      <c r="R26" s="6" t="n"/>
    </row>
    <row r="27">
      <c r="A27" s="6" t="n"/>
      <c r="B27" s="6" t="n"/>
      <c r="C27" s="6" t="n"/>
      <c r="D27" s="6" t="n"/>
      <c r="E27" s="6" t="n"/>
      <c r="F27" s="6" t="n"/>
      <c r="G27" s="6" t="n"/>
      <c r="H27" s="6" t="n"/>
      <c r="I27" s="6" t="n"/>
      <c r="J27" s="6" t="n"/>
      <c r="K27" s="6" t="n"/>
      <c r="L27" s="6" t="n"/>
      <c r="M27" s="6" t="n"/>
      <c r="N27" s="6" t="n"/>
      <c r="O27" s="6" t="n"/>
      <c r="P27" s="6" t="n"/>
      <c r="Q27" s="6" t="n"/>
      <c r="R27" s="6" t="n"/>
    </row>
    <row r="28">
      <c r="A28" s="6" t="n"/>
      <c r="B28" s="6" t="n"/>
      <c r="C28" s="6" t="n"/>
      <c r="D28" s="6" t="n"/>
      <c r="E28" s="6" t="n"/>
      <c r="F28" s="6" t="n"/>
      <c r="G28" s="6" t="n"/>
      <c r="H28" s="6" t="n"/>
      <c r="I28" s="6" t="n"/>
      <c r="J28" s="6" t="n"/>
      <c r="K28" s="6" t="n"/>
      <c r="L28" s="6" t="n"/>
      <c r="M28" s="6" t="n"/>
      <c r="N28" s="6" t="n"/>
      <c r="O28" s="6" t="n"/>
      <c r="P28" s="6" t="n"/>
      <c r="Q28" s="6" t="n"/>
      <c r="R28" s="6" t="n"/>
    </row>
    <row r="29">
      <c r="A29" s="6" t="n"/>
      <c r="B29" s="6" t="n"/>
      <c r="C29" s="6" t="n"/>
      <c r="D29" s="6" t="n"/>
      <c r="E29" s="6" t="n"/>
      <c r="F29" s="6" t="n"/>
      <c r="G29" s="6" t="n"/>
      <c r="H29" s="6" t="n"/>
      <c r="I29" s="6" t="n"/>
      <c r="J29" s="6" t="n"/>
      <c r="K29" s="6" t="n"/>
      <c r="L29" s="6" t="n"/>
      <c r="M29" s="6" t="n"/>
      <c r="N29" s="6" t="n"/>
      <c r="O29" s="6" t="n"/>
      <c r="P29" s="6" t="n"/>
      <c r="Q29" s="6" t="n"/>
      <c r="R29" s="6" t="n"/>
    </row>
    <row r="30">
      <c r="A30" s="6" t="n"/>
      <c r="B30" s="6" t="n"/>
      <c r="C30" s="6" t="n"/>
      <c r="D30" s="6" t="n"/>
      <c r="E30" s="6" t="n"/>
      <c r="F30" s="6" t="n"/>
      <c r="G30" s="6" t="n"/>
      <c r="H30" s="6" t="n"/>
      <c r="I30" s="6" t="n"/>
      <c r="J30" s="6" t="n"/>
      <c r="K30" s="6" t="n"/>
      <c r="L30" s="6" t="n"/>
      <c r="M30" s="6" t="n"/>
      <c r="N30" s="6" t="n"/>
      <c r="O30" s="6" t="n"/>
      <c r="P30" s="6" t="n"/>
      <c r="Q30" s="6" t="n"/>
      <c r="R30" s="6" t="n"/>
    </row>
    <row r="31">
      <c r="A31" s="6" t="n"/>
      <c r="B31" s="6" t="n"/>
      <c r="C31" s="6" t="n"/>
      <c r="D31" s="6" t="n"/>
      <c r="E31" s="6" t="n"/>
      <c r="F31" s="6" t="n"/>
      <c r="G31" s="6" t="n"/>
      <c r="H31" s="6" t="n"/>
      <c r="I31" s="6" t="n"/>
      <c r="J31" s="6" t="n"/>
      <c r="K31" s="6" t="n"/>
      <c r="L31" s="6" t="n"/>
      <c r="M31" s="6" t="n"/>
      <c r="N31" s="6" t="n"/>
      <c r="O31" s="6" t="n"/>
      <c r="P31" s="6" t="n"/>
      <c r="Q31" s="6" t="n"/>
      <c r="R31" s="6" t="n"/>
    </row>
    <row r="32">
      <c r="A32" s="6" t="n"/>
      <c r="B32" s="6" t="n"/>
      <c r="C32" s="6" t="n"/>
      <c r="D32" s="6" t="n"/>
      <c r="E32" s="6" t="n"/>
      <c r="F32" s="6" t="n"/>
      <c r="G32" s="6" t="n"/>
      <c r="H32" s="6" t="n"/>
      <c r="I32" s="6" t="n"/>
      <c r="J32" s="6" t="n"/>
      <c r="K32" s="6" t="n"/>
      <c r="L32" s="6" t="n"/>
      <c r="M32" s="6" t="n"/>
      <c r="N32" s="6" t="n"/>
      <c r="O32" s="6" t="n"/>
      <c r="P32" s="6" t="n"/>
      <c r="Q32" s="6" t="n"/>
      <c r="R32" s="6" t="n"/>
    </row>
    <row r="33">
      <c r="A33" s="6" t="n"/>
      <c r="B33" s="6" t="n"/>
      <c r="C33" s="6" t="n"/>
      <c r="D33" s="6" t="n"/>
      <c r="E33" s="6" t="n"/>
      <c r="F33" s="6" t="n"/>
      <c r="G33" s="6" t="n"/>
      <c r="H33" s="6" t="n"/>
      <c r="I33" s="6" t="n"/>
      <c r="J33" s="6" t="n"/>
      <c r="K33" s="6" t="n"/>
      <c r="L33" s="6" t="n"/>
      <c r="M33" s="6" t="n"/>
      <c r="N33" s="6" t="n"/>
      <c r="O33" s="6" t="n"/>
      <c r="P33" s="6" t="n"/>
      <c r="Q33" s="6" t="n"/>
      <c r="R33" s="6" t="n"/>
    </row>
    <row r="34">
      <c r="A34" s="6" t="n"/>
      <c r="B34" s="6" t="n"/>
      <c r="C34" s="6" t="n"/>
      <c r="D34" s="6" t="n"/>
      <c r="E34" s="6" t="n"/>
      <c r="F34" s="6" t="n"/>
      <c r="G34" s="6" t="n"/>
      <c r="H34" s="6" t="n"/>
      <c r="I34" s="6" t="n"/>
      <c r="J34" s="6" t="n"/>
      <c r="K34" s="6" t="n"/>
      <c r="L34" s="6" t="n"/>
      <c r="M34" s="6" t="n"/>
      <c r="N34" s="6" t="n"/>
      <c r="O34" s="6" t="n"/>
      <c r="P34" s="6" t="n"/>
      <c r="Q34" s="6" t="n"/>
      <c r="R34" s="6" t="n"/>
    </row>
    <row r="35">
      <c r="A35" s="6" t="n"/>
      <c r="B35" s="6" t="n"/>
      <c r="C35" s="6" t="n"/>
      <c r="D35" s="6" t="n"/>
      <c r="E35" s="6" t="n"/>
      <c r="F35" s="6" t="n"/>
      <c r="G35" s="6" t="n"/>
      <c r="H35" s="6" t="n"/>
      <c r="I35" s="6" t="n"/>
      <c r="J35" s="6" t="n"/>
      <c r="K35" s="6" t="n"/>
      <c r="L35" s="6" t="n"/>
      <c r="M35" s="6" t="n"/>
      <c r="N35" s="6" t="n"/>
      <c r="O35" s="6" t="n"/>
      <c r="P35" s="6" t="n"/>
      <c r="Q35" s="6" t="n"/>
      <c r="R35" s="6" t="n"/>
    </row>
    <row r="36">
      <c r="A36" s="6" t="n"/>
      <c r="B36" s="6" t="n"/>
      <c r="C36" s="6" t="n"/>
      <c r="D36" s="6" t="n"/>
      <c r="E36" s="6" t="n"/>
      <c r="F36" s="6" t="n"/>
      <c r="G36" s="6" t="n"/>
      <c r="H36" s="6" t="n"/>
      <c r="I36" s="6" t="n"/>
      <c r="J36" s="6" t="n"/>
      <c r="K36" s="6" t="n"/>
      <c r="L36" s="6" t="n"/>
      <c r="M36" s="6" t="n"/>
      <c r="N36" s="6" t="n"/>
      <c r="O36" s="6" t="n"/>
      <c r="P36" s="6" t="n"/>
      <c r="Q36" s="6" t="n"/>
      <c r="R36" s="6" t="n"/>
    </row>
    <row r="37">
      <c r="A37" s="6" t="n"/>
      <c r="B37" s="6" t="n"/>
      <c r="C37" s="6" t="n"/>
      <c r="D37" s="6" t="n"/>
      <c r="E37" s="6" t="n"/>
      <c r="F37" s="6" t="n"/>
      <c r="G37" s="6" t="n"/>
      <c r="H37" s="6" t="n"/>
      <c r="I37" s="6" t="n"/>
      <c r="J37" s="6" t="n"/>
      <c r="K37" s="6" t="n"/>
      <c r="L37" s="6" t="n"/>
      <c r="M37" s="6" t="n"/>
      <c r="N37" s="6" t="n"/>
      <c r="O37" s="6" t="n"/>
      <c r="P37" s="6" t="n"/>
      <c r="Q37" s="6" t="n"/>
      <c r="R37" s="6" t="n"/>
    </row>
    <row r="38">
      <c r="A38" s="6" t="n"/>
      <c r="B38" s="6" t="n"/>
      <c r="C38" s="6" t="n"/>
      <c r="D38" s="6" t="n"/>
      <c r="E38" s="6" t="n"/>
      <c r="F38" s="6" t="n"/>
      <c r="G38" s="6" t="n"/>
      <c r="H38" s="6" t="n"/>
      <c r="I38" s="6" t="n"/>
      <c r="J38" s="6" t="n"/>
      <c r="K38" s="6" t="n"/>
      <c r="L38" s="6" t="n"/>
      <c r="M38" s="6" t="n"/>
      <c r="N38" s="6" t="n"/>
      <c r="O38" s="6" t="n"/>
      <c r="P38" s="6" t="n"/>
      <c r="Q38" s="6" t="n"/>
      <c r="R38" s="6" t="n"/>
    </row>
    <row r="39">
      <c r="A39" s="6" t="n"/>
      <c r="B39" s="6" t="n"/>
      <c r="C39" s="6" t="n"/>
      <c r="D39" s="6" t="n"/>
      <c r="E39" s="6" t="n"/>
      <c r="F39" s="6" t="n"/>
      <c r="G39" s="6" t="n"/>
      <c r="H39" s="6" t="n"/>
      <c r="I39" s="6" t="n"/>
      <c r="J39" s="6" t="n"/>
      <c r="K39" s="6" t="n"/>
      <c r="L39" s="6" t="n"/>
      <c r="M39" s="6" t="n"/>
      <c r="N39" s="6" t="n"/>
      <c r="O39" s="6" t="n"/>
      <c r="P39" s="6" t="n"/>
      <c r="Q39" s="6" t="n"/>
      <c r="R39" s="6" t="n"/>
    </row>
    <row r="40">
      <c r="A40" s="6" t="n"/>
      <c r="B40" s="6" t="n"/>
      <c r="C40" s="6" t="n"/>
      <c r="D40" s="6" t="n"/>
      <c r="E40" s="6" t="n"/>
      <c r="F40" s="6" t="n"/>
      <c r="G40" s="6" t="n"/>
      <c r="H40" s="6" t="n"/>
      <c r="I40" s="6" t="n"/>
      <c r="J40" s="6" t="n"/>
      <c r="K40" s="6" t="n"/>
      <c r="L40" s="6" t="n"/>
      <c r="M40" s="6" t="n"/>
      <c r="N40" s="6" t="n"/>
      <c r="O40" s="6" t="n"/>
      <c r="P40" s="6" t="n"/>
      <c r="Q40" s="6" t="n"/>
      <c r="R40" s="6" t="n"/>
    </row>
    <row r="41">
      <c r="A41" s="6" t="n"/>
      <c r="B41" s="6" t="n"/>
      <c r="C41" s="6" t="n"/>
      <c r="D41" s="6" t="n"/>
      <c r="E41" s="6" t="n"/>
      <c r="F41" s="6" t="n"/>
      <c r="G41" s="6" t="n"/>
      <c r="H41" s="6" t="n"/>
      <c r="I41" s="6" t="n"/>
      <c r="J41" s="6" t="n"/>
      <c r="K41" s="6" t="n"/>
      <c r="L41" s="6" t="n"/>
      <c r="M41" s="6" t="n"/>
      <c r="N41" s="6" t="n"/>
      <c r="O41" s="6" t="n"/>
      <c r="P41" s="6" t="n"/>
      <c r="Q41" s="6" t="n"/>
      <c r="R41" s="6" t="n"/>
    </row>
    <row r="42">
      <c r="A42" s="6" t="n"/>
      <c r="B42" s="6" t="n"/>
      <c r="C42" s="6" t="n"/>
      <c r="D42" s="6" t="n"/>
      <c r="E42" s="6" t="n"/>
      <c r="F42" s="6" t="n"/>
      <c r="G42" s="6" t="n"/>
      <c r="H42" s="6" t="n"/>
      <c r="I42" s="6" t="n"/>
      <c r="J42" s="6" t="n"/>
      <c r="K42" s="6" t="n"/>
      <c r="L42" s="6" t="n"/>
      <c r="M42" s="6" t="n"/>
      <c r="N42" s="6" t="n"/>
      <c r="O42" s="6" t="n"/>
      <c r="P42" s="6" t="n"/>
      <c r="Q42" s="6" t="n"/>
      <c r="R42" s="6" t="n"/>
    </row>
    <row r="43">
      <c r="A43" s="6" t="n"/>
      <c r="B43" s="6" t="n"/>
      <c r="C43" s="6" t="n"/>
      <c r="D43" s="6" t="n"/>
      <c r="E43" s="6" t="n"/>
      <c r="F43" s="6" t="n"/>
      <c r="G43" s="6" t="n"/>
      <c r="H43" s="6" t="n"/>
      <c r="I43" s="6" t="n"/>
      <c r="J43" s="6" t="n"/>
      <c r="K43" s="6" t="n"/>
      <c r="L43" s="6" t="n"/>
      <c r="M43" s="6" t="n"/>
      <c r="N43" s="6" t="n"/>
      <c r="O43" s="6" t="n"/>
      <c r="P43" s="6" t="n"/>
      <c r="Q43" s="6" t="n"/>
      <c r="R43" s="6" t="n"/>
    </row>
    <row r="44">
      <c r="A44" s="6" t="n"/>
      <c r="B44" s="6" t="n"/>
      <c r="C44" s="6" t="n"/>
      <c r="D44" s="6" t="n"/>
      <c r="E44" s="6" t="n"/>
      <c r="F44" s="6" t="n"/>
      <c r="G44" s="6" t="n"/>
      <c r="H44" s="6" t="n"/>
      <c r="I44" s="6" t="n"/>
      <c r="J44" s="6" t="n"/>
      <c r="K44" s="6" t="n"/>
      <c r="L44" s="6" t="n"/>
      <c r="M44" s="6" t="n"/>
      <c r="N44" s="6" t="n"/>
      <c r="O44" s="6" t="n"/>
      <c r="P44" s="6" t="n"/>
      <c r="Q44" s="6" t="n"/>
      <c r="R44" s="6" t="n"/>
    </row>
    <row r="45">
      <c r="A45" s="6" t="n"/>
      <c r="B45" s="6" t="n"/>
      <c r="C45" s="6" t="n"/>
      <c r="D45" s="6" t="n"/>
      <c r="E45" s="6" t="n"/>
      <c r="F45" s="6" t="n"/>
      <c r="G45" s="6" t="n"/>
      <c r="H45" s="6" t="n"/>
      <c r="I45" s="6" t="n"/>
      <c r="J45" s="6" t="n"/>
      <c r="K45" s="6" t="n"/>
      <c r="L45" s="6" t="n"/>
      <c r="M45" s="6" t="n"/>
      <c r="N45" s="6" t="n"/>
      <c r="O45" s="6" t="n"/>
      <c r="P45" s="6" t="n"/>
      <c r="Q45" s="6" t="n"/>
      <c r="R45" s="6" t="n"/>
    </row>
    <row r="46">
      <c r="A46" s="6" t="n"/>
      <c r="B46" s="6" t="n"/>
      <c r="C46" s="6" t="n"/>
      <c r="D46" s="6" t="n"/>
      <c r="E46" s="6" t="n"/>
      <c r="F46" s="6" t="n"/>
      <c r="G46" s="6" t="n"/>
      <c r="H46" s="6" t="n"/>
      <c r="I46" s="6" t="n"/>
      <c r="J46" s="6" t="n"/>
      <c r="K46" s="6" t="n"/>
      <c r="L46" s="6" t="n"/>
      <c r="M46" s="6" t="n"/>
      <c r="N46" s="6" t="n"/>
      <c r="O46" s="6" t="n"/>
      <c r="P46" s="6" t="n"/>
      <c r="Q46" s="6" t="n"/>
      <c r="R46" s="6" t="n"/>
    </row>
    <row r="47">
      <c r="A47" s="6" t="n"/>
      <c r="B47" s="6" t="n"/>
      <c r="C47" s="6" t="n"/>
      <c r="D47" s="6" t="n"/>
      <c r="E47" s="6" t="n"/>
      <c r="F47" s="6" t="n"/>
      <c r="G47" s="6" t="n"/>
      <c r="H47" s="6" t="n"/>
      <c r="I47" s="6" t="n"/>
      <c r="J47" s="6" t="n"/>
      <c r="K47" s="6" t="n"/>
      <c r="L47" s="6" t="n"/>
      <c r="M47" s="6" t="n"/>
      <c r="N47" s="6" t="n"/>
      <c r="O47" s="6" t="n"/>
      <c r="P47" s="6" t="n"/>
      <c r="Q47" s="6" t="n"/>
      <c r="R47" s="6" t="n"/>
    </row>
    <row r="48">
      <c r="A48" s="6" t="n"/>
      <c r="B48" s="6" t="n"/>
      <c r="C48" s="6" t="n"/>
      <c r="D48" s="6" t="n"/>
      <c r="E48" s="6" t="n"/>
      <c r="F48" s="6" t="n"/>
      <c r="G48" s="6" t="n"/>
      <c r="H48" s="6" t="n"/>
      <c r="I48" s="6" t="n"/>
      <c r="J48" s="6" t="n"/>
      <c r="K48" s="6" t="n"/>
      <c r="L48" s="6" t="n"/>
      <c r="M48" s="6" t="n"/>
      <c r="N48" s="6" t="n"/>
      <c r="O48" s="6" t="n"/>
      <c r="P48" s="6" t="n"/>
      <c r="Q48" s="6" t="n"/>
      <c r="R48" s="6" t="n"/>
    </row>
    <row r="49">
      <c r="A49" s="6" t="n"/>
      <c r="B49" s="6" t="n"/>
      <c r="C49" s="6" t="n"/>
      <c r="D49" s="6" t="n"/>
      <c r="E49" s="6" t="n"/>
      <c r="F49" s="6" t="n"/>
      <c r="G49" s="6" t="n"/>
      <c r="H49" s="6" t="n"/>
      <c r="I49" s="6" t="n"/>
      <c r="J49" s="6" t="n"/>
      <c r="K49" s="6" t="n"/>
      <c r="L49" s="6" t="n"/>
      <c r="M49" s="6" t="n"/>
      <c r="N49" s="6" t="n"/>
      <c r="O49" s="6" t="n"/>
      <c r="P49" s="6" t="n"/>
      <c r="Q49" s="6" t="n"/>
      <c r="R49" s="6" t="n"/>
    </row>
    <row r="50">
      <c r="A50" s="6" t="n"/>
      <c r="B50" s="6" t="n"/>
      <c r="C50" s="6" t="n"/>
      <c r="D50" s="6" t="n"/>
      <c r="E50" s="6" t="n"/>
      <c r="F50" s="6" t="n"/>
      <c r="G50" s="6" t="n"/>
      <c r="H50" s="6" t="n"/>
      <c r="I50" s="6" t="n"/>
      <c r="J50" s="6" t="n"/>
      <c r="K50" s="6" t="n"/>
      <c r="L50" s="6" t="n"/>
      <c r="M50" s="6" t="n"/>
      <c r="N50" s="6" t="n"/>
      <c r="O50" s="6" t="n"/>
      <c r="P50" s="6" t="n"/>
      <c r="Q50" s="6" t="n"/>
      <c r="R50" s="6" t="n"/>
    </row>
    <row r="51">
      <c r="A51" s="6" t="n"/>
      <c r="B51" s="6" t="n"/>
      <c r="C51" s="6" t="n"/>
      <c r="D51" s="6" t="n"/>
      <c r="E51" s="6" t="n"/>
      <c r="F51" s="6" t="n"/>
      <c r="G51" s="6" t="n"/>
      <c r="H51" s="6" t="n"/>
      <c r="I51" s="6" t="n"/>
      <c r="J51" s="6" t="n"/>
      <c r="K51" s="6" t="n"/>
      <c r="L51" s="6" t="n"/>
      <c r="M51" s="6" t="n"/>
      <c r="N51" s="6" t="n"/>
      <c r="O51" s="6" t="n"/>
      <c r="P51" s="6" t="n"/>
      <c r="Q51" s="6" t="n"/>
      <c r="R51" s="6" t="n"/>
    </row>
    <row r="52">
      <c r="A52" s="6" t="n"/>
      <c r="B52" s="6" t="n"/>
      <c r="C52" s="6" t="n"/>
      <c r="D52" s="6" t="n"/>
      <c r="E52" s="6" t="n"/>
      <c r="F52" s="6" t="n"/>
      <c r="G52" s="6" t="n"/>
      <c r="H52" s="6" t="n"/>
      <c r="I52" s="6" t="n"/>
      <c r="J52" s="6" t="n"/>
      <c r="K52" s="6" t="n"/>
      <c r="L52" s="6" t="n"/>
      <c r="M52" s="6" t="n"/>
      <c r="N52" s="6" t="n"/>
      <c r="O52" s="6" t="n"/>
      <c r="P52" s="6" t="n"/>
      <c r="Q52" s="6" t="n"/>
      <c r="R52" s="6" t="n"/>
    </row>
    <row r="53">
      <c r="A53" s="6" t="n"/>
      <c r="B53" s="6" t="n"/>
      <c r="C53" s="6" t="n"/>
      <c r="D53" s="6" t="n"/>
      <c r="E53" s="6" t="n"/>
      <c r="F53" s="6" t="n"/>
      <c r="G53" s="6" t="n"/>
      <c r="H53" s="6" t="n"/>
      <c r="I53" s="6" t="n"/>
      <c r="J53" s="6" t="n"/>
      <c r="K53" s="6" t="n"/>
      <c r="L53" s="6" t="n"/>
      <c r="M53" s="6" t="n"/>
      <c r="N53" s="6" t="n"/>
      <c r="O53" s="6" t="n"/>
      <c r="P53" s="6" t="n"/>
      <c r="Q53" s="6" t="n"/>
      <c r="R53" s="6" t="n"/>
    </row>
    <row r="54">
      <c r="A54" s="6" t="n"/>
      <c r="B54" s="6" t="n"/>
      <c r="C54" s="6" t="n"/>
      <c r="D54" s="6" t="n"/>
      <c r="E54" s="6" t="n"/>
      <c r="F54" s="6" t="n"/>
      <c r="G54" s="6" t="n"/>
      <c r="H54" s="6" t="n"/>
      <c r="I54" s="6" t="n"/>
      <c r="J54" s="6" t="n"/>
      <c r="K54" s="6" t="n"/>
      <c r="L54" s="6" t="n"/>
      <c r="M54" s="6" t="n"/>
      <c r="N54" s="6" t="n"/>
      <c r="O54" s="6" t="n"/>
      <c r="P54" s="6" t="n"/>
      <c r="Q54" s="6" t="n"/>
      <c r="R54" s="6" t="n"/>
    </row>
    <row r="55">
      <c r="A55" s="6" t="n"/>
      <c r="B55" s="6" t="n"/>
      <c r="C55" s="6" t="n"/>
      <c r="D55" s="6" t="n"/>
      <c r="E55" s="6" t="n"/>
      <c r="F55" s="6" t="n"/>
      <c r="G55" s="6" t="n"/>
      <c r="H55" s="6" t="n"/>
      <c r="I55" s="6" t="n"/>
      <c r="J55" s="6" t="n"/>
      <c r="K55" s="6" t="n"/>
      <c r="L55" s="6" t="n"/>
      <c r="M55" s="6" t="n"/>
      <c r="N55" s="6" t="n"/>
      <c r="O55" s="6" t="n"/>
      <c r="P55" s="6" t="n"/>
      <c r="Q55" s="6" t="n"/>
      <c r="R55" s="6" t="n"/>
    </row>
    <row r="56">
      <c r="A56" s="6" t="n"/>
      <c r="B56" s="6" t="n"/>
      <c r="C56" s="6" t="n"/>
      <c r="D56" s="6" t="n"/>
      <c r="E56" s="6" t="n"/>
      <c r="F56" s="6" t="n"/>
      <c r="G56" s="6" t="n"/>
      <c r="H56" s="6" t="n"/>
      <c r="I56" s="6" t="n"/>
      <c r="J56" s="6" t="n"/>
      <c r="K56" s="6" t="n"/>
      <c r="L56" s="6" t="n"/>
      <c r="M56" s="6" t="n"/>
      <c r="N56" s="6" t="n"/>
      <c r="O56" s="6" t="n"/>
      <c r="P56" s="6" t="n"/>
      <c r="Q56" s="6" t="n"/>
      <c r="R56" s="6" t="n"/>
    </row>
    <row r="57">
      <c r="A57" s="6" t="n"/>
      <c r="B57" s="6" t="n"/>
      <c r="C57" s="6" t="n"/>
      <c r="D57" s="6" t="n"/>
      <c r="E57" s="6" t="n"/>
      <c r="F57" s="6" t="n"/>
      <c r="G57" s="6" t="n"/>
      <c r="H57" s="6" t="n"/>
      <c r="I57" s="6" t="n"/>
      <c r="J57" s="6" t="n"/>
      <c r="K57" s="6" t="n"/>
      <c r="L57" s="6" t="n"/>
      <c r="M57" s="6" t="n"/>
      <c r="N57" s="6" t="n"/>
      <c r="O57" s="6" t="n"/>
      <c r="P57" s="6" t="n"/>
      <c r="Q57" s="6" t="n"/>
      <c r="R57" s="6" t="n"/>
    </row>
    <row r="58">
      <c r="A58" s="6" t="n"/>
      <c r="B58" s="6" t="n"/>
      <c r="C58" s="6" t="n"/>
      <c r="D58" s="6" t="n"/>
      <c r="E58" s="6" t="n"/>
      <c r="F58" s="6" t="n"/>
      <c r="G58" s="6" t="n"/>
      <c r="H58" s="6" t="n"/>
      <c r="I58" s="6" t="n"/>
      <c r="J58" s="6" t="n"/>
      <c r="K58" s="6" t="n"/>
      <c r="L58" s="6" t="n"/>
      <c r="M58" s="6" t="n"/>
      <c r="N58" s="6" t="n"/>
      <c r="O58" s="6" t="n"/>
      <c r="P58" s="6" t="n"/>
      <c r="Q58" s="6" t="n"/>
      <c r="R58" s="6" t="n"/>
    </row>
    <row r="59">
      <c r="A59" s="6" t="n"/>
      <c r="B59" s="6" t="n"/>
      <c r="C59" s="6" t="n"/>
      <c r="D59" s="6" t="n"/>
      <c r="E59" s="6" t="n"/>
      <c r="F59" s="6" t="n"/>
      <c r="G59" s="6" t="n"/>
      <c r="H59" s="6" t="n"/>
      <c r="I59" s="6" t="n"/>
      <c r="J59" s="6" t="n"/>
      <c r="K59" s="6" t="n"/>
      <c r="L59" s="6" t="n"/>
      <c r="M59" s="6" t="n"/>
      <c r="N59" s="6" t="n"/>
      <c r="O59" s="6" t="n"/>
      <c r="P59" s="6" t="n"/>
      <c r="Q59" s="6" t="n"/>
      <c r="R59" s="6" t="n"/>
    </row>
    <row r="60">
      <c r="A60" s="6" t="n"/>
      <c r="B60" s="6" t="n"/>
      <c r="C60" s="6" t="n"/>
      <c r="D60" s="6" t="n"/>
      <c r="E60" s="6" t="n"/>
      <c r="F60" s="6" t="n"/>
      <c r="G60" s="6" t="n"/>
      <c r="H60" s="6" t="n"/>
      <c r="I60" s="6" t="n"/>
      <c r="J60" s="6" t="n"/>
      <c r="K60" s="6" t="n"/>
      <c r="L60" s="6" t="n"/>
      <c r="M60" s="6" t="n"/>
      <c r="N60" s="6" t="n"/>
      <c r="O60" s="6" t="n"/>
      <c r="P60" s="6" t="n"/>
      <c r="Q60" s="6" t="n"/>
      <c r="R60" s="6" t="n"/>
    </row>
    <row r="61">
      <c r="A61" s="6" t="n"/>
      <c r="B61" s="6" t="n"/>
      <c r="C61" s="6" t="n"/>
      <c r="D61" s="6" t="n"/>
      <c r="E61" s="6" t="n"/>
      <c r="F61" s="6" t="n"/>
      <c r="G61" s="6" t="n"/>
      <c r="H61" s="6" t="n"/>
      <c r="I61" s="6" t="n"/>
      <c r="J61" s="6" t="n"/>
      <c r="K61" s="6" t="n"/>
      <c r="L61" s="6" t="n"/>
      <c r="M61" s="6" t="n"/>
      <c r="N61" s="6" t="n"/>
      <c r="O61" s="6" t="n"/>
      <c r="P61" s="6" t="n"/>
      <c r="Q61" s="6" t="n"/>
      <c r="R61" s="6" t="n"/>
    </row>
    <row r="62">
      <c r="A62" s="6" t="n"/>
      <c r="B62" s="6" t="n"/>
      <c r="C62" s="6" t="n"/>
      <c r="D62" s="6" t="n"/>
      <c r="E62" s="6" t="n"/>
      <c r="F62" s="6" t="n"/>
      <c r="G62" s="6" t="n"/>
      <c r="H62" s="6" t="n"/>
      <c r="I62" s="6" t="n"/>
      <c r="J62" s="6" t="n"/>
      <c r="K62" s="6" t="n"/>
      <c r="L62" s="6" t="n"/>
      <c r="M62" s="6" t="n"/>
      <c r="N62" s="6" t="n"/>
      <c r="O62" s="6" t="n"/>
      <c r="P62" s="6" t="n"/>
      <c r="Q62" s="6" t="n"/>
      <c r="R62" s="6" t="n"/>
    </row>
    <row r="63">
      <c r="A63" s="6" t="n"/>
      <c r="B63" s="6" t="n"/>
      <c r="C63" s="6" t="n"/>
      <c r="D63" s="6" t="n"/>
      <c r="E63" s="6" t="n"/>
      <c r="F63" s="6" t="n"/>
      <c r="G63" s="6" t="n"/>
      <c r="H63" s="6" t="n"/>
      <c r="I63" s="6" t="n"/>
      <c r="J63" s="6" t="n"/>
      <c r="K63" s="6" t="n"/>
      <c r="L63" s="6" t="n"/>
      <c r="M63" s="6" t="n"/>
      <c r="N63" s="6" t="n"/>
      <c r="O63" s="6" t="n"/>
      <c r="P63" s="6" t="n"/>
      <c r="Q63" s="6" t="n"/>
      <c r="R63" s="6" t="n"/>
    </row>
    <row r="64">
      <c r="A64" s="6" t="n"/>
      <c r="B64" s="6" t="n"/>
      <c r="C64" s="6" t="n"/>
      <c r="D64" s="6" t="n"/>
      <c r="E64" s="6" t="n"/>
      <c r="F64" s="6" t="n"/>
      <c r="G64" s="6" t="n"/>
      <c r="H64" s="6" t="n"/>
      <c r="I64" s="6" t="n"/>
      <c r="J64" s="6" t="n"/>
      <c r="K64" s="6" t="n"/>
      <c r="L64" s="6" t="n"/>
      <c r="M64" s="6" t="n"/>
      <c r="N64" s="6" t="n"/>
      <c r="O64" s="6" t="n"/>
      <c r="P64" s="6" t="n"/>
      <c r="Q64" s="6" t="n"/>
      <c r="R64" s="6" t="n"/>
    </row>
  </sheetData>
  <mergeCells count="2">
    <mergeCell ref="A2:R2"/>
    <mergeCell ref="A1:R1"/>
  </mergeCells>
  <dataValidations count="4">
    <dataValidation sqref="K5:K64" showDropDown="0" showInputMessage="0" showErrorMessage="0" allowBlank="1" type="list">
      <formula1>"Prairie,Aspen parkland,Black Oak savannah,Interior BC bunchgrass,Other"</formula1>
    </dataValidation>
    <dataValidation sqref="L5:L64" showDropDown="0" showInputMessage="0" showErrorMessage="0" allowBlank="1" type="list">
      <formula1>"Never cultivated,Cultivated and reseeded,Long-term tame pasture,Hayed,Unknown"</formula1>
    </dataValidation>
    <dataValidation sqref="M5:M64" showDropDown="0" showInputMessage="0" showErrorMessage="0" allowBlank="1" type="list">
      <formula1>"None,Season-long,Rotational,Heavy,Unknown"</formula1>
    </dataValidation>
    <dataValidation sqref="O5:O64" showDropDown="0" showInputMessage="0" showErrorMessage="0" allowBlank="1" type="list">
      <formula1>"Native sward,Tame or introduced,Mixed,Unknown"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604"/>
  <sheetViews>
    <sheetView workbookViewId="0">
      <pane ySplit="4" topLeftCell="A5" activePane="bottomLeft" state="frozen"/>
      <selection pane="bottomLeft" activeCell="A1" sqref="A1"/>
    </sheetView>
  </sheetViews>
  <sheetFormatPr baseColWidth="8" defaultRowHeight="15"/>
  <cols>
    <col width="12" customWidth="1" min="1" max="1"/>
    <col width="12" customWidth="1" min="2" max="2"/>
    <col width="11" customWidth="1" min="3" max="3"/>
    <col width="11" customWidth="1" min="4" max="4"/>
    <col width="12" customWidth="1" min="5" max="5"/>
    <col width="11" customWidth="1" min="6" max="6"/>
    <col width="12" customWidth="1" min="7" max="7"/>
    <col width="12" customWidth="1" min="8" max="8"/>
    <col width="12" customWidth="1" min="9" max="9"/>
    <col width="11" customWidth="1" min="10" max="10"/>
    <col width="13" customWidth="1" min="11" max="11"/>
    <col width="20" customWidth="1" min="12" max="12"/>
    <col width="13" customWidth="1" min="13" max="13"/>
    <col width="12" customWidth="1" min="14" max="14"/>
    <col width="12" customWidth="1" min="15" max="15"/>
    <col width="15" customWidth="1" min="16" max="16"/>
    <col width="15" customWidth="1" min="17" max="17"/>
    <col width="15" customWidth="1" min="18" max="18"/>
    <col width="46" customWidth="1" min="19" max="19"/>
    <col width="30" customWidth="1" min="20" max="20"/>
    <col width="8" customWidth="1" min="21" max="21"/>
  </cols>
  <sheetData>
    <row r="1">
      <c r="A1" s="1" t="inlineStr">
        <is>
          <t>SOIL DATA</t>
        </is>
      </c>
    </row>
    <row r="2" ht="32" customHeight="1">
      <c r="A2" s="2" t="inlineStr">
        <is>
          <t>ONE ROW PER DEPTH INCREMENT PER CORE. Record the ACTUAL top and bottom depths, not the ones you planned — a truncated increment scaled as a full one is a silent error. Bulk density and carbon come back from the lab.</t>
        </is>
      </c>
    </row>
    <row r="4" ht="46" customHeight="1">
      <c r="A4" s="14" t="inlineStr">
        <is>
          <t>Plot ID</t>
        </is>
      </c>
      <c r="B4" s="14" t="inlineStr">
        <is>
          <t>Core ID</t>
        </is>
      </c>
      <c r="C4" s="14" t="inlineStr">
        <is>
          <t>Increment #</t>
        </is>
      </c>
      <c r="D4" s="14" t="inlineStr">
        <is>
          <t>Top depth (cm)</t>
        </is>
      </c>
      <c r="E4" s="14" t="inlineStr">
        <is>
          <t>Bottom depth (cm)</t>
        </is>
      </c>
      <c r="F4" s="14" t="inlineStr">
        <is>
          <t>Thickness (cm)</t>
        </is>
      </c>
      <c r="G4" s="14" t="inlineStr">
        <is>
          <t>Corer internal diameter (cm)</t>
        </is>
      </c>
      <c r="H4" s="14" t="inlineStr">
        <is>
          <t>Depth driven (cm)</t>
        </is>
      </c>
      <c r="I4" s="14" t="inlineStr">
        <is>
          <t>Length recovered (cm)</t>
        </is>
      </c>
      <c r="J4" s="14" t="inlineStr">
        <is>
          <t>Recovery ratio</t>
        </is>
      </c>
      <c r="K4" s="14" t="inlineStr">
        <is>
          <t>Coarse fragments (% vol)</t>
        </is>
      </c>
      <c r="L4" s="14" t="inlineStr">
        <is>
          <t>Bulk density basis</t>
        </is>
      </c>
      <c r="M4" s="14" t="inlineStr">
        <is>
          <t>Bulk density (g/cm³)</t>
        </is>
      </c>
      <c r="N4" s="14" t="inlineStr">
        <is>
          <t>Organic carbon (%)</t>
        </is>
      </c>
      <c r="O4" s="14" t="inlineStr">
        <is>
          <t>BD used (g/cm³)</t>
        </is>
      </c>
      <c r="P4" s="14" t="inlineStr">
        <is>
          <t>Stock, increment (kg C/m²)</t>
        </is>
      </c>
      <c r="Q4" s="14" t="inlineStr">
        <is>
          <t>Thickness within reporting depth (cm)</t>
        </is>
      </c>
      <c r="R4" s="14" t="inlineStr">
        <is>
          <t>Stock to reporting depth (kg C/m²)</t>
        </is>
      </c>
      <c r="S4" s="14" t="inlineStr">
        <is>
          <t>QC flags</t>
        </is>
      </c>
      <c r="T4" s="14" t="inlineStr">
        <is>
          <t>Notes</t>
        </is>
      </c>
      <c r="U4" s="14" t="inlineStr">
        <is>
          <t>_first_of_core</t>
        </is>
      </c>
    </row>
    <row r="5">
      <c r="A5" s="6" t="n"/>
      <c r="B5" s="6" t="n"/>
      <c r="C5" s="6" t="n"/>
      <c r="D5" s="6" t="n"/>
      <c r="E5" s="6" t="n"/>
      <c r="F5" s="9">
        <f>IF(OR($D5="",$E5=""),"",$E5-$D5)</f>
        <v/>
      </c>
      <c r="G5" s="6" t="n"/>
      <c r="H5" s="6" t="n"/>
      <c r="I5" s="6" t="n"/>
      <c r="J5" s="9">
        <f>IF(OR(NOT(ISNUMBER($H5)),NOT(ISNUMBER($I5)),$H5=0),"",$I5/$H5)</f>
        <v/>
      </c>
      <c r="K5" s="6" t="n"/>
      <c r="L5" s="8" t="n"/>
      <c r="M5" s="7" t="n"/>
      <c r="N5" s="7" t="n"/>
      <c r="O5" s="9">
        <f>IF(NOT(ISNUMBER($M5)),"",IF($L5="Fine earth / fine-earth volume",$M5*(1-IF(ISNUMBER($K5),$K5,0)/100),$M5))</f>
        <v/>
      </c>
      <c r="P5" s="9">
        <f>IF(OR(NOT(ISNUMBER($O5)),NOT(ISNUMBER($N5)),NOT(ISNUMBER($F5))),"",$O5*($N5/100)*$F5*10)</f>
        <v/>
      </c>
      <c r="Q5" s="9">
        <f>IF(OR(NOT(ISNUMBER($D5)),NOT(ISNUMBER($E5))),"",MAX(0,MIN($E5,SOIL_REPORTING_DEPTH_CM)-MIN($D5,SOIL_REPORTING_DEPTH_CM)))</f>
        <v/>
      </c>
      <c r="R5" s="9">
        <f>IF(OR(NOT(ISNUMBER($O5)),NOT(ISNUMBER($N5)),NOT(ISNUMBER($Q5))),"",$O5*($N5/100)*$Q5*10)</f>
        <v/>
      </c>
      <c r="S5" s="11">
        <f>IF(AND($A5="",$B5="",$D5=""),"",IF(AND($A5&lt;&gt;"",COUNTIF('1. Plot &amp; Site Log'!$A$5:$A$64,$A5)=0),"Plot ID not in the Plot &amp; Site Log. ","")&amp;IF(AND(ISNUMBER($D5),ISNUMBER($E5),$E5&lt;=$D5),"Bottom depth is not below top depth. ","")&amp;IF($L5="Not confirmed","Bulk-density basis not confirmed with the lab — the coarse-fragment correction may be wrong or doubled. ","")&amp;IF(AND(ISNUMBER($M5),OR($M5&lt;QC_BD_MIN,$M5&gt;QC_BD_MAX)),"Bulk density outside the plausible range for a mineral grassland soil. ","")&amp;IF(AND(ISNUMBER($N5),$N5&gt;QC_CARBON_PCT_MAX),"Organic carbon above the QC ceiling — check units, and whether this is an organic horizon. ","")&amp;IF(AND(ISNUMBER($J5),$J5&lt;QC_RECOVERY_MIN),"Recovered less than the QC minimum of the depth driven — the increments may not sit where you think. Do NOT stretch them back out. ","")&amp;IF(AND(ISNUMBER($K5),$K5&gt;0,$L5="Fine earth / total volume"),"Coarse fragments recorded and the lab basis already accounts for them — no further correction applied, which is correct. ",""))</f>
        <v/>
      </c>
      <c r="T5" s="6" t="n"/>
      <c r="U5" s="9">
        <f>IF($B5="",0,IF(COUNTIFS($B$5:$B5,$B5)=1,1,0))</f>
        <v/>
      </c>
    </row>
    <row r="6">
      <c r="A6" s="6" t="n"/>
      <c r="B6" s="6" t="n"/>
      <c r="C6" s="6" t="n"/>
      <c r="D6" s="6" t="n"/>
      <c r="E6" s="6" t="n"/>
      <c r="F6" s="9">
        <f>IF(OR($D6="",$E6=""),"",$E6-$D6)</f>
        <v/>
      </c>
      <c r="G6" s="6" t="n"/>
      <c r="H6" s="6" t="n"/>
      <c r="I6" s="6" t="n"/>
      <c r="J6" s="9">
        <f>IF(OR(NOT(ISNUMBER($H6)),NOT(ISNUMBER($I6)),$H6=0),"",$I6/$H6)</f>
        <v/>
      </c>
      <c r="K6" s="6" t="n"/>
      <c r="L6" s="8" t="n"/>
      <c r="M6" s="7" t="n"/>
      <c r="N6" s="7" t="n"/>
      <c r="O6" s="9">
        <f>IF(NOT(ISNUMBER($M6)),"",IF($L6="Fine earth / fine-earth volume",$M6*(1-IF(ISNUMBER($K6),$K6,0)/100),$M6))</f>
        <v/>
      </c>
      <c r="P6" s="9">
        <f>IF(OR(NOT(ISNUMBER($O6)),NOT(ISNUMBER($N6)),NOT(ISNUMBER($F6))),"",$O6*($N6/100)*$F6*10)</f>
        <v/>
      </c>
      <c r="Q6" s="9">
        <f>IF(OR(NOT(ISNUMBER($D6)),NOT(ISNUMBER($E6))),"",MAX(0,MIN($E6,SOIL_REPORTING_DEPTH_CM)-MIN($D6,SOIL_REPORTING_DEPTH_CM)))</f>
        <v/>
      </c>
      <c r="R6" s="9">
        <f>IF(OR(NOT(ISNUMBER($O6)),NOT(ISNUMBER($N6)),NOT(ISNUMBER($Q6))),"",$O6*($N6/100)*$Q6*10)</f>
        <v/>
      </c>
      <c r="S6" s="11">
        <f>IF(AND($A6="",$B6="",$D6=""),"",IF(AND($A6&lt;&gt;"",COUNTIF('1. Plot &amp; Site Log'!$A$5:$A$64,$A6)=0),"Plot ID not in the Plot &amp; Site Log. ","")&amp;IF(AND(ISNUMBER($D6),ISNUMBER($E6),$E6&lt;=$D6),"Bottom depth is not below top depth. ","")&amp;IF($L6="Not confirmed","Bulk-density basis not confirmed with the lab — the coarse-fragment correction may be wrong or doubled. ","")&amp;IF(AND(ISNUMBER($M6),OR($M6&lt;QC_BD_MIN,$M6&gt;QC_BD_MAX)),"Bulk density outside the plausible range for a mineral grassland soil. ","")&amp;IF(AND(ISNUMBER($N6),$N6&gt;QC_CARBON_PCT_MAX),"Organic carbon above the QC ceiling — check units, and whether this is an organic horizon. ","")&amp;IF(AND(ISNUMBER($J6),$J6&lt;QC_RECOVERY_MIN),"Recovered less than the QC minimum of the depth driven — the increments may not sit where you think. Do NOT stretch them back out. ","")&amp;IF(AND(ISNUMBER($K6),$K6&gt;0,$L6="Fine earth / total volume"),"Coarse fragments recorded and the lab basis already accounts for them — no further correction applied, which is correct. ",""))</f>
        <v/>
      </c>
      <c r="T6" s="6" t="n"/>
      <c r="U6" s="9">
        <f>IF($B6="",0,IF(COUNTIFS($B$5:$B6,$B6)=1,1,0))</f>
        <v/>
      </c>
    </row>
    <row r="7">
      <c r="A7" s="6" t="n"/>
      <c r="B7" s="6" t="n"/>
      <c r="C7" s="6" t="n"/>
      <c r="D7" s="6" t="n"/>
      <c r="E7" s="6" t="n"/>
      <c r="F7" s="9">
        <f>IF(OR($D7="",$E7=""),"",$E7-$D7)</f>
        <v/>
      </c>
      <c r="G7" s="6" t="n"/>
      <c r="H7" s="6" t="n"/>
      <c r="I7" s="6" t="n"/>
      <c r="J7" s="9">
        <f>IF(OR(NOT(ISNUMBER($H7)),NOT(ISNUMBER($I7)),$H7=0),"",$I7/$H7)</f>
        <v/>
      </c>
      <c r="K7" s="6" t="n"/>
      <c r="L7" s="8" t="n"/>
      <c r="M7" s="7" t="n"/>
      <c r="N7" s="7" t="n"/>
      <c r="O7" s="9">
        <f>IF(NOT(ISNUMBER($M7)),"",IF($L7="Fine earth / fine-earth volume",$M7*(1-IF(ISNUMBER($K7),$K7,0)/100),$M7))</f>
        <v/>
      </c>
      <c r="P7" s="9">
        <f>IF(OR(NOT(ISNUMBER($O7)),NOT(ISNUMBER($N7)),NOT(ISNUMBER($F7))),"",$O7*($N7/100)*$F7*10)</f>
        <v/>
      </c>
      <c r="Q7" s="9">
        <f>IF(OR(NOT(ISNUMBER($D7)),NOT(ISNUMBER($E7))),"",MAX(0,MIN($E7,SOIL_REPORTING_DEPTH_CM)-MIN($D7,SOIL_REPORTING_DEPTH_CM)))</f>
        <v/>
      </c>
      <c r="R7" s="9">
        <f>IF(OR(NOT(ISNUMBER($O7)),NOT(ISNUMBER($N7)),NOT(ISNUMBER($Q7))),"",$O7*($N7/100)*$Q7*10)</f>
        <v/>
      </c>
      <c r="S7" s="11">
        <f>IF(AND($A7="",$B7="",$D7=""),"",IF(AND($A7&lt;&gt;"",COUNTIF('1. Plot &amp; Site Log'!$A$5:$A$64,$A7)=0),"Plot ID not in the Plot &amp; Site Log. ","")&amp;IF(AND(ISNUMBER($D7),ISNUMBER($E7),$E7&lt;=$D7),"Bottom depth is not below top depth. ","")&amp;IF($L7="Not confirmed","Bulk-density basis not confirmed with the lab — the coarse-fragment correction may be wrong or doubled. ","")&amp;IF(AND(ISNUMBER($M7),OR($M7&lt;QC_BD_MIN,$M7&gt;QC_BD_MAX)),"Bulk density outside the plausible range for a mineral grassland soil. ","")&amp;IF(AND(ISNUMBER($N7),$N7&gt;QC_CARBON_PCT_MAX),"Organic carbon above the QC ceiling — check units, and whether this is an organic horizon. ","")&amp;IF(AND(ISNUMBER($J7),$J7&lt;QC_RECOVERY_MIN),"Recovered less than the QC minimum of the depth driven — the increments may not sit where you think. Do NOT stretch them back out. ","")&amp;IF(AND(ISNUMBER($K7),$K7&gt;0,$L7="Fine earth / total volume"),"Coarse fragments recorded and the lab basis already accounts for them — no further correction applied, which is correct. ",""))</f>
        <v/>
      </c>
      <c r="T7" s="6" t="n"/>
      <c r="U7" s="9">
        <f>IF($B7="",0,IF(COUNTIFS($B$5:$B7,$B7)=1,1,0))</f>
        <v/>
      </c>
    </row>
    <row r="8">
      <c r="A8" s="6" t="n"/>
      <c r="B8" s="6" t="n"/>
      <c r="C8" s="6" t="n"/>
      <c r="D8" s="6" t="n"/>
      <c r="E8" s="6" t="n"/>
      <c r="F8" s="9">
        <f>IF(OR($D8="",$E8=""),"",$E8-$D8)</f>
        <v/>
      </c>
      <c r="G8" s="6" t="n"/>
      <c r="H8" s="6" t="n"/>
      <c r="I8" s="6" t="n"/>
      <c r="J8" s="9">
        <f>IF(OR(NOT(ISNUMBER($H8)),NOT(ISNUMBER($I8)),$H8=0),"",$I8/$H8)</f>
        <v/>
      </c>
      <c r="K8" s="6" t="n"/>
      <c r="L8" s="8" t="n"/>
      <c r="M8" s="7" t="n"/>
      <c r="N8" s="7" t="n"/>
      <c r="O8" s="9">
        <f>IF(NOT(ISNUMBER($M8)),"",IF($L8="Fine earth / fine-earth volume",$M8*(1-IF(ISNUMBER($K8),$K8,0)/100),$M8))</f>
        <v/>
      </c>
      <c r="P8" s="9">
        <f>IF(OR(NOT(ISNUMBER($O8)),NOT(ISNUMBER($N8)),NOT(ISNUMBER($F8))),"",$O8*($N8/100)*$F8*10)</f>
        <v/>
      </c>
      <c r="Q8" s="9">
        <f>IF(OR(NOT(ISNUMBER($D8)),NOT(ISNUMBER($E8))),"",MAX(0,MIN($E8,SOIL_REPORTING_DEPTH_CM)-MIN($D8,SOIL_REPORTING_DEPTH_CM)))</f>
        <v/>
      </c>
      <c r="R8" s="9">
        <f>IF(OR(NOT(ISNUMBER($O8)),NOT(ISNUMBER($N8)),NOT(ISNUMBER($Q8))),"",$O8*($N8/100)*$Q8*10)</f>
        <v/>
      </c>
      <c r="S8" s="11">
        <f>IF(AND($A8="",$B8="",$D8=""),"",IF(AND($A8&lt;&gt;"",COUNTIF('1. Plot &amp; Site Log'!$A$5:$A$64,$A8)=0),"Plot ID not in the Plot &amp; Site Log. ","")&amp;IF(AND(ISNUMBER($D8),ISNUMBER($E8),$E8&lt;=$D8),"Bottom depth is not below top depth. ","")&amp;IF($L8="Not confirmed","Bulk-density basis not confirmed with the lab — the coarse-fragment correction may be wrong or doubled. ","")&amp;IF(AND(ISNUMBER($M8),OR($M8&lt;QC_BD_MIN,$M8&gt;QC_BD_MAX)),"Bulk density outside the plausible range for a mineral grassland soil. ","")&amp;IF(AND(ISNUMBER($N8),$N8&gt;QC_CARBON_PCT_MAX),"Organic carbon above the QC ceiling — check units, and whether this is an organic horizon. ","")&amp;IF(AND(ISNUMBER($J8),$J8&lt;QC_RECOVERY_MIN),"Recovered less than the QC minimum of the depth driven — the increments may not sit where you think. Do NOT stretch them back out. ","")&amp;IF(AND(ISNUMBER($K8),$K8&gt;0,$L8="Fine earth / total volume"),"Coarse fragments recorded and the lab basis already accounts for them — no further correction applied, which is correct. ",""))</f>
        <v/>
      </c>
      <c r="T8" s="6" t="n"/>
      <c r="U8" s="9">
        <f>IF($B8="",0,IF(COUNTIFS($B$5:$B8,$B8)=1,1,0))</f>
        <v/>
      </c>
    </row>
    <row r="9">
      <c r="A9" s="6" t="n"/>
      <c r="B9" s="6" t="n"/>
      <c r="C9" s="6" t="n"/>
      <c r="D9" s="6" t="n"/>
      <c r="E9" s="6" t="n"/>
      <c r="F9" s="9">
        <f>IF(OR($D9="",$E9=""),"",$E9-$D9)</f>
        <v/>
      </c>
      <c r="G9" s="6" t="n"/>
      <c r="H9" s="6" t="n"/>
      <c r="I9" s="6" t="n"/>
      <c r="J9" s="9">
        <f>IF(OR(NOT(ISNUMBER($H9)),NOT(ISNUMBER($I9)),$H9=0),"",$I9/$H9)</f>
        <v/>
      </c>
      <c r="K9" s="6" t="n"/>
      <c r="L9" s="8" t="n"/>
      <c r="M9" s="7" t="n"/>
      <c r="N9" s="7" t="n"/>
      <c r="O9" s="9">
        <f>IF(NOT(ISNUMBER($M9)),"",IF($L9="Fine earth / fine-earth volume",$M9*(1-IF(ISNUMBER($K9),$K9,0)/100),$M9))</f>
        <v/>
      </c>
      <c r="P9" s="9">
        <f>IF(OR(NOT(ISNUMBER($O9)),NOT(ISNUMBER($N9)),NOT(ISNUMBER($F9))),"",$O9*($N9/100)*$F9*10)</f>
        <v/>
      </c>
      <c r="Q9" s="9">
        <f>IF(OR(NOT(ISNUMBER($D9)),NOT(ISNUMBER($E9))),"",MAX(0,MIN($E9,SOIL_REPORTING_DEPTH_CM)-MIN($D9,SOIL_REPORTING_DEPTH_CM)))</f>
        <v/>
      </c>
      <c r="R9" s="9">
        <f>IF(OR(NOT(ISNUMBER($O9)),NOT(ISNUMBER($N9)),NOT(ISNUMBER($Q9))),"",$O9*($N9/100)*$Q9*10)</f>
        <v/>
      </c>
      <c r="S9" s="11">
        <f>IF(AND($A9="",$B9="",$D9=""),"",IF(AND($A9&lt;&gt;"",COUNTIF('1. Plot &amp; Site Log'!$A$5:$A$64,$A9)=0),"Plot ID not in the Plot &amp; Site Log. ","")&amp;IF(AND(ISNUMBER($D9),ISNUMBER($E9),$E9&lt;=$D9),"Bottom depth is not below top depth. ","")&amp;IF($L9="Not confirmed","Bulk-density basis not confirmed with the lab — the coarse-fragment correction may be wrong or doubled. ","")&amp;IF(AND(ISNUMBER($M9),OR($M9&lt;QC_BD_MIN,$M9&gt;QC_BD_MAX)),"Bulk density outside the plausible range for a mineral grassland soil. ","")&amp;IF(AND(ISNUMBER($N9),$N9&gt;QC_CARBON_PCT_MAX),"Organic carbon above the QC ceiling — check units, and whether this is an organic horizon. ","")&amp;IF(AND(ISNUMBER($J9),$J9&lt;QC_RECOVERY_MIN),"Recovered less than the QC minimum of the depth driven — the increments may not sit where you think. Do NOT stretch them back out. ","")&amp;IF(AND(ISNUMBER($K9),$K9&gt;0,$L9="Fine earth / total volume"),"Coarse fragments recorded and the lab basis already accounts for them — no further correction applied, which is correct. ",""))</f>
        <v/>
      </c>
      <c r="T9" s="6" t="n"/>
      <c r="U9" s="9">
        <f>IF($B9="",0,IF(COUNTIFS($B$5:$B9,$B9)=1,1,0))</f>
        <v/>
      </c>
    </row>
    <row r="10">
      <c r="A10" s="6" t="n"/>
      <c r="B10" s="6" t="n"/>
      <c r="C10" s="6" t="n"/>
      <c r="D10" s="6" t="n"/>
      <c r="E10" s="6" t="n"/>
      <c r="F10" s="9">
        <f>IF(OR($D10="",$E10=""),"",$E10-$D10)</f>
        <v/>
      </c>
      <c r="G10" s="6" t="n"/>
      <c r="H10" s="6" t="n"/>
      <c r="I10" s="6" t="n"/>
      <c r="J10" s="9">
        <f>IF(OR(NOT(ISNUMBER($H10)),NOT(ISNUMBER($I10)),$H10=0),"",$I10/$H10)</f>
        <v/>
      </c>
      <c r="K10" s="6" t="n"/>
      <c r="L10" s="8" t="n"/>
      <c r="M10" s="7" t="n"/>
      <c r="N10" s="7" t="n"/>
      <c r="O10" s="9">
        <f>IF(NOT(ISNUMBER($M10)),"",IF($L10="Fine earth / fine-earth volume",$M10*(1-IF(ISNUMBER($K10),$K10,0)/100),$M10))</f>
        <v/>
      </c>
      <c r="P10" s="9">
        <f>IF(OR(NOT(ISNUMBER($O10)),NOT(ISNUMBER($N10)),NOT(ISNUMBER($F10))),"",$O10*($N10/100)*$F10*10)</f>
        <v/>
      </c>
      <c r="Q10" s="9">
        <f>IF(OR(NOT(ISNUMBER($D10)),NOT(ISNUMBER($E10))),"",MAX(0,MIN($E10,SOIL_REPORTING_DEPTH_CM)-MIN($D10,SOIL_REPORTING_DEPTH_CM)))</f>
        <v/>
      </c>
      <c r="R10" s="9">
        <f>IF(OR(NOT(ISNUMBER($O10)),NOT(ISNUMBER($N10)),NOT(ISNUMBER($Q10))),"",$O10*($N10/100)*$Q10*10)</f>
        <v/>
      </c>
      <c r="S10" s="11">
        <f>IF(AND($A10="",$B10="",$D10=""),"",IF(AND($A10&lt;&gt;"",COUNTIF('1. Plot &amp; Site Log'!$A$5:$A$64,$A10)=0),"Plot ID not in the Plot &amp; Site Log. ","")&amp;IF(AND(ISNUMBER($D10),ISNUMBER($E10),$E10&lt;=$D10),"Bottom depth is not below top depth. ","")&amp;IF($L10="Not confirmed","Bulk-density basis not confirmed with the lab — the coarse-fragment correction may be wrong or doubled. ","")&amp;IF(AND(ISNUMBER($M10),OR($M10&lt;QC_BD_MIN,$M10&gt;QC_BD_MAX)),"Bulk density outside the plausible range for a mineral grassland soil. ","")&amp;IF(AND(ISNUMBER($N10),$N10&gt;QC_CARBON_PCT_MAX),"Organic carbon above the QC ceiling — check units, and whether this is an organic horizon. ","")&amp;IF(AND(ISNUMBER($J10),$J10&lt;QC_RECOVERY_MIN),"Recovered less than the QC minimum of the depth driven — the increments may not sit where you think. Do NOT stretch them back out. ","")&amp;IF(AND(ISNUMBER($K10),$K10&gt;0,$L10="Fine earth / total volume"),"Coarse fragments recorded and the lab basis already accounts for them — no further correction applied, which is correct. ",""))</f>
        <v/>
      </c>
      <c r="T10" s="6" t="n"/>
      <c r="U10" s="9">
        <f>IF($B10="",0,IF(COUNTIFS($B$5:$B10,$B10)=1,1,0))</f>
        <v/>
      </c>
    </row>
    <row r="11">
      <c r="A11" s="6" t="n"/>
      <c r="B11" s="6" t="n"/>
      <c r="C11" s="6" t="n"/>
      <c r="D11" s="6" t="n"/>
      <c r="E11" s="6" t="n"/>
      <c r="F11" s="9">
        <f>IF(OR($D11="",$E11=""),"",$E11-$D11)</f>
        <v/>
      </c>
      <c r="G11" s="6" t="n"/>
      <c r="H11" s="6" t="n"/>
      <c r="I11" s="6" t="n"/>
      <c r="J11" s="9">
        <f>IF(OR(NOT(ISNUMBER($H11)),NOT(ISNUMBER($I11)),$H11=0),"",$I11/$H11)</f>
        <v/>
      </c>
      <c r="K11" s="6" t="n"/>
      <c r="L11" s="8" t="n"/>
      <c r="M11" s="7" t="n"/>
      <c r="N11" s="7" t="n"/>
      <c r="O11" s="9">
        <f>IF(NOT(ISNUMBER($M11)),"",IF($L11="Fine earth / fine-earth volume",$M11*(1-IF(ISNUMBER($K11),$K11,0)/100),$M11))</f>
        <v/>
      </c>
      <c r="P11" s="9">
        <f>IF(OR(NOT(ISNUMBER($O11)),NOT(ISNUMBER($N11)),NOT(ISNUMBER($F11))),"",$O11*($N11/100)*$F11*10)</f>
        <v/>
      </c>
      <c r="Q11" s="9">
        <f>IF(OR(NOT(ISNUMBER($D11)),NOT(ISNUMBER($E11))),"",MAX(0,MIN($E11,SOIL_REPORTING_DEPTH_CM)-MIN($D11,SOIL_REPORTING_DEPTH_CM)))</f>
        <v/>
      </c>
      <c r="R11" s="9">
        <f>IF(OR(NOT(ISNUMBER($O11)),NOT(ISNUMBER($N11)),NOT(ISNUMBER($Q11))),"",$O11*($N11/100)*$Q11*10)</f>
        <v/>
      </c>
      <c r="S11" s="11">
        <f>IF(AND($A11="",$B11="",$D11=""),"",IF(AND($A11&lt;&gt;"",COUNTIF('1. Plot &amp; Site Log'!$A$5:$A$64,$A11)=0),"Plot ID not in the Plot &amp; Site Log. ","")&amp;IF(AND(ISNUMBER($D11),ISNUMBER($E11),$E11&lt;=$D11),"Bottom depth is not below top depth. ","")&amp;IF($L11="Not confirmed","Bulk-density basis not confirmed with the lab — the coarse-fragment correction may be wrong or doubled. ","")&amp;IF(AND(ISNUMBER($M11),OR($M11&lt;QC_BD_MIN,$M11&gt;QC_BD_MAX)),"Bulk density outside the plausible range for a mineral grassland soil. ","")&amp;IF(AND(ISNUMBER($N11),$N11&gt;QC_CARBON_PCT_MAX),"Organic carbon above the QC ceiling — check units, and whether this is an organic horizon. ","")&amp;IF(AND(ISNUMBER($J11),$J11&lt;QC_RECOVERY_MIN),"Recovered less than the QC minimum of the depth driven — the increments may not sit where you think. Do NOT stretch them back out. ","")&amp;IF(AND(ISNUMBER($K11),$K11&gt;0,$L11="Fine earth / total volume"),"Coarse fragments recorded and the lab basis already accounts for them — no further correction applied, which is correct. ",""))</f>
        <v/>
      </c>
      <c r="T11" s="6" t="n"/>
      <c r="U11" s="9">
        <f>IF($B11="",0,IF(COUNTIFS($B$5:$B11,$B11)=1,1,0))</f>
        <v/>
      </c>
    </row>
    <row r="12">
      <c r="A12" s="6" t="n"/>
      <c r="B12" s="6" t="n"/>
      <c r="C12" s="6" t="n"/>
      <c r="D12" s="6" t="n"/>
      <c r="E12" s="6" t="n"/>
      <c r="F12" s="9">
        <f>IF(OR($D12="",$E12=""),"",$E12-$D12)</f>
        <v/>
      </c>
      <c r="G12" s="6" t="n"/>
      <c r="H12" s="6" t="n"/>
      <c r="I12" s="6" t="n"/>
      <c r="J12" s="9">
        <f>IF(OR(NOT(ISNUMBER($H12)),NOT(ISNUMBER($I12)),$H12=0),"",$I12/$H12)</f>
        <v/>
      </c>
      <c r="K12" s="6" t="n"/>
      <c r="L12" s="8" t="n"/>
      <c r="M12" s="7" t="n"/>
      <c r="N12" s="7" t="n"/>
      <c r="O12" s="9">
        <f>IF(NOT(ISNUMBER($M12)),"",IF($L12="Fine earth / fine-earth volume",$M12*(1-IF(ISNUMBER($K12),$K12,0)/100),$M12))</f>
        <v/>
      </c>
      <c r="P12" s="9">
        <f>IF(OR(NOT(ISNUMBER($O12)),NOT(ISNUMBER($N12)),NOT(ISNUMBER($F12))),"",$O12*($N12/100)*$F12*10)</f>
        <v/>
      </c>
      <c r="Q12" s="9">
        <f>IF(OR(NOT(ISNUMBER($D12)),NOT(ISNUMBER($E12))),"",MAX(0,MIN($E12,SOIL_REPORTING_DEPTH_CM)-MIN($D12,SOIL_REPORTING_DEPTH_CM)))</f>
        <v/>
      </c>
      <c r="R12" s="9">
        <f>IF(OR(NOT(ISNUMBER($O12)),NOT(ISNUMBER($N12)),NOT(ISNUMBER($Q12))),"",$O12*($N12/100)*$Q12*10)</f>
        <v/>
      </c>
      <c r="S12" s="11">
        <f>IF(AND($A12="",$B12="",$D12=""),"",IF(AND($A12&lt;&gt;"",COUNTIF('1. Plot &amp; Site Log'!$A$5:$A$64,$A12)=0),"Plot ID not in the Plot &amp; Site Log. ","")&amp;IF(AND(ISNUMBER($D12),ISNUMBER($E12),$E12&lt;=$D12),"Bottom depth is not below top depth. ","")&amp;IF($L12="Not confirmed","Bulk-density basis not confirmed with the lab — the coarse-fragment correction may be wrong or doubled. ","")&amp;IF(AND(ISNUMBER($M12),OR($M12&lt;QC_BD_MIN,$M12&gt;QC_BD_MAX)),"Bulk density outside the plausible range for a mineral grassland soil. ","")&amp;IF(AND(ISNUMBER($N12),$N12&gt;QC_CARBON_PCT_MAX),"Organic carbon above the QC ceiling — check units, and whether this is an organic horizon. ","")&amp;IF(AND(ISNUMBER($J12),$J12&lt;QC_RECOVERY_MIN),"Recovered less than the QC minimum of the depth driven — the increments may not sit where you think. Do NOT stretch them back out. ","")&amp;IF(AND(ISNUMBER($K12),$K12&gt;0,$L12="Fine earth / total volume"),"Coarse fragments recorded and the lab basis already accounts for them — no further correction applied, which is correct. ",""))</f>
        <v/>
      </c>
      <c r="T12" s="6" t="n"/>
      <c r="U12" s="9">
        <f>IF($B12="",0,IF(COUNTIFS($B$5:$B12,$B12)=1,1,0))</f>
        <v/>
      </c>
    </row>
    <row r="13">
      <c r="A13" s="6" t="n"/>
      <c r="B13" s="6" t="n"/>
      <c r="C13" s="6" t="n"/>
      <c r="D13" s="6" t="n"/>
      <c r="E13" s="6" t="n"/>
      <c r="F13" s="9">
        <f>IF(OR($D13="",$E13=""),"",$E13-$D13)</f>
        <v/>
      </c>
      <c r="G13" s="6" t="n"/>
      <c r="H13" s="6" t="n"/>
      <c r="I13" s="6" t="n"/>
      <c r="J13" s="9">
        <f>IF(OR(NOT(ISNUMBER($H13)),NOT(ISNUMBER($I13)),$H13=0),"",$I13/$H13)</f>
        <v/>
      </c>
      <c r="K13" s="6" t="n"/>
      <c r="L13" s="8" t="n"/>
      <c r="M13" s="7" t="n"/>
      <c r="N13" s="7" t="n"/>
      <c r="O13" s="9">
        <f>IF(NOT(ISNUMBER($M13)),"",IF($L13="Fine earth / fine-earth volume",$M13*(1-IF(ISNUMBER($K13),$K13,0)/100),$M13))</f>
        <v/>
      </c>
      <c r="P13" s="9">
        <f>IF(OR(NOT(ISNUMBER($O13)),NOT(ISNUMBER($N13)),NOT(ISNUMBER($F13))),"",$O13*($N13/100)*$F13*10)</f>
        <v/>
      </c>
      <c r="Q13" s="9">
        <f>IF(OR(NOT(ISNUMBER($D13)),NOT(ISNUMBER($E13))),"",MAX(0,MIN($E13,SOIL_REPORTING_DEPTH_CM)-MIN($D13,SOIL_REPORTING_DEPTH_CM)))</f>
        <v/>
      </c>
      <c r="R13" s="9">
        <f>IF(OR(NOT(ISNUMBER($O13)),NOT(ISNUMBER($N13)),NOT(ISNUMBER($Q13))),"",$O13*($N13/100)*$Q13*10)</f>
        <v/>
      </c>
      <c r="S13" s="11">
        <f>IF(AND($A13="",$B13="",$D13=""),"",IF(AND($A13&lt;&gt;"",COUNTIF('1. Plot &amp; Site Log'!$A$5:$A$64,$A13)=0),"Plot ID not in the Plot &amp; Site Log. ","")&amp;IF(AND(ISNUMBER($D13),ISNUMBER($E13),$E13&lt;=$D13),"Bottom depth is not below top depth. ","")&amp;IF($L13="Not confirmed","Bulk-density basis not confirmed with the lab — the coarse-fragment correction may be wrong or doubled. ","")&amp;IF(AND(ISNUMBER($M13),OR($M13&lt;QC_BD_MIN,$M13&gt;QC_BD_MAX)),"Bulk density outside the plausible range for a mineral grassland soil. ","")&amp;IF(AND(ISNUMBER($N13),$N13&gt;QC_CARBON_PCT_MAX),"Organic carbon above the QC ceiling — check units, and whether this is an organic horizon. ","")&amp;IF(AND(ISNUMBER($J13),$J13&lt;QC_RECOVERY_MIN),"Recovered less than the QC minimum of the depth driven — the increments may not sit where you think. Do NOT stretch them back out. ","")&amp;IF(AND(ISNUMBER($K13),$K13&gt;0,$L13="Fine earth / total volume"),"Coarse fragments recorded and the lab basis already accounts for them — no further correction applied, which is correct. ",""))</f>
        <v/>
      </c>
      <c r="T13" s="6" t="n"/>
      <c r="U13" s="9">
        <f>IF($B13="",0,IF(COUNTIFS($B$5:$B13,$B13)=1,1,0))</f>
        <v/>
      </c>
    </row>
    <row r="14">
      <c r="A14" s="6" t="n"/>
      <c r="B14" s="6" t="n"/>
      <c r="C14" s="6" t="n"/>
      <c r="D14" s="6" t="n"/>
      <c r="E14" s="6" t="n"/>
      <c r="F14" s="9">
        <f>IF(OR($D14="",$E14=""),"",$E14-$D14)</f>
        <v/>
      </c>
      <c r="G14" s="6" t="n"/>
      <c r="H14" s="6" t="n"/>
      <c r="I14" s="6" t="n"/>
      <c r="J14" s="9">
        <f>IF(OR(NOT(ISNUMBER($H14)),NOT(ISNUMBER($I14)),$H14=0),"",$I14/$H14)</f>
        <v/>
      </c>
      <c r="K14" s="6" t="n"/>
      <c r="L14" s="8" t="n"/>
      <c r="M14" s="7" t="n"/>
      <c r="N14" s="7" t="n"/>
      <c r="O14" s="9">
        <f>IF(NOT(ISNUMBER($M14)),"",IF($L14="Fine earth / fine-earth volume",$M14*(1-IF(ISNUMBER($K14),$K14,0)/100),$M14))</f>
        <v/>
      </c>
      <c r="P14" s="9">
        <f>IF(OR(NOT(ISNUMBER($O14)),NOT(ISNUMBER($N14)),NOT(ISNUMBER($F14))),"",$O14*($N14/100)*$F14*10)</f>
        <v/>
      </c>
      <c r="Q14" s="9">
        <f>IF(OR(NOT(ISNUMBER($D14)),NOT(ISNUMBER($E14))),"",MAX(0,MIN($E14,SOIL_REPORTING_DEPTH_CM)-MIN($D14,SOIL_REPORTING_DEPTH_CM)))</f>
        <v/>
      </c>
      <c r="R14" s="9">
        <f>IF(OR(NOT(ISNUMBER($O14)),NOT(ISNUMBER($N14)),NOT(ISNUMBER($Q14))),"",$O14*($N14/100)*$Q14*10)</f>
        <v/>
      </c>
      <c r="S14" s="11">
        <f>IF(AND($A14="",$B14="",$D14=""),"",IF(AND($A14&lt;&gt;"",COUNTIF('1. Plot &amp; Site Log'!$A$5:$A$64,$A14)=0),"Plot ID not in the Plot &amp; Site Log. ","")&amp;IF(AND(ISNUMBER($D14),ISNUMBER($E14),$E14&lt;=$D14),"Bottom depth is not below top depth. ","")&amp;IF($L14="Not confirmed","Bulk-density basis not confirmed with the lab — the coarse-fragment correction may be wrong or doubled. ","")&amp;IF(AND(ISNUMBER($M14),OR($M14&lt;QC_BD_MIN,$M14&gt;QC_BD_MAX)),"Bulk density outside the plausible range for a mineral grassland soil. ","")&amp;IF(AND(ISNUMBER($N14),$N14&gt;QC_CARBON_PCT_MAX),"Organic carbon above the QC ceiling — check units, and whether this is an organic horizon. ","")&amp;IF(AND(ISNUMBER($J14),$J14&lt;QC_RECOVERY_MIN),"Recovered less than the QC minimum of the depth driven — the increments may not sit where you think. Do NOT stretch them back out. ","")&amp;IF(AND(ISNUMBER($K14),$K14&gt;0,$L14="Fine earth / total volume"),"Coarse fragments recorded and the lab basis already accounts for them — no further correction applied, which is correct. ",""))</f>
        <v/>
      </c>
      <c r="T14" s="6" t="n"/>
      <c r="U14" s="9">
        <f>IF($B14="",0,IF(COUNTIFS($B$5:$B14,$B14)=1,1,0))</f>
        <v/>
      </c>
    </row>
    <row r="15">
      <c r="A15" s="6" t="n"/>
      <c r="B15" s="6" t="n"/>
      <c r="C15" s="6" t="n"/>
      <c r="D15" s="6" t="n"/>
      <c r="E15" s="6" t="n"/>
      <c r="F15" s="9">
        <f>IF(OR($D15="",$E15=""),"",$E15-$D15)</f>
        <v/>
      </c>
      <c r="G15" s="6" t="n"/>
      <c r="H15" s="6" t="n"/>
      <c r="I15" s="6" t="n"/>
      <c r="J15" s="9">
        <f>IF(OR(NOT(ISNUMBER($H15)),NOT(ISNUMBER($I15)),$H15=0),"",$I15/$H15)</f>
        <v/>
      </c>
      <c r="K15" s="6" t="n"/>
      <c r="L15" s="8" t="n"/>
      <c r="M15" s="7" t="n"/>
      <c r="N15" s="7" t="n"/>
      <c r="O15" s="9">
        <f>IF(NOT(ISNUMBER($M15)),"",IF($L15="Fine earth / fine-earth volume",$M15*(1-IF(ISNUMBER($K15),$K15,0)/100),$M15))</f>
        <v/>
      </c>
      <c r="P15" s="9">
        <f>IF(OR(NOT(ISNUMBER($O15)),NOT(ISNUMBER($N15)),NOT(ISNUMBER($F15))),"",$O15*($N15/100)*$F15*10)</f>
        <v/>
      </c>
      <c r="Q15" s="9">
        <f>IF(OR(NOT(ISNUMBER($D15)),NOT(ISNUMBER($E15))),"",MAX(0,MIN($E15,SOIL_REPORTING_DEPTH_CM)-MIN($D15,SOIL_REPORTING_DEPTH_CM)))</f>
        <v/>
      </c>
      <c r="R15" s="9">
        <f>IF(OR(NOT(ISNUMBER($O15)),NOT(ISNUMBER($N15)),NOT(ISNUMBER($Q15))),"",$O15*($N15/100)*$Q15*10)</f>
        <v/>
      </c>
      <c r="S15" s="11">
        <f>IF(AND($A15="",$B15="",$D15=""),"",IF(AND($A15&lt;&gt;"",COUNTIF('1. Plot &amp; Site Log'!$A$5:$A$64,$A15)=0),"Plot ID not in the Plot &amp; Site Log. ","")&amp;IF(AND(ISNUMBER($D15),ISNUMBER($E15),$E15&lt;=$D15),"Bottom depth is not below top depth. ","")&amp;IF($L15="Not confirmed","Bulk-density basis not confirmed with the lab — the coarse-fragment correction may be wrong or doubled. ","")&amp;IF(AND(ISNUMBER($M15),OR($M15&lt;QC_BD_MIN,$M15&gt;QC_BD_MAX)),"Bulk density outside the plausible range for a mineral grassland soil. ","")&amp;IF(AND(ISNUMBER($N15),$N15&gt;QC_CARBON_PCT_MAX),"Organic carbon above the QC ceiling — check units, and whether this is an organic horizon. ","")&amp;IF(AND(ISNUMBER($J15),$J15&lt;QC_RECOVERY_MIN),"Recovered less than the QC minimum of the depth driven — the increments may not sit where you think. Do NOT stretch them back out. ","")&amp;IF(AND(ISNUMBER($K15),$K15&gt;0,$L15="Fine earth / total volume"),"Coarse fragments recorded and the lab basis already accounts for them — no further correction applied, which is correct. ",""))</f>
        <v/>
      </c>
      <c r="T15" s="6" t="n"/>
      <c r="U15" s="9">
        <f>IF($B15="",0,IF(COUNTIFS($B$5:$B15,$B15)=1,1,0))</f>
        <v/>
      </c>
    </row>
    <row r="16">
      <c r="A16" s="6" t="n"/>
      <c r="B16" s="6" t="n"/>
      <c r="C16" s="6" t="n"/>
      <c r="D16" s="6" t="n"/>
      <c r="E16" s="6" t="n"/>
      <c r="F16" s="9">
        <f>IF(OR($D16="",$E16=""),"",$E16-$D16)</f>
        <v/>
      </c>
      <c r="G16" s="6" t="n"/>
      <c r="H16" s="6" t="n"/>
      <c r="I16" s="6" t="n"/>
      <c r="J16" s="9">
        <f>IF(OR(NOT(ISNUMBER($H16)),NOT(ISNUMBER($I16)),$H16=0),"",$I16/$H16)</f>
        <v/>
      </c>
      <c r="K16" s="6" t="n"/>
      <c r="L16" s="8" t="n"/>
      <c r="M16" s="7" t="n"/>
      <c r="N16" s="7" t="n"/>
      <c r="O16" s="9">
        <f>IF(NOT(ISNUMBER($M16)),"",IF($L16="Fine earth / fine-earth volume",$M16*(1-IF(ISNUMBER($K16),$K16,0)/100),$M16))</f>
        <v/>
      </c>
      <c r="P16" s="9">
        <f>IF(OR(NOT(ISNUMBER($O16)),NOT(ISNUMBER($N16)),NOT(ISNUMBER($F16))),"",$O16*($N16/100)*$F16*10)</f>
        <v/>
      </c>
      <c r="Q16" s="9">
        <f>IF(OR(NOT(ISNUMBER($D16)),NOT(ISNUMBER($E16))),"",MAX(0,MIN($E16,SOIL_REPORTING_DEPTH_CM)-MIN($D16,SOIL_REPORTING_DEPTH_CM)))</f>
        <v/>
      </c>
      <c r="R16" s="9">
        <f>IF(OR(NOT(ISNUMBER($O16)),NOT(ISNUMBER($N16)),NOT(ISNUMBER($Q16))),"",$O16*($N16/100)*$Q16*10)</f>
        <v/>
      </c>
      <c r="S16" s="11">
        <f>IF(AND($A16="",$B16="",$D16=""),"",IF(AND($A16&lt;&gt;"",COUNTIF('1. Plot &amp; Site Log'!$A$5:$A$64,$A16)=0),"Plot ID not in the Plot &amp; Site Log. ","")&amp;IF(AND(ISNUMBER($D16),ISNUMBER($E16),$E16&lt;=$D16),"Bottom depth is not below top depth. ","")&amp;IF($L16="Not confirmed","Bulk-density basis not confirmed with the lab — the coarse-fragment correction may be wrong or doubled. ","")&amp;IF(AND(ISNUMBER($M16),OR($M16&lt;QC_BD_MIN,$M16&gt;QC_BD_MAX)),"Bulk density outside the plausible range for a mineral grassland soil. ","")&amp;IF(AND(ISNUMBER($N16),$N16&gt;QC_CARBON_PCT_MAX),"Organic carbon above the QC ceiling — check units, and whether this is an organic horizon. ","")&amp;IF(AND(ISNUMBER($J16),$J16&lt;QC_RECOVERY_MIN),"Recovered less than the QC minimum of the depth driven — the increments may not sit where you think. Do NOT stretch them back out. ","")&amp;IF(AND(ISNUMBER($K16),$K16&gt;0,$L16="Fine earth / total volume"),"Coarse fragments recorded and the lab basis already accounts for them — no further correction applied, which is correct. ",""))</f>
        <v/>
      </c>
      <c r="T16" s="6" t="n"/>
      <c r="U16" s="9">
        <f>IF($B16="",0,IF(COUNTIFS($B$5:$B16,$B16)=1,1,0))</f>
        <v/>
      </c>
    </row>
    <row r="17">
      <c r="A17" s="6" t="n"/>
      <c r="B17" s="6" t="n"/>
      <c r="C17" s="6" t="n"/>
      <c r="D17" s="6" t="n"/>
      <c r="E17" s="6" t="n"/>
      <c r="F17" s="9">
        <f>IF(OR($D17="",$E17=""),"",$E17-$D17)</f>
        <v/>
      </c>
      <c r="G17" s="6" t="n"/>
      <c r="H17" s="6" t="n"/>
      <c r="I17" s="6" t="n"/>
      <c r="J17" s="9">
        <f>IF(OR(NOT(ISNUMBER($H17)),NOT(ISNUMBER($I17)),$H17=0),"",$I17/$H17)</f>
        <v/>
      </c>
      <c r="K17" s="6" t="n"/>
      <c r="L17" s="8" t="n"/>
      <c r="M17" s="7" t="n"/>
      <c r="N17" s="7" t="n"/>
      <c r="O17" s="9">
        <f>IF(NOT(ISNUMBER($M17)),"",IF($L17="Fine earth / fine-earth volume",$M17*(1-IF(ISNUMBER($K17),$K17,0)/100),$M17))</f>
        <v/>
      </c>
      <c r="P17" s="9">
        <f>IF(OR(NOT(ISNUMBER($O17)),NOT(ISNUMBER($N17)),NOT(ISNUMBER($F17))),"",$O17*($N17/100)*$F17*10)</f>
        <v/>
      </c>
      <c r="Q17" s="9">
        <f>IF(OR(NOT(ISNUMBER($D17)),NOT(ISNUMBER($E17))),"",MAX(0,MIN($E17,SOIL_REPORTING_DEPTH_CM)-MIN($D17,SOIL_REPORTING_DEPTH_CM)))</f>
        <v/>
      </c>
      <c r="R17" s="9">
        <f>IF(OR(NOT(ISNUMBER($O17)),NOT(ISNUMBER($N17)),NOT(ISNUMBER($Q17))),"",$O17*($N17/100)*$Q17*10)</f>
        <v/>
      </c>
      <c r="S17" s="11">
        <f>IF(AND($A17="",$B17="",$D17=""),"",IF(AND($A17&lt;&gt;"",COUNTIF('1. Plot &amp; Site Log'!$A$5:$A$64,$A17)=0),"Plot ID not in the Plot &amp; Site Log. ","")&amp;IF(AND(ISNUMBER($D17),ISNUMBER($E17),$E17&lt;=$D17),"Bottom depth is not below top depth. ","")&amp;IF($L17="Not confirmed","Bulk-density basis not confirmed with the lab — the coarse-fragment correction may be wrong or doubled. ","")&amp;IF(AND(ISNUMBER($M17),OR($M17&lt;QC_BD_MIN,$M17&gt;QC_BD_MAX)),"Bulk density outside the plausible range for a mineral grassland soil. ","")&amp;IF(AND(ISNUMBER($N17),$N17&gt;QC_CARBON_PCT_MAX),"Organic carbon above the QC ceiling — check units, and whether this is an organic horizon. ","")&amp;IF(AND(ISNUMBER($J17),$J17&lt;QC_RECOVERY_MIN),"Recovered less than the QC minimum of the depth driven — the increments may not sit where you think. Do NOT stretch them back out. ","")&amp;IF(AND(ISNUMBER($K17),$K17&gt;0,$L17="Fine earth / total volume"),"Coarse fragments recorded and the lab basis already accounts for them — no further correction applied, which is correct. ",""))</f>
        <v/>
      </c>
      <c r="T17" s="6" t="n"/>
      <c r="U17" s="9">
        <f>IF($B17="",0,IF(COUNTIFS($B$5:$B17,$B17)=1,1,0))</f>
        <v/>
      </c>
    </row>
    <row r="18">
      <c r="A18" s="6" t="n"/>
      <c r="B18" s="6" t="n"/>
      <c r="C18" s="6" t="n"/>
      <c r="D18" s="6" t="n"/>
      <c r="E18" s="6" t="n"/>
      <c r="F18" s="9">
        <f>IF(OR($D18="",$E18=""),"",$E18-$D18)</f>
        <v/>
      </c>
      <c r="G18" s="6" t="n"/>
      <c r="H18" s="6" t="n"/>
      <c r="I18" s="6" t="n"/>
      <c r="J18" s="9">
        <f>IF(OR(NOT(ISNUMBER($H18)),NOT(ISNUMBER($I18)),$H18=0),"",$I18/$H18)</f>
        <v/>
      </c>
      <c r="K18" s="6" t="n"/>
      <c r="L18" s="8" t="n"/>
      <c r="M18" s="7" t="n"/>
      <c r="N18" s="7" t="n"/>
      <c r="O18" s="9">
        <f>IF(NOT(ISNUMBER($M18)),"",IF($L18="Fine earth / fine-earth volume",$M18*(1-IF(ISNUMBER($K18),$K18,0)/100),$M18))</f>
        <v/>
      </c>
      <c r="P18" s="9">
        <f>IF(OR(NOT(ISNUMBER($O18)),NOT(ISNUMBER($N18)),NOT(ISNUMBER($F18))),"",$O18*($N18/100)*$F18*10)</f>
        <v/>
      </c>
      <c r="Q18" s="9">
        <f>IF(OR(NOT(ISNUMBER($D18)),NOT(ISNUMBER($E18))),"",MAX(0,MIN($E18,SOIL_REPORTING_DEPTH_CM)-MIN($D18,SOIL_REPORTING_DEPTH_CM)))</f>
        <v/>
      </c>
      <c r="R18" s="9">
        <f>IF(OR(NOT(ISNUMBER($O18)),NOT(ISNUMBER($N18)),NOT(ISNUMBER($Q18))),"",$O18*($N18/100)*$Q18*10)</f>
        <v/>
      </c>
      <c r="S18" s="11">
        <f>IF(AND($A18="",$B18="",$D18=""),"",IF(AND($A18&lt;&gt;"",COUNTIF('1. Plot &amp; Site Log'!$A$5:$A$64,$A18)=0),"Plot ID not in the Plot &amp; Site Log. ","")&amp;IF(AND(ISNUMBER($D18),ISNUMBER($E18),$E18&lt;=$D18),"Bottom depth is not below top depth. ","")&amp;IF($L18="Not confirmed","Bulk-density basis not confirmed with the lab — the coarse-fragment correction may be wrong or doubled. ","")&amp;IF(AND(ISNUMBER($M18),OR($M18&lt;QC_BD_MIN,$M18&gt;QC_BD_MAX)),"Bulk density outside the plausible range for a mineral grassland soil. ","")&amp;IF(AND(ISNUMBER($N18),$N18&gt;QC_CARBON_PCT_MAX),"Organic carbon above the QC ceiling — check units, and whether this is an organic horizon. ","")&amp;IF(AND(ISNUMBER($J18),$J18&lt;QC_RECOVERY_MIN),"Recovered less than the QC minimum of the depth driven — the increments may not sit where you think. Do NOT stretch them back out. ","")&amp;IF(AND(ISNUMBER($K18),$K18&gt;0,$L18="Fine earth / total volume"),"Coarse fragments recorded and the lab basis already accounts for them — no further correction applied, which is correct. ",""))</f>
        <v/>
      </c>
      <c r="T18" s="6" t="n"/>
      <c r="U18" s="9">
        <f>IF($B18="",0,IF(COUNTIFS($B$5:$B18,$B18)=1,1,0))</f>
        <v/>
      </c>
    </row>
    <row r="19">
      <c r="A19" s="6" t="n"/>
      <c r="B19" s="6" t="n"/>
      <c r="C19" s="6" t="n"/>
      <c r="D19" s="6" t="n"/>
      <c r="E19" s="6" t="n"/>
      <c r="F19" s="9">
        <f>IF(OR($D19="",$E19=""),"",$E19-$D19)</f>
        <v/>
      </c>
      <c r="G19" s="6" t="n"/>
      <c r="H19" s="6" t="n"/>
      <c r="I19" s="6" t="n"/>
      <c r="J19" s="9">
        <f>IF(OR(NOT(ISNUMBER($H19)),NOT(ISNUMBER($I19)),$H19=0),"",$I19/$H19)</f>
        <v/>
      </c>
      <c r="K19" s="6" t="n"/>
      <c r="L19" s="8" t="n"/>
      <c r="M19" s="7" t="n"/>
      <c r="N19" s="7" t="n"/>
      <c r="O19" s="9">
        <f>IF(NOT(ISNUMBER($M19)),"",IF($L19="Fine earth / fine-earth volume",$M19*(1-IF(ISNUMBER($K19),$K19,0)/100),$M19))</f>
        <v/>
      </c>
      <c r="P19" s="9">
        <f>IF(OR(NOT(ISNUMBER($O19)),NOT(ISNUMBER($N19)),NOT(ISNUMBER($F19))),"",$O19*($N19/100)*$F19*10)</f>
        <v/>
      </c>
      <c r="Q19" s="9">
        <f>IF(OR(NOT(ISNUMBER($D19)),NOT(ISNUMBER($E19))),"",MAX(0,MIN($E19,SOIL_REPORTING_DEPTH_CM)-MIN($D19,SOIL_REPORTING_DEPTH_CM)))</f>
        <v/>
      </c>
      <c r="R19" s="9">
        <f>IF(OR(NOT(ISNUMBER($O19)),NOT(ISNUMBER($N19)),NOT(ISNUMBER($Q19))),"",$O19*($N19/100)*$Q19*10)</f>
        <v/>
      </c>
      <c r="S19" s="11">
        <f>IF(AND($A19="",$B19="",$D19=""),"",IF(AND($A19&lt;&gt;"",COUNTIF('1. Plot &amp; Site Log'!$A$5:$A$64,$A19)=0),"Plot ID not in the Plot &amp; Site Log. ","")&amp;IF(AND(ISNUMBER($D19),ISNUMBER($E19),$E19&lt;=$D19),"Bottom depth is not below top depth. ","")&amp;IF($L19="Not confirmed","Bulk-density basis not confirmed with the lab — the coarse-fragment correction may be wrong or doubled. ","")&amp;IF(AND(ISNUMBER($M19),OR($M19&lt;QC_BD_MIN,$M19&gt;QC_BD_MAX)),"Bulk density outside the plausible range for a mineral grassland soil. ","")&amp;IF(AND(ISNUMBER($N19),$N19&gt;QC_CARBON_PCT_MAX),"Organic carbon above the QC ceiling — check units, and whether this is an organic horizon. ","")&amp;IF(AND(ISNUMBER($J19),$J19&lt;QC_RECOVERY_MIN),"Recovered less than the QC minimum of the depth driven — the increments may not sit where you think. Do NOT stretch them back out. ","")&amp;IF(AND(ISNUMBER($K19),$K19&gt;0,$L19="Fine earth / total volume"),"Coarse fragments recorded and the lab basis already accounts for them — no further correction applied, which is correct. ",""))</f>
        <v/>
      </c>
      <c r="T19" s="6" t="n"/>
      <c r="U19" s="9">
        <f>IF($B19="",0,IF(COUNTIFS($B$5:$B19,$B19)=1,1,0))</f>
        <v/>
      </c>
    </row>
    <row r="20">
      <c r="A20" s="6" t="n"/>
      <c r="B20" s="6" t="n"/>
      <c r="C20" s="6" t="n"/>
      <c r="D20" s="6" t="n"/>
      <c r="E20" s="6" t="n"/>
      <c r="F20" s="9">
        <f>IF(OR($D20="",$E20=""),"",$E20-$D20)</f>
        <v/>
      </c>
      <c r="G20" s="6" t="n"/>
      <c r="H20" s="6" t="n"/>
      <c r="I20" s="6" t="n"/>
      <c r="J20" s="9">
        <f>IF(OR(NOT(ISNUMBER($H20)),NOT(ISNUMBER($I20)),$H20=0),"",$I20/$H20)</f>
        <v/>
      </c>
      <c r="K20" s="6" t="n"/>
      <c r="L20" s="8" t="n"/>
      <c r="M20" s="7" t="n"/>
      <c r="N20" s="7" t="n"/>
      <c r="O20" s="9">
        <f>IF(NOT(ISNUMBER($M20)),"",IF($L20="Fine earth / fine-earth volume",$M20*(1-IF(ISNUMBER($K20),$K20,0)/100),$M20))</f>
        <v/>
      </c>
      <c r="P20" s="9">
        <f>IF(OR(NOT(ISNUMBER($O20)),NOT(ISNUMBER($N20)),NOT(ISNUMBER($F20))),"",$O20*($N20/100)*$F20*10)</f>
        <v/>
      </c>
      <c r="Q20" s="9">
        <f>IF(OR(NOT(ISNUMBER($D20)),NOT(ISNUMBER($E20))),"",MAX(0,MIN($E20,SOIL_REPORTING_DEPTH_CM)-MIN($D20,SOIL_REPORTING_DEPTH_CM)))</f>
        <v/>
      </c>
      <c r="R20" s="9">
        <f>IF(OR(NOT(ISNUMBER($O20)),NOT(ISNUMBER($N20)),NOT(ISNUMBER($Q20))),"",$O20*($N20/100)*$Q20*10)</f>
        <v/>
      </c>
      <c r="S20" s="11">
        <f>IF(AND($A20="",$B20="",$D20=""),"",IF(AND($A20&lt;&gt;"",COUNTIF('1. Plot &amp; Site Log'!$A$5:$A$64,$A20)=0),"Plot ID not in the Plot &amp; Site Log. ","")&amp;IF(AND(ISNUMBER($D20),ISNUMBER($E20),$E20&lt;=$D20),"Bottom depth is not below top depth. ","")&amp;IF($L20="Not confirmed","Bulk-density basis not confirmed with the lab — the coarse-fragment correction may be wrong or doubled. ","")&amp;IF(AND(ISNUMBER($M20),OR($M20&lt;QC_BD_MIN,$M20&gt;QC_BD_MAX)),"Bulk density outside the plausible range for a mineral grassland soil. ","")&amp;IF(AND(ISNUMBER($N20),$N20&gt;QC_CARBON_PCT_MAX),"Organic carbon above the QC ceiling — check units, and whether this is an organic horizon. ","")&amp;IF(AND(ISNUMBER($J20),$J20&lt;QC_RECOVERY_MIN),"Recovered less than the QC minimum of the depth driven — the increments may not sit where you think. Do NOT stretch them back out. ","")&amp;IF(AND(ISNUMBER($K20),$K20&gt;0,$L20="Fine earth / total volume"),"Coarse fragments recorded and the lab basis already accounts for them — no further correction applied, which is correct. ",""))</f>
        <v/>
      </c>
      <c r="T20" s="6" t="n"/>
      <c r="U20" s="9">
        <f>IF($B20="",0,IF(COUNTIFS($B$5:$B20,$B20)=1,1,0))</f>
        <v/>
      </c>
    </row>
    <row r="21">
      <c r="A21" s="6" t="n"/>
      <c r="B21" s="6" t="n"/>
      <c r="C21" s="6" t="n"/>
      <c r="D21" s="6" t="n"/>
      <c r="E21" s="6" t="n"/>
      <c r="F21" s="9">
        <f>IF(OR($D21="",$E21=""),"",$E21-$D21)</f>
        <v/>
      </c>
      <c r="G21" s="6" t="n"/>
      <c r="H21" s="6" t="n"/>
      <c r="I21" s="6" t="n"/>
      <c r="J21" s="9">
        <f>IF(OR(NOT(ISNUMBER($H21)),NOT(ISNUMBER($I21)),$H21=0),"",$I21/$H21)</f>
        <v/>
      </c>
      <c r="K21" s="6" t="n"/>
      <c r="L21" s="8" t="n"/>
      <c r="M21" s="7" t="n"/>
      <c r="N21" s="7" t="n"/>
      <c r="O21" s="9">
        <f>IF(NOT(ISNUMBER($M21)),"",IF($L21="Fine earth / fine-earth volume",$M21*(1-IF(ISNUMBER($K21),$K21,0)/100),$M21))</f>
        <v/>
      </c>
      <c r="P21" s="9">
        <f>IF(OR(NOT(ISNUMBER($O21)),NOT(ISNUMBER($N21)),NOT(ISNUMBER($F21))),"",$O21*($N21/100)*$F21*10)</f>
        <v/>
      </c>
      <c r="Q21" s="9">
        <f>IF(OR(NOT(ISNUMBER($D21)),NOT(ISNUMBER($E21))),"",MAX(0,MIN($E21,SOIL_REPORTING_DEPTH_CM)-MIN($D21,SOIL_REPORTING_DEPTH_CM)))</f>
        <v/>
      </c>
      <c r="R21" s="9">
        <f>IF(OR(NOT(ISNUMBER($O21)),NOT(ISNUMBER($N21)),NOT(ISNUMBER($Q21))),"",$O21*($N21/100)*$Q21*10)</f>
        <v/>
      </c>
      <c r="S21" s="11">
        <f>IF(AND($A21="",$B21="",$D21=""),"",IF(AND($A21&lt;&gt;"",COUNTIF('1. Plot &amp; Site Log'!$A$5:$A$64,$A21)=0),"Plot ID not in the Plot &amp; Site Log. ","")&amp;IF(AND(ISNUMBER($D21),ISNUMBER($E21),$E21&lt;=$D21),"Bottom depth is not below top depth. ","")&amp;IF($L21="Not confirmed","Bulk-density basis not confirmed with the lab — the coarse-fragment correction may be wrong or doubled. ","")&amp;IF(AND(ISNUMBER($M21),OR($M21&lt;QC_BD_MIN,$M21&gt;QC_BD_MAX)),"Bulk density outside the plausible range for a mineral grassland soil. ","")&amp;IF(AND(ISNUMBER($N21),$N21&gt;QC_CARBON_PCT_MAX),"Organic carbon above the QC ceiling — check units, and whether this is an organic horizon. ","")&amp;IF(AND(ISNUMBER($J21),$J21&lt;QC_RECOVERY_MIN),"Recovered less than the QC minimum of the depth driven — the increments may not sit where you think. Do NOT stretch them back out. ","")&amp;IF(AND(ISNUMBER($K21),$K21&gt;0,$L21="Fine earth / total volume"),"Coarse fragments recorded and the lab basis already accounts for them — no further correction applied, which is correct. ",""))</f>
        <v/>
      </c>
      <c r="T21" s="6" t="n"/>
      <c r="U21" s="9">
        <f>IF($B21="",0,IF(COUNTIFS($B$5:$B21,$B21)=1,1,0))</f>
        <v/>
      </c>
    </row>
    <row r="22">
      <c r="A22" s="6" t="n"/>
      <c r="B22" s="6" t="n"/>
      <c r="C22" s="6" t="n"/>
      <c r="D22" s="6" t="n"/>
      <c r="E22" s="6" t="n"/>
      <c r="F22" s="9">
        <f>IF(OR($D22="",$E22=""),"",$E22-$D22)</f>
        <v/>
      </c>
      <c r="G22" s="6" t="n"/>
      <c r="H22" s="6" t="n"/>
      <c r="I22" s="6" t="n"/>
      <c r="J22" s="9">
        <f>IF(OR(NOT(ISNUMBER($H22)),NOT(ISNUMBER($I22)),$H22=0),"",$I22/$H22)</f>
        <v/>
      </c>
      <c r="K22" s="6" t="n"/>
      <c r="L22" s="8" t="n"/>
      <c r="M22" s="7" t="n"/>
      <c r="N22" s="7" t="n"/>
      <c r="O22" s="9">
        <f>IF(NOT(ISNUMBER($M22)),"",IF($L22="Fine earth / fine-earth volume",$M22*(1-IF(ISNUMBER($K22),$K22,0)/100),$M22))</f>
        <v/>
      </c>
      <c r="P22" s="9">
        <f>IF(OR(NOT(ISNUMBER($O22)),NOT(ISNUMBER($N22)),NOT(ISNUMBER($F22))),"",$O22*($N22/100)*$F22*10)</f>
        <v/>
      </c>
      <c r="Q22" s="9">
        <f>IF(OR(NOT(ISNUMBER($D22)),NOT(ISNUMBER($E22))),"",MAX(0,MIN($E22,SOIL_REPORTING_DEPTH_CM)-MIN($D22,SOIL_REPORTING_DEPTH_CM)))</f>
        <v/>
      </c>
      <c r="R22" s="9">
        <f>IF(OR(NOT(ISNUMBER($O22)),NOT(ISNUMBER($N22)),NOT(ISNUMBER($Q22))),"",$O22*($N22/100)*$Q22*10)</f>
        <v/>
      </c>
      <c r="S22" s="11">
        <f>IF(AND($A22="",$B22="",$D22=""),"",IF(AND($A22&lt;&gt;"",COUNTIF('1. Plot &amp; Site Log'!$A$5:$A$64,$A22)=0),"Plot ID not in the Plot &amp; Site Log. ","")&amp;IF(AND(ISNUMBER($D22),ISNUMBER($E22),$E22&lt;=$D22),"Bottom depth is not below top depth. ","")&amp;IF($L22="Not confirmed","Bulk-density basis not confirmed with the lab — the coarse-fragment correction may be wrong or doubled. ","")&amp;IF(AND(ISNUMBER($M22),OR($M22&lt;QC_BD_MIN,$M22&gt;QC_BD_MAX)),"Bulk density outside the plausible range for a mineral grassland soil. ","")&amp;IF(AND(ISNUMBER($N22),$N22&gt;QC_CARBON_PCT_MAX),"Organic carbon above the QC ceiling — check units, and whether this is an organic horizon. ","")&amp;IF(AND(ISNUMBER($J22),$J22&lt;QC_RECOVERY_MIN),"Recovered less than the QC minimum of the depth driven — the increments may not sit where you think. Do NOT stretch them back out. ","")&amp;IF(AND(ISNUMBER($K22),$K22&gt;0,$L22="Fine earth / total volume"),"Coarse fragments recorded and the lab basis already accounts for them — no further correction applied, which is correct. ",""))</f>
        <v/>
      </c>
      <c r="T22" s="6" t="n"/>
      <c r="U22" s="9">
        <f>IF($B22="",0,IF(COUNTIFS($B$5:$B22,$B22)=1,1,0))</f>
        <v/>
      </c>
    </row>
    <row r="23">
      <c r="A23" s="6" t="n"/>
      <c r="B23" s="6" t="n"/>
      <c r="C23" s="6" t="n"/>
      <c r="D23" s="6" t="n"/>
      <c r="E23" s="6" t="n"/>
      <c r="F23" s="9">
        <f>IF(OR($D23="",$E23=""),"",$E23-$D23)</f>
        <v/>
      </c>
      <c r="G23" s="6" t="n"/>
      <c r="H23" s="6" t="n"/>
      <c r="I23" s="6" t="n"/>
      <c r="J23" s="9">
        <f>IF(OR(NOT(ISNUMBER($H23)),NOT(ISNUMBER($I23)),$H23=0),"",$I23/$H23)</f>
        <v/>
      </c>
      <c r="K23" s="6" t="n"/>
      <c r="L23" s="8" t="n"/>
      <c r="M23" s="7" t="n"/>
      <c r="N23" s="7" t="n"/>
      <c r="O23" s="9">
        <f>IF(NOT(ISNUMBER($M23)),"",IF($L23="Fine earth / fine-earth volume",$M23*(1-IF(ISNUMBER($K23),$K23,0)/100),$M23))</f>
        <v/>
      </c>
      <c r="P23" s="9">
        <f>IF(OR(NOT(ISNUMBER($O23)),NOT(ISNUMBER($N23)),NOT(ISNUMBER($F23))),"",$O23*($N23/100)*$F23*10)</f>
        <v/>
      </c>
      <c r="Q23" s="9">
        <f>IF(OR(NOT(ISNUMBER($D23)),NOT(ISNUMBER($E23))),"",MAX(0,MIN($E23,SOIL_REPORTING_DEPTH_CM)-MIN($D23,SOIL_REPORTING_DEPTH_CM)))</f>
        <v/>
      </c>
      <c r="R23" s="9">
        <f>IF(OR(NOT(ISNUMBER($O23)),NOT(ISNUMBER($N23)),NOT(ISNUMBER($Q23))),"",$O23*($N23/100)*$Q23*10)</f>
        <v/>
      </c>
      <c r="S23" s="11">
        <f>IF(AND($A23="",$B23="",$D23=""),"",IF(AND($A23&lt;&gt;"",COUNTIF('1. Plot &amp; Site Log'!$A$5:$A$64,$A23)=0),"Plot ID not in the Plot &amp; Site Log. ","")&amp;IF(AND(ISNUMBER($D23),ISNUMBER($E23),$E23&lt;=$D23),"Bottom depth is not below top depth. ","")&amp;IF($L23="Not confirmed","Bulk-density basis not confirmed with the lab — the coarse-fragment correction may be wrong or doubled. ","")&amp;IF(AND(ISNUMBER($M23),OR($M23&lt;QC_BD_MIN,$M23&gt;QC_BD_MAX)),"Bulk density outside the plausible range for a mineral grassland soil. ","")&amp;IF(AND(ISNUMBER($N23),$N23&gt;QC_CARBON_PCT_MAX),"Organic carbon above the QC ceiling — check units, and whether this is an organic horizon. ","")&amp;IF(AND(ISNUMBER($J23),$J23&lt;QC_RECOVERY_MIN),"Recovered less than the QC minimum of the depth driven — the increments may not sit where you think. Do NOT stretch them back out. ","")&amp;IF(AND(ISNUMBER($K23),$K23&gt;0,$L23="Fine earth / total volume"),"Coarse fragments recorded and the lab basis already accounts for them — no further correction applied, which is correct. ",""))</f>
        <v/>
      </c>
      <c r="T23" s="6" t="n"/>
      <c r="U23" s="9">
        <f>IF($B23="",0,IF(COUNTIFS($B$5:$B23,$B23)=1,1,0))</f>
        <v/>
      </c>
    </row>
    <row r="24">
      <c r="A24" s="6" t="n"/>
      <c r="B24" s="6" t="n"/>
      <c r="C24" s="6" t="n"/>
      <c r="D24" s="6" t="n"/>
      <c r="E24" s="6" t="n"/>
      <c r="F24" s="9">
        <f>IF(OR($D24="",$E24=""),"",$E24-$D24)</f>
        <v/>
      </c>
      <c r="G24" s="6" t="n"/>
      <c r="H24" s="6" t="n"/>
      <c r="I24" s="6" t="n"/>
      <c r="J24" s="9">
        <f>IF(OR(NOT(ISNUMBER($H24)),NOT(ISNUMBER($I24)),$H24=0),"",$I24/$H24)</f>
        <v/>
      </c>
      <c r="K24" s="6" t="n"/>
      <c r="L24" s="8" t="n"/>
      <c r="M24" s="7" t="n"/>
      <c r="N24" s="7" t="n"/>
      <c r="O24" s="9">
        <f>IF(NOT(ISNUMBER($M24)),"",IF($L24="Fine earth / fine-earth volume",$M24*(1-IF(ISNUMBER($K24),$K24,0)/100),$M24))</f>
        <v/>
      </c>
      <c r="P24" s="9">
        <f>IF(OR(NOT(ISNUMBER($O24)),NOT(ISNUMBER($N24)),NOT(ISNUMBER($F24))),"",$O24*($N24/100)*$F24*10)</f>
        <v/>
      </c>
      <c r="Q24" s="9">
        <f>IF(OR(NOT(ISNUMBER($D24)),NOT(ISNUMBER($E24))),"",MAX(0,MIN($E24,SOIL_REPORTING_DEPTH_CM)-MIN($D24,SOIL_REPORTING_DEPTH_CM)))</f>
        <v/>
      </c>
      <c r="R24" s="9">
        <f>IF(OR(NOT(ISNUMBER($O24)),NOT(ISNUMBER($N24)),NOT(ISNUMBER($Q24))),"",$O24*($N24/100)*$Q24*10)</f>
        <v/>
      </c>
      <c r="S24" s="11">
        <f>IF(AND($A24="",$B24="",$D24=""),"",IF(AND($A24&lt;&gt;"",COUNTIF('1. Plot &amp; Site Log'!$A$5:$A$64,$A24)=0),"Plot ID not in the Plot &amp; Site Log. ","")&amp;IF(AND(ISNUMBER($D24),ISNUMBER($E24),$E24&lt;=$D24),"Bottom depth is not below top depth. ","")&amp;IF($L24="Not confirmed","Bulk-density basis not confirmed with the lab — the coarse-fragment correction may be wrong or doubled. ","")&amp;IF(AND(ISNUMBER($M24),OR($M24&lt;QC_BD_MIN,$M24&gt;QC_BD_MAX)),"Bulk density outside the plausible range for a mineral grassland soil. ","")&amp;IF(AND(ISNUMBER($N24),$N24&gt;QC_CARBON_PCT_MAX),"Organic carbon above the QC ceiling — check units, and whether this is an organic horizon. ","")&amp;IF(AND(ISNUMBER($J24),$J24&lt;QC_RECOVERY_MIN),"Recovered less than the QC minimum of the depth driven — the increments may not sit where you think. Do NOT stretch them back out. ","")&amp;IF(AND(ISNUMBER($K24),$K24&gt;0,$L24="Fine earth / total volume"),"Coarse fragments recorded and the lab basis already accounts for them — no further correction applied, which is correct. ",""))</f>
        <v/>
      </c>
      <c r="T24" s="6" t="n"/>
      <c r="U24" s="9">
        <f>IF($B24="",0,IF(COUNTIFS($B$5:$B24,$B24)=1,1,0))</f>
        <v/>
      </c>
    </row>
    <row r="25">
      <c r="A25" s="6" t="n"/>
      <c r="B25" s="6" t="n"/>
      <c r="C25" s="6" t="n"/>
      <c r="D25" s="6" t="n"/>
      <c r="E25" s="6" t="n"/>
      <c r="F25" s="9">
        <f>IF(OR($D25="",$E25=""),"",$E25-$D25)</f>
        <v/>
      </c>
      <c r="G25" s="6" t="n"/>
      <c r="H25" s="6" t="n"/>
      <c r="I25" s="6" t="n"/>
      <c r="J25" s="9">
        <f>IF(OR(NOT(ISNUMBER($H25)),NOT(ISNUMBER($I25)),$H25=0),"",$I25/$H25)</f>
        <v/>
      </c>
      <c r="K25" s="6" t="n"/>
      <c r="L25" s="8" t="n"/>
      <c r="M25" s="7" t="n"/>
      <c r="N25" s="7" t="n"/>
      <c r="O25" s="9">
        <f>IF(NOT(ISNUMBER($M25)),"",IF($L25="Fine earth / fine-earth volume",$M25*(1-IF(ISNUMBER($K25),$K25,0)/100),$M25))</f>
        <v/>
      </c>
      <c r="P25" s="9">
        <f>IF(OR(NOT(ISNUMBER($O25)),NOT(ISNUMBER($N25)),NOT(ISNUMBER($F25))),"",$O25*($N25/100)*$F25*10)</f>
        <v/>
      </c>
      <c r="Q25" s="9">
        <f>IF(OR(NOT(ISNUMBER($D25)),NOT(ISNUMBER($E25))),"",MAX(0,MIN($E25,SOIL_REPORTING_DEPTH_CM)-MIN($D25,SOIL_REPORTING_DEPTH_CM)))</f>
        <v/>
      </c>
      <c r="R25" s="9">
        <f>IF(OR(NOT(ISNUMBER($O25)),NOT(ISNUMBER($N25)),NOT(ISNUMBER($Q25))),"",$O25*($N25/100)*$Q25*10)</f>
        <v/>
      </c>
      <c r="S25" s="11">
        <f>IF(AND($A25="",$B25="",$D25=""),"",IF(AND($A25&lt;&gt;"",COUNTIF('1. Plot &amp; Site Log'!$A$5:$A$64,$A25)=0),"Plot ID not in the Plot &amp; Site Log. ","")&amp;IF(AND(ISNUMBER($D25),ISNUMBER($E25),$E25&lt;=$D25),"Bottom depth is not below top depth. ","")&amp;IF($L25="Not confirmed","Bulk-density basis not confirmed with the lab — the coarse-fragment correction may be wrong or doubled. ","")&amp;IF(AND(ISNUMBER($M25),OR($M25&lt;QC_BD_MIN,$M25&gt;QC_BD_MAX)),"Bulk density outside the plausible range for a mineral grassland soil. ","")&amp;IF(AND(ISNUMBER($N25),$N25&gt;QC_CARBON_PCT_MAX),"Organic carbon above the QC ceiling — check units, and whether this is an organic horizon. ","")&amp;IF(AND(ISNUMBER($J25),$J25&lt;QC_RECOVERY_MIN),"Recovered less than the QC minimum of the depth driven — the increments may not sit where you think. Do NOT stretch them back out. ","")&amp;IF(AND(ISNUMBER($K25),$K25&gt;0,$L25="Fine earth / total volume"),"Coarse fragments recorded and the lab basis already accounts for them — no further correction applied, which is correct. ",""))</f>
        <v/>
      </c>
      <c r="T25" s="6" t="n"/>
      <c r="U25" s="9">
        <f>IF($B25="",0,IF(COUNTIFS($B$5:$B25,$B25)=1,1,0))</f>
        <v/>
      </c>
    </row>
    <row r="26">
      <c r="A26" s="6" t="n"/>
      <c r="B26" s="6" t="n"/>
      <c r="C26" s="6" t="n"/>
      <c r="D26" s="6" t="n"/>
      <c r="E26" s="6" t="n"/>
      <c r="F26" s="9">
        <f>IF(OR($D26="",$E26=""),"",$E26-$D26)</f>
        <v/>
      </c>
      <c r="G26" s="6" t="n"/>
      <c r="H26" s="6" t="n"/>
      <c r="I26" s="6" t="n"/>
      <c r="J26" s="9">
        <f>IF(OR(NOT(ISNUMBER($H26)),NOT(ISNUMBER($I26)),$H26=0),"",$I26/$H26)</f>
        <v/>
      </c>
      <c r="K26" s="6" t="n"/>
      <c r="L26" s="8" t="n"/>
      <c r="M26" s="7" t="n"/>
      <c r="N26" s="7" t="n"/>
      <c r="O26" s="9">
        <f>IF(NOT(ISNUMBER($M26)),"",IF($L26="Fine earth / fine-earth volume",$M26*(1-IF(ISNUMBER($K26),$K26,0)/100),$M26))</f>
        <v/>
      </c>
      <c r="P26" s="9">
        <f>IF(OR(NOT(ISNUMBER($O26)),NOT(ISNUMBER($N26)),NOT(ISNUMBER($F26))),"",$O26*($N26/100)*$F26*10)</f>
        <v/>
      </c>
      <c r="Q26" s="9">
        <f>IF(OR(NOT(ISNUMBER($D26)),NOT(ISNUMBER($E26))),"",MAX(0,MIN($E26,SOIL_REPORTING_DEPTH_CM)-MIN($D26,SOIL_REPORTING_DEPTH_CM)))</f>
        <v/>
      </c>
      <c r="R26" s="9">
        <f>IF(OR(NOT(ISNUMBER($O26)),NOT(ISNUMBER($N26)),NOT(ISNUMBER($Q26))),"",$O26*($N26/100)*$Q26*10)</f>
        <v/>
      </c>
      <c r="S26" s="11">
        <f>IF(AND($A26="",$B26="",$D26=""),"",IF(AND($A26&lt;&gt;"",COUNTIF('1. Plot &amp; Site Log'!$A$5:$A$64,$A26)=0),"Plot ID not in the Plot &amp; Site Log. ","")&amp;IF(AND(ISNUMBER($D26),ISNUMBER($E26),$E26&lt;=$D26),"Bottom depth is not below top depth. ","")&amp;IF($L26="Not confirmed","Bulk-density basis not confirmed with the lab — the coarse-fragment correction may be wrong or doubled. ","")&amp;IF(AND(ISNUMBER($M26),OR($M26&lt;QC_BD_MIN,$M26&gt;QC_BD_MAX)),"Bulk density outside the plausible range for a mineral grassland soil. ","")&amp;IF(AND(ISNUMBER($N26),$N26&gt;QC_CARBON_PCT_MAX),"Organic carbon above the QC ceiling — check units, and whether this is an organic horizon. ","")&amp;IF(AND(ISNUMBER($J26),$J26&lt;QC_RECOVERY_MIN),"Recovered less than the QC minimum of the depth driven — the increments may not sit where you think. Do NOT stretch them back out. ","")&amp;IF(AND(ISNUMBER($K26),$K26&gt;0,$L26="Fine earth / total volume"),"Coarse fragments recorded and the lab basis already accounts for them — no further correction applied, which is correct. ",""))</f>
        <v/>
      </c>
      <c r="T26" s="6" t="n"/>
      <c r="U26" s="9">
        <f>IF($B26="",0,IF(COUNTIFS($B$5:$B26,$B26)=1,1,0))</f>
        <v/>
      </c>
    </row>
    <row r="27">
      <c r="A27" s="6" t="n"/>
      <c r="B27" s="6" t="n"/>
      <c r="C27" s="6" t="n"/>
      <c r="D27" s="6" t="n"/>
      <c r="E27" s="6" t="n"/>
      <c r="F27" s="9">
        <f>IF(OR($D27="",$E27=""),"",$E27-$D27)</f>
        <v/>
      </c>
      <c r="G27" s="6" t="n"/>
      <c r="H27" s="6" t="n"/>
      <c r="I27" s="6" t="n"/>
      <c r="J27" s="9">
        <f>IF(OR(NOT(ISNUMBER($H27)),NOT(ISNUMBER($I27)),$H27=0),"",$I27/$H27)</f>
        <v/>
      </c>
      <c r="K27" s="6" t="n"/>
      <c r="L27" s="8" t="n"/>
      <c r="M27" s="7" t="n"/>
      <c r="N27" s="7" t="n"/>
      <c r="O27" s="9">
        <f>IF(NOT(ISNUMBER($M27)),"",IF($L27="Fine earth / fine-earth volume",$M27*(1-IF(ISNUMBER($K27),$K27,0)/100),$M27))</f>
        <v/>
      </c>
      <c r="P27" s="9">
        <f>IF(OR(NOT(ISNUMBER($O27)),NOT(ISNUMBER($N27)),NOT(ISNUMBER($F27))),"",$O27*($N27/100)*$F27*10)</f>
        <v/>
      </c>
      <c r="Q27" s="9">
        <f>IF(OR(NOT(ISNUMBER($D27)),NOT(ISNUMBER($E27))),"",MAX(0,MIN($E27,SOIL_REPORTING_DEPTH_CM)-MIN($D27,SOIL_REPORTING_DEPTH_CM)))</f>
        <v/>
      </c>
      <c r="R27" s="9">
        <f>IF(OR(NOT(ISNUMBER($O27)),NOT(ISNUMBER($N27)),NOT(ISNUMBER($Q27))),"",$O27*($N27/100)*$Q27*10)</f>
        <v/>
      </c>
      <c r="S27" s="11">
        <f>IF(AND($A27="",$B27="",$D27=""),"",IF(AND($A27&lt;&gt;"",COUNTIF('1. Plot &amp; Site Log'!$A$5:$A$64,$A27)=0),"Plot ID not in the Plot &amp; Site Log. ","")&amp;IF(AND(ISNUMBER($D27),ISNUMBER($E27),$E27&lt;=$D27),"Bottom depth is not below top depth. ","")&amp;IF($L27="Not confirmed","Bulk-density basis not confirmed with the lab — the coarse-fragment correction may be wrong or doubled. ","")&amp;IF(AND(ISNUMBER($M27),OR($M27&lt;QC_BD_MIN,$M27&gt;QC_BD_MAX)),"Bulk density outside the plausible range for a mineral grassland soil. ","")&amp;IF(AND(ISNUMBER($N27),$N27&gt;QC_CARBON_PCT_MAX),"Organic carbon above the QC ceiling — check units, and whether this is an organic horizon. ","")&amp;IF(AND(ISNUMBER($J27),$J27&lt;QC_RECOVERY_MIN),"Recovered less than the QC minimum of the depth driven — the increments may not sit where you think. Do NOT stretch them back out. ","")&amp;IF(AND(ISNUMBER($K27),$K27&gt;0,$L27="Fine earth / total volume"),"Coarse fragments recorded and the lab basis already accounts for them — no further correction applied, which is correct. ",""))</f>
        <v/>
      </c>
      <c r="T27" s="6" t="n"/>
      <c r="U27" s="9">
        <f>IF($B27="",0,IF(COUNTIFS($B$5:$B27,$B27)=1,1,0))</f>
        <v/>
      </c>
    </row>
    <row r="28">
      <c r="A28" s="6" t="n"/>
      <c r="B28" s="6" t="n"/>
      <c r="C28" s="6" t="n"/>
      <c r="D28" s="6" t="n"/>
      <c r="E28" s="6" t="n"/>
      <c r="F28" s="9">
        <f>IF(OR($D28="",$E28=""),"",$E28-$D28)</f>
        <v/>
      </c>
      <c r="G28" s="6" t="n"/>
      <c r="H28" s="6" t="n"/>
      <c r="I28" s="6" t="n"/>
      <c r="J28" s="9">
        <f>IF(OR(NOT(ISNUMBER($H28)),NOT(ISNUMBER($I28)),$H28=0),"",$I28/$H28)</f>
        <v/>
      </c>
      <c r="K28" s="6" t="n"/>
      <c r="L28" s="8" t="n"/>
      <c r="M28" s="7" t="n"/>
      <c r="N28" s="7" t="n"/>
      <c r="O28" s="9">
        <f>IF(NOT(ISNUMBER($M28)),"",IF($L28="Fine earth / fine-earth volume",$M28*(1-IF(ISNUMBER($K28),$K28,0)/100),$M28))</f>
        <v/>
      </c>
      <c r="P28" s="9">
        <f>IF(OR(NOT(ISNUMBER($O28)),NOT(ISNUMBER($N28)),NOT(ISNUMBER($F28))),"",$O28*($N28/100)*$F28*10)</f>
        <v/>
      </c>
      <c r="Q28" s="9">
        <f>IF(OR(NOT(ISNUMBER($D28)),NOT(ISNUMBER($E28))),"",MAX(0,MIN($E28,SOIL_REPORTING_DEPTH_CM)-MIN($D28,SOIL_REPORTING_DEPTH_CM)))</f>
        <v/>
      </c>
      <c r="R28" s="9">
        <f>IF(OR(NOT(ISNUMBER($O28)),NOT(ISNUMBER($N28)),NOT(ISNUMBER($Q28))),"",$O28*($N28/100)*$Q28*10)</f>
        <v/>
      </c>
      <c r="S28" s="11">
        <f>IF(AND($A28="",$B28="",$D28=""),"",IF(AND($A28&lt;&gt;"",COUNTIF('1. Plot &amp; Site Log'!$A$5:$A$64,$A28)=0),"Plot ID not in the Plot &amp; Site Log. ","")&amp;IF(AND(ISNUMBER($D28),ISNUMBER($E28),$E28&lt;=$D28),"Bottom depth is not below top depth. ","")&amp;IF($L28="Not confirmed","Bulk-density basis not confirmed with the lab — the coarse-fragment correction may be wrong or doubled. ","")&amp;IF(AND(ISNUMBER($M28),OR($M28&lt;QC_BD_MIN,$M28&gt;QC_BD_MAX)),"Bulk density outside the plausible range for a mineral grassland soil. ","")&amp;IF(AND(ISNUMBER($N28),$N28&gt;QC_CARBON_PCT_MAX),"Organic carbon above the QC ceiling — check units, and whether this is an organic horizon. ","")&amp;IF(AND(ISNUMBER($J28),$J28&lt;QC_RECOVERY_MIN),"Recovered less than the QC minimum of the depth driven — the increments may not sit where you think. Do NOT stretch them back out. ","")&amp;IF(AND(ISNUMBER($K28),$K28&gt;0,$L28="Fine earth / total volume"),"Coarse fragments recorded and the lab basis already accounts for them — no further correction applied, which is correct. ",""))</f>
        <v/>
      </c>
      <c r="T28" s="6" t="n"/>
      <c r="U28" s="9">
        <f>IF($B28="",0,IF(COUNTIFS($B$5:$B28,$B28)=1,1,0))</f>
        <v/>
      </c>
    </row>
    <row r="29">
      <c r="A29" s="6" t="n"/>
      <c r="B29" s="6" t="n"/>
      <c r="C29" s="6" t="n"/>
      <c r="D29" s="6" t="n"/>
      <c r="E29" s="6" t="n"/>
      <c r="F29" s="9">
        <f>IF(OR($D29="",$E29=""),"",$E29-$D29)</f>
        <v/>
      </c>
      <c r="G29" s="6" t="n"/>
      <c r="H29" s="6" t="n"/>
      <c r="I29" s="6" t="n"/>
      <c r="J29" s="9">
        <f>IF(OR(NOT(ISNUMBER($H29)),NOT(ISNUMBER($I29)),$H29=0),"",$I29/$H29)</f>
        <v/>
      </c>
      <c r="K29" s="6" t="n"/>
      <c r="L29" s="8" t="n"/>
      <c r="M29" s="7" t="n"/>
      <c r="N29" s="7" t="n"/>
      <c r="O29" s="9">
        <f>IF(NOT(ISNUMBER($M29)),"",IF($L29="Fine earth / fine-earth volume",$M29*(1-IF(ISNUMBER($K29),$K29,0)/100),$M29))</f>
        <v/>
      </c>
      <c r="P29" s="9">
        <f>IF(OR(NOT(ISNUMBER($O29)),NOT(ISNUMBER($N29)),NOT(ISNUMBER($F29))),"",$O29*($N29/100)*$F29*10)</f>
        <v/>
      </c>
      <c r="Q29" s="9">
        <f>IF(OR(NOT(ISNUMBER($D29)),NOT(ISNUMBER($E29))),"",MAX(0,MIN($E29,SOIL_REPORTING_DEPTH_CM)-MIN($D29,SOIL_REPORTING_DEPTH_CM)))</f>
        <v/>
      </c>
      <c r="R29" s="9">
        <f>IF(OR(NOT(ISNUMBER($O29)),NOT(ISNUMBER($N29)),NOT(ISNUMBER($Q29))),"",$O29*($N29/100)*$Q29*10)</f>
        <v/>
      </c>
      <c r="S29" s="11">
        <f>IF(AND($A29="",$B29="",$D29=""),"",IF(AND($A29&lt;&gt;"",COUNTIF('1. Plot &amp; Site Log'!$A$5:$A$64,$A29)=0),"Plot ID not in the Plot &amp; Site Log. ","")&amp;IF(AND(ISNUMBER($D29),ISNUMBER($E29),$E29&lt;=$D29),"Bottom depth is not below top depth. ","")&amp;IF($L29="Not confirmed","Bulk-density basis not confirmed with the lab — the coarse-fragment correction may be wrong or doubled. ","")&amp;IF(AND(ISNUMBER($M29),OR($M29&lt;QC_BD_MIN,$M29&gt;QC_BD_MAX)),"Bulk density outside the plausible range for a mineral grassland soil. ","")&amp;IF(AND(ISNUMBER($N29),$N29&gt;QC_CARBON_PCT_MAX),"Organic carbon above the QC ceiling — check units, and whether this is an organic horizon. ","")&amp;IF(AND(ISNUMBER($J29),$J29&lt;QC_RECOVERY_MIN),"Recovered less than the QC minimum of the depth driven — the increments may not sit where you think. Do NOT stretch them back out. ","")&amp;IF(AND(ISNUMBER($K29),$K29&gt;0,$L29="Fine earth / total volume"),"Coarse fragments recorded and the lab basis already accounts for them — no further correction applied, which is correct. ",""))</f>
        <v/>
      </c>
      <c r="T29" s="6" t="n"/>
      <c r="U29" s="9">
        <f>IF($B29="",0,IF(COUNTIFS($B$5:$B29,$B29)=1,1,0))</f>
        <v/>
      </c>
    </row>
    <row r="30">
      <c r="A30" s="6" t="n"/>
      <c r="B30" s="6" t="n"/>
      <c r="C30" s="6" t="n"/>
      <c r="D30" s="6" t="n"/>
      <c r="E30" s="6" t="n"/>
      <c r="F30" s="9">
        <f>IF(OR($D30="",$E30=""),"",$E30-$D30)</f>
        <v/>
      </c>
      <c r="G30" s="6" t="n"/>
      <c r="H30" s="6" t="n"/>
      <c r="I30" s="6" t="n"/>
      <c r="J30" s="9">
        <f>IF(OR(NOT(ISNUMBER($H30)),NOT(ISNUMBER($I30)),$H30=0),"",$I30/$H30)</f>
        <v/>
      </c>
      <c r="K30" s="6" t="n"/>
      <c r="L30" s="8" t="n"/>
      <c r="M30" s="7" t="n"/>
      <c r="N30" s="7" t="n"/>
      <c r="O30" s="9">
        <f>IF(NOT(ISNUMBER($M30)),"",IF($L30="Fine earth / fine-earth volume",$M30*(1-IF(ISNUMBER($K30),$K30,0)/100),$M30))</f>
        <v/>
      </c>
      <c r="P30" s="9">
        <f>IF(OR(NOT(ISNUMBER($O30)),NOT(ISNUMBER($N30)),NOT(ISNUMBER($F30))),"",$O30*($N30/100)*$F30*10)</f>
        <v/>
      </c>
      <c r="Q30" s="9">
        <f>IF(OR(NOT(ISNUMBER($D30)),NOT(ISNUMBER($E30))),"",MAX(0,MIN($E30,SOIL_REPORTING_DEPTH_CM)-MIN($D30,SOIL_REPORTING_DEPTH_CM)))</f>
        <v/>
      </c>
      <c r="R30" s="9">
        <f>IF(OR(NOT(ISNUMBER($O30)),NOT(ISNUMBER($N30)),NOT(ISNUMBER($Q30))),"",$O30*($N30/100)*$Q30*10)</f>
        <v/>
      </c>
      <c r="S30" s="11">
        <f>IF(AND($A30="",$B30="",$D30=""),"",IF(AND($A30&lt;&gt;"",COUNTIF('1. Plot &amp; Site Log'!$A$5:$A$64,$A30)=0),"Plot ID not in the Plot &amp; Site Log. ","")&amp;IF(AND(ISNUMBER($D30),ISNUMBER($E30),$E30&lt;=$D30),"Bottom depth is not below top depth. ","")&amp;IF($L30="Not confirmed","Bulk-density basis not confirmed with the lab — the coarse-fragment correction may be wrong or doubled. ","")&amp;IF(AND(ISNUMBER($M30),OR($M30&lt;QC_BD_MIN,$M30&gt;QC_BD_MAX)),"Bulk density outside the plausible range for a mineral grassland soil. ","")&amp;IF(AND(ISNUMBER($N30),$N30&gt;QC_CARBON_PCT_MAX),"Organic carbon above the QC ceiling — check units, and whether this is an organic horizon. ","")&amp;IF(AND(ISNUMBER($J30),$J30&lt;QC_RECOVERY_MIN),"Recovered less than the QC minimum of the depth driven — the increments may not sit where you think. Do NOT stretch them back out. ","")&amp;IF(AND(ISNUMBER($K30),$K30&gt;0,$L30="Fine earth / total volume"),"Coarse fragments recorded and the lab basis already accounts for them — no further correction applied, which is correct. ",""))</f>
        <v/>
      </c>
      <c r="T30" s="6" t="n"/>
      <c r="U30" s="9">
        <f>IF($B30="",0,IF(COUNTIFS($B$5:$B30,$B30)=1,1,0))</f>
        <v/>
      </c>
    </row>
    <row r="31">
      <c r="A31" s="6" t="n"/>
      <c r="B31" s="6" t="n"/>
      <c r="C31" s="6" t="n"/>
      <c r="D31" s="6" t="n"/>
      <c r="E31" s="6" t="n"/>
      <c r="F31" s="9">
        <f>IF(OR($D31="",$E31=""),"",$E31-$D31)</f>
        <v/>
      </c>
      <c r="G31" s="6" t="n"/>
      <c r="H31" s="6" t="n"/>
      <c r="I31" s="6" t="n"/>
      <c r="J31" s="9">
        <f>IF(OR(NOT(ISNUMBER($H31)),NOT(ISNUMBER($I31)),$H31=0),"",$I31/$H31)</f>
        <v/>
      </c>
      <c r="K31" s="6" t="n"/>
      <c r="L31" s="8" t="n"/>
      <c r="M31" s="7" t="n"/>
      <c r="N31" s="7" t="n"/>
      <c r="O31" s="9">
        <f>IF(NOT(ISNUMBER($M31)),"",IF($L31="Fine earth / fine-earth volume",$M31*(1-IF(ISNUMBER($K31),$K31,0)/100),$M31))</f>
        <v/>
      </c>
      <c r="P31" s="9">
        <f>IF(OR(NOT(ISNUMBER($O31)),NOT(ISNUMBER($N31)),NOT(ISNUMBER($F31))),"",$O31*($N31/100)*$F31*10)</f>
        <v/>
      </c>
      <c r="Q31" s="9">
        <f>IF(OR(NOT(ISNUMBER($D31)),NOT(ISNUMBER($E31))),"",MAX(0,MIN($E31,SOIL_REPORTING_DEPTH_CM)-MIN($D31,SOIL_REPORTING_DEPTH_CM)))</f>
        <v/>
      </c>
      <c r="R31" s="9">
        <f>IF(OR(NOT(ISNUMBER($O31)),NOT(ISNUMBER($N31)),NOT(ISNUMBER($Q31))),"",$O31*($N31/100)*$Q31*10)</f>
        <v/>
      </c>
      <c r="S31" s="11">
        <f>IF(AND($A31="",$B31="",$D31=""),"",IF(AND($A31&lt;&gt;"",COUNTIF('1. Plot &amp; Site Log'!$A$5:$A$64,$A31)=0),"Plot ID not in the Plot &amp; Site Log. ","")&amp;IF(AND(ISNUMBER($D31),ISNUMBER($E31),$E31&lt;=$D31),"Bottom depth is not below top depth. ","")&amp;IF($L31="Not confirmed","Bulk-density basis not confirmed with the lab — the coarse-fragment correction may be wrong or doubled. ","")&amp;IF(AND(ISNUMBER($M31),OR($M31&lt;QC_BD_MIN,$M31&gt;QC_BD_MAX)),"Bulk density outside the plausible range for a mineral grassland soil. ","")&amp;IF(AND(ISNUMBER($N31),$N31&gt;QC_CARBON_PCT_MAX),"Organic carbon above the QC ceiling — check units, and whether this is an organic horizon. ","")&amp;IF(AND(ISNUMBER($J31),$J31&lt;QC_RECOVERY_MIN),"Recovered less than the QC minimum of the depth driven — the increments may not sit where you think. Do NOT stretch them back out. ","")&amp;IF(AND(ISNUMBER($K31),$K31&gt;0,$L31="Fine earth / total volume"),"Coarse fragments recorded and the lab basis already accounts for them — no further correction applied, which is correct. ",""))</f>
        <v/>
      </c>
      <c r="T31" s="6" t="n"/>
      <c r="U31" s="9">
        <f>IF($B31="",0,IF(COUNTIFS($B$5:$B31,$B31)=1,1,0))</f>
        <v/>
      </c>
    </row>
    <row r="32">
      <c r="A32" s="6" t="n"/>
      <c r="B32" s="6" t="n"/>
      <c r="C32" s="6" t="n"/>
      <c r="D32" s="6" t="n"/>
      <c r="E32" s="6" t="n"/>
      <c r="F32" s="9">
        <f>IF(OR($D32="",$E32=""),"",$E32-$D32)</f>
        <v/>
      </c>
      <c r="G32" s="6" t="n"/>
      <c r="H32" s="6" t="n"/>
      <c r="I32" s="6" t="n"/>
      <c r="J32" s="9">
        <f>IF(OR(NOT(ISNUMBER($H32)),NOT(ISNUMBER($I32)),$H32=0),"",$I32/$H32)</f>
        <v/>
      </c>
      <c r="K32" s="6" t="n"/>
      <c r="L32" s="8" t="n"/>
      <c r="M32" s="7" t="n"/>
      <c r="N32" s="7" t="n"/>
      <c r="O32" s="9">
        <f>IF(NOT(ISNUMBER($M32)),"",IF($L32="Fine earth / fine-earth volume",$M32*(1-IF(ISNUMBER($K32),$K32,0)/100),$M32))</f>
        <v/>
      </c>
      <c r="P32" s="9">
        <f>IF(OR(NOT(ISNUMBER($O32)),NOT(ISNUMBER($N32)),NOT(ISNUMBER($F32))),"",$O32*($N32/100)*$F32*10)</f>
        <v/>
      </c>
      <c r="Q32" s="9">
        <f>IF(OR(NOT(ISNUMBER($D32)),NOT(ISNUMBER($E32))),"",MAX(0,MIN($E32,SOIL_REPORTING_DEPTH_CM)-MIN($D32,SOIL_REPORTING_DEPTH_CM)))</f>
        <v/>
      </c>
      <c r="R32" s="9">
        <f>IF(OR(NOT(ISNUMBER($O32)),NOT(ISNUMBER($N32)),NOT(ISNUMBER($Q32))),"",$O32*($N32/100)*$Q32*10)</f>
        <v/>
      </c>
      <c r="S32" s="11">
        <f>IF(AND($A32="",$B32="",$D32=""),"",IF(AND($A32&lt;&gt;"",COUNTIF('1. Plot &amp; Site Log'!$A$5:$A$64,$A32)=0),"Plot ID not in the Plot &amp; Site Log. ","")&amp;IF(AND(ISNUMBER($D32),ISNUMBER($E32),$E32&lt;=$D32),"Bottom depth is not below top depth. ","")&amp;IF($L32="Not confirmed","Bulk-density basis not confirmed with the lab — the coarse-fragment correction may be wrong or doubled. ","")&amp;IF(AND(ISNUMBER($M32),OR($M32&lt;QC_BD_MIN,$M32&gt;QC_BD_MAX)),"Bulk density outside the plausible range for a mineral grassland soil. ","")&amp;IF(AND(ISNUMBER($N32),$N32&gt;QC_CARBON_PCT_MAX),"Organic carbon above the QC ceiling — check units, and whether this is an organic horizon. ","")&amp;IF(AND(ISNUMBER($J32),$J32&lt;QC_RECOVERY_MIN),"Recovered less than the QC minimum of the depth driven — the increments may not sit where you think. Do NOT stretch them back out. ","")&amp;IF(AND(ISNUMBER($K32),$K32&gt;0,$L32="Fine earth / total volume"),"Coarse fragments recorded and the lab basis already accounts for them — no further correction applied, which is correct. ",""))</f>
        <v/>
      </c>
      <c r="T32" s="6" t="n"/>
      <c r="U32" s="9">
        <f>IF($B32="",0,IF(COUNTIFS($B$5:$B32,$B32)=1,1,0))</f>
        <v/>
      </c>
    </row>
    <row r="33">
      <c r="A33" s="6" t="n"/>
      <c r="B33" s="6" t="n"/>
      <c r="C33" s="6" t="n"/>
      <c r="D33" s="6" t="n"/>
      <c r="E33" s="6" t="n"/>
      <c r="F33" s="9">
        <f>IF(OR($D33="",$E33=""),"",$E33-$D33)</f>
        <v/>
      </c>
      <c r="G33" s="6" t="n"/>
      <c r="H33" s="6" t="n"/>
      <c r="I33" s="6" t="n"/>
      <c r="J33" s="9">
        <f>IF(OR(NOT(ISNUMBER($H33)),NOT(ISNUMBER($I33)),$H33=0),"",$I33/$H33)</f>
        <v/>
      </c>
      <c r="K33" s="6" t="n"/>
      <c r="L33" s="8" t="n"/>
      <c r="M33" s="7" t="n"/>
      <c r="N33" s="7" t="n"/>
      <c r="O33" s="9">
        <f>IF(NOT(ISNUMBER($M33)),"",IF($L33="Fine earth / fine-earth volume",$M33*(1-IF(ISNUMBER($K33),$K33,0)/100),$M33))</f>
        <v/>
      </c>
      <c r="P33" s="9">
        <f>IF(OR(NOT(ISNUMBER($O33)),NOT(ISNUMBER($N33)),NOT(ISNUMBER($F33))),"",$O33*($N33/100)*$F33*10)</f>
        <v/>
      </c>
      <c r="Q33" s="9">
        <f>IF(OR(NOT(ISNUMBER($D33)),NOT(ISNUMBER($E33))),"",MAX(0,MIN($E33,SOIL_REPORTING_DEPTH_CM)-MIN($D33,SOIL_REPORTING_DEPTH_CM)))</f>
        <v/>
      </c>
      <c r="R33" s="9">
        <f>IF(OR(NOT(ISNUMBER($O33)),NOT(ISNUMBER($N33)),NOT(ISNUMBER($Q33))),"",$O33*($N33/100)*$Q33*10)</f>
        <v/>
      </c>
      <c r="S33" s="11">
        <f>IF(AND($A33="",$B33="",$D33=""),"",IF(AND($A33&lt;&gt;"",COUNTIF('1. Plot &amp; Site Log'!$A$5:$A$64,$A33)=0),"Plot ID not in the Plot &amp; Site Log. ","")&amp;IF(AND(ISNUMBER($D33),ISNUMBER($E33),$E33&lt;=$D33),"Bottom depth is not below top depth. ","")&amp;IF($L33="Not confirmed","Bulk-density basis not confirmed with the lab — the coarse-fragment correction may be wrong or doubled. ","")&amp;IF(AND(ISNUMBER($M33),OR($M33&lt;QC_BD_MIN,$M33&gt;QC_BD_MAX)),"Bulk density outside the plausible range for a mineral grassland soil. ","")&amp;IF(AND(ISNUMBER($N33),$N33&gt;QC_CARBON_PCT_MAX),"Organic carbon above the QC ceiling — check units, and whether this is an organic horizon. ","")&amp;IF(AND(ISNUMBER($J33),$J33&lt;QC_RECOVERY_MIN),"Recovered less than the QC minimum of the depth driven — the increments may not sit where you think. Do NOT stretch them back out. ","")&amp;IF(AND(ISNUMBER($K33),$K33&gt;0,$L33="Fine earth / total volume"),"Coarse fragments recorded and the lab basis already accounts for them — no further correction applied, which is correct. ",""))</f>
        <v/>
      </c>
      <c r="T33" s="6" t="n"/>
      <c r="U33" s="9">
        <f>IF($B33="",0,IF(COUNTIFS($B$5:$B33,$B33)=1,1,0))</f>
        <v/>
      </c>
    </row>
    <row r="34">
      <c r="A34" s="6" t="n"/>
      <c r="B34" s="6" t="n"/>
      <c r="C34" s="6" t="n"/>
      <c r="D34" s="6" t="n"/>
      <c r="E34" s="6" t="n"/>
      <c r="F34" s="9">
        <f>IF(OR($D34="",$E34=""),"",$E34-$D34)</f>
        <v/>
      </c>
      <c r="G34" s="6" t="n"/>
      <c r="H34" s="6" t="n"/>
      <c r="I34" s="6" t="n"/>
      <c r="J34" s="9">
        <f>IF(OR(NOT(ISNUMBER($H34)),NOT(ISNUMBER($I34)),$H34=0),"",$I34/$H34)</f>
        <v/>
      </c>
      <c r="K34" s="6" t="n"/>
      <c r="L34" s="8" t="n"/>
      <c r="M34" s="7" t="n"/>
      <c r="N34" s="7" t="n"/>
      <c r="O34" s="9">
        <f>IF(NOT(ISNUMBER($M34)),"",IF($L34="Fine earth / fine-earth volume",$M34*(1-IF(ISNUMBER($K34),$K34,0)/100),$M34))</f>
        <v/>
      </c>
      <c r="P34" s="9">
        <f>IF(OR(NOT(ISNUMBER($O34)),NOT(ISNUMBER($N34)),NOT(ISNUMBER($F34))),"",$O34*($N34/100)*$F34*10)</f>
        <v/>
      </c>
      <c r="Q34" s="9">
        <f>IF(OR(NOT(ISNUMBER($D34)),NOT(ISNUMBER($E34))),"",MAX(0,MIN($E34,SOIL_REPORTING_DEPTH_CM)-MIN($D34,SOIL_REPORTING_DEPTH_CM)))</f>
        <v/>
      </c>
      <c r="R34" s="9">
        <f>IF(OR(NOT(ISNUMBER($O34)),NOT(ISNUMBER($N34)),NOT(ISNUMBER($Q34))),"",$O34*($N34/100)*$Q34*10)</f>
        <v/>
      </c>
      <c r="S34" s="11">
        <f>IF(AND($A34="",$B34="",$D34=""),"",IF(AND($A34&lt;&gt;"",COUNTIF('1. Plot &amp; Site Log'!$A$5:$A$64,$A34)=0),"Plot ID not in the Plot &amp; Site Log. ","")&amp;IF(AND(ISNUMBER($D34),ISNUMBER($E34),$E34&lt;=$D34),"Bottom depth is not below top depth. ","")&amp;IF($L34="Not confirmed","Bulk-density basis not confirmed with the lab — the coarse-fragment correction may be wrong or doubled. ","")&amp;IF(AND(ISNUMBER($M34),OR($M34&lt;QC_BD_MIN,$M34&gt;QC_BD_MAX)),"Bulk density outside the plausible range for a mineral grassland soil. ","")&amp;IF(AND(ISNUMBER($N34),$N34&gt;QC_CARBON_PCT_MAX),"Organic carbon above the QC ceiling — check units, and whether this is an organic horizon. ","")&amp;IF(AND(ISNUMBER($J34),$J34&lt;QC_RECOVERY_MIN),"Recovered less than the QC minimum of the depth driven — the increments may not sit where you think. Do NOT stretch them back out. ","")&amp;IF(AND(ISNUMBER($K34),$K34&gt;0,$L34="Fine earth / total volume"),"Coarse fragments recorded and the lab basis already accounts for them — no further correction applied, which is correct. ",""))</f>
        <v/>
      </c>
      <c r="T34" s="6" t="n"/>
      <c r="U34" s="9">
        <f>IF($B34="",0,IF(COUNTIFS($B$5:$B34,$B34)=1,1,0))</f>
        <v/>
      </c>
    </row>
    <row r="35">
      <c r="A35" s="6" t="n"/>
      <c r="B35" s="6" t="n"/>
      <c r="C35" s="6" t="n"/>
      <c r="D35" s="6" t="n"/>
      <c r="E35" s="6" t="n"/>
      <c r="F35" s="9">
        <f>IF(OR($D35="",$E35=""),"",$E35-$D35)</f>
        <v/>
      </c>
      <c r="G35" s="6" t="n"/>
      <c r="H35" s="6" t="n"/>
      <c r="I35" s="6" t="n"/>
      <c r="J35" s="9">
        <f>IF(OR(NOT(ISNUMBER($H35)),NOT(ISNUMBER($I35)),$H35=0),"",$I35/$H35)</f>
        <v/>
      </c>
      <c r="K35" s="6" t="n"/>
      <c r="L35" s="8" t="n"/>
      <c r="M35" s="7" t="n"/>
      <c r="N35" s="7" t="n"/>
      <c r="O35" s="9">
        <f>IF(NOT(ISNUMBER($M35)),"",IF($L35="Fine earth / fine-earth volume",$M35*(1-IF(ISNUMBER($K35),$K35,0)/100),$M35))</f>
        <v/>
      </c>
      <c r="P35" s="9">
        <f>IF(OR(NOT(ISNUMBER($O35)),NOT(ISNUMBER($N35)),NOT(ISNUMBER($F35))),"",$O35*($N35/100)*$F35*10)</f>
        <v/>
      </c>
      <c r="Q35" s="9">
        <f>IF(OR(NOT(ISNUMBER($D35)),NOT(ISNUMBER($E35))),"",MAX(0,MIN($E35,SOIL_REPORTING_DEPTH_CM)-MIN($D35,SOIL_REPORTING_DEPTH_CM)))</f>
        <v/>
      </c>
      <c r="R35" s="9">
        <f>IF(OR(NOT(ISNUMBER($O35)),NOT(ISNUMBER($N35)),NOT(ISNUMBER($Q35))),"",$O35*($N35/100)*$Q35*10)</f>
        <v/>
      </c>
      <c r="S35" s="11">
        <f>IF(AND($A35="",$B35="",$D35=""),"",IF(AND($A35&lt;&gt;"",COUNTIF('1. Plot &amp; Site Log'!$A$5:$A$64,$A35)=0),"Plot ID not in the Plot &amp; Site Log. ","")&amp;IF(AND(ISNUMBER($D35),ISNUMBER($E35),$E35&lt;=$D35),"Bottom depth is not below top depth. ","")&amp;IF($L35="Not confirmed","Bulk-density basis not confirmed with the lab — the coarse-fragment correction may be wrong or doubled. ","")&amp;IF(AND(ISNUMBER($M35),OR($M35&lt;QC_BD_MIN,$M35&gt;QC_BD_MAX)),"Bulk density outside the plausible range for a mineral grassland soil. ","")&amp;IF(AND(ISNUMBER($N35),$N35&gt;QC_CARBON_PCT_MAX),"Organic carbon above the QC ceiling — check units, and whether this is an organic horizon. ","")&amp;IF(AND(ISNUMBER($J35),$J35&lt;QC_RECOVERY_MIN),"Recovered less than the QC minimum of the depth driven — the increments may not sit where you think. Do NOT stretch them back out. ","")&amp;IF(AND(ISNUMBER($K35),$K35&gt;0,$L35="Fine earth / total volume"),"Coarse fragments recorded and the lab basis already accounts for them — no further correction applied, which is correct. ",""))</f>
        <v/>
      </c>
      <c r="T35" s="6" t="n"/>
      <c r="U35" s="9">
        <f>IF($B35="",0,IF(COUNTIFS($B$5:$B35,$B35)=1,1,0))</f>
        <v/>
      </c>
    </row>
    <row r="36">
      <c r="A36" s="6" t="n"/>
      <c r="B36" s="6" t="n"/>
      <c r="C36" s="6" t="n"/>
      <c r="D36" s="6" t="n"/>
      <c r="E36" s="6" t="n"/>
      <c r="F36" s="9">
        <f>IF(OR($D36="",$E36=""),"",$E36-$D36)</f>
        <v/>
      </c>
      <c r="G36" s="6" t="n"/>
      <c r="H36" s="6" t="n"/>
      <c r="I36" s="6" t="n"/>
      <c r="J36" s="9">
        <f>IF(OR(NOT(ISNUMBER($H36)),NOT(ISNUMBER($I36)),$H36=0),"",$I36/$H36)</f>
        <v/>
      </c>
      <c r="K36" s="6" t="n"/>
      <c r="L36" s="8" t="n"/>
      <c r="M36" s="7" t="n"/>
      <c r="N36" s="7" t="n"/>
      <c r="O36" s="9">
        <f>IF(NOT(ISNUMBER($M36)),"",IF($L36="Fine earth / fine-earth volume",$M36*(1-IF(ISNUMBER($K36),$K36,0)/100),$M36))</f>
        <v/>
      </c>
      <c r="P36" s="9">
        <f>IF(OR(NOT(ISNUMBER($O36)),NOT(ISNUMBER($N36)),NOT(ISNUMBER($F36))),"",$O36*($N36/100)*$F36*10)</f>
        <v/>
      </c>
      <c r="Q36" s="9">
        <f>IF(OR(NOT(ISNUMBER($D36)),NOT(ISNUMBER($E36))),"",MAX(0,MIN($E36,SOIL_REPORTING_DEPTH_CM)-MIN($D36,SOIL_REPORTING_DEPTH_CM)))</f>
        <v/>
      </c>
      <c r="R36" s="9">
        <f>IF(OR(NOT(ISNUMBER($O36)),NOT(ISNUMBER($N36)),NOT(ISNUMBER($Q36))),"",$O36*($N36/100)*$Q36*10)</f>
        <v/>
      </c>
      <c r="S36" s="11">
        <f>IF(AND($A36="",$B36="",$D36=""),"",IF(AND($A36&lt;&gt;"",COUNTIF('1. Plot &amp; Site Log'!$A$5:$A$64,$A36)=0),"Plot ID not in the Plot &amp; Site Log. ","")&amp;IF(AND(ISNUMBER($D36),ISNUMBER($E36),$E36&lt;=$D36),"Bottom depth is not below top depth. ","")&amp;IF($L36="Not confirmed","Bulk-density basis not confirmed with the lab — the coarse-fragment correction may be wrong or doubled. ","")&amp;IF(AND(ISNUMBER($M36),OR($M36&lt;QC_BD_MIN,$M36&gt;QC_BD_MAX)),"Bulk density outside the plausible range for a mineral grassland soil. ","")&amp;IF(AND(ISNUMBER($N36),$N36&gt;QC_CARBON_PCT_MAX),"Organic carbon above the QC ceiling — check units, and whether this is an organic horizon. ","")&amp;IF(AND(ISNUMBER($J36),$J36&lt;QC_RECOVERY_MIN),"Recovered less than the QC minimum of the depth driven — the increments may not sit where you think. Do NOT stretch them back out. ","")&amp;IF(AND(ISNUMBER($K36),$K36&gt;0,$L36="Fine earth / total volume"),"Coarse fragments recorded and the lab basis already accounts for them — no further correction applied, which is correct. ",""))</f>
        <v/>
      </c>
      <c r="T36" s="6" t="n"/>
      <c r="U36" s="9">
        <f>IF($B36="",0,IF(COUNTIFS($B$5:$B36,$B36)=1,1,0))</f>
        <v/>
      </c>
    </row>
    <row r="37">
      <c r="A37" s="6" t="n"/>
      <c r="B37" s="6" t="n"/>
      <c r="C37" s="6" t="n"/>
      <c r="D37" s="6" t="n"/>
      <c r="E37" s="6" t="n"/>
      <c r="F37" s="9">
        <f>IF(OR($D37="",$E37=""),"",$E37-$D37)</f>
        <v/>
      </c>
      <c r="G37" s="6" t="n"/>
      <c r="H37" s="6" t="n"/>
      <c r="I37" s="6" t="n"/>
      <c r="J37" s="9">
        <f>IF(OR(NOT(ISNUMBER($H37)),NOT(ISNUMBER($I37)),$H37=0),"",$I37/$H37)</f>
        <v/>
      </c>
      <c r="K37" s="6" t="n"/>
      <c r="L37" s="8" t="n"/>
      <c r="M37" s="7" t="n"/>
      <c r="N37" s="7" t="n"/>
      <c r="O37" s="9">
        <f>IF(NOT(ISNUMBER($M37)),"",IF($L37="Fine earth / fine-earth volume",$M37*(1-IF(ISNUMBER($K37),$K37,0)/100),$M37))</f>
        <v/>
      </c>
      <c r="P37" s="9">
        <f>IF(OR(NOT(ISNUMBER($O37)),NOT(ISNUMBER($N37)),NOT(ISNUMBER($F37))),"",$O37*($N37/100)*$F37*10)</f>
        <v/>
      </c>
      <c r="Q37" s="9">
        <f>IF(OR(NOT(ISNUMBER($D37)),NOT(ISNUMBER($E37))),"",MAX(0,MIN($E37,SOIL_REPORTING_DEPTH_CM)-MIN($D37,SOIL_REPORTING_DEPTH_CM)))</f>
        <v/>
      </c>
      <c r="R37" s="9">
        <f>IF(OR(NOT(ISNUMBER($O37)),NOT(ISNUMBER($N37)),NOT(ISNUMBER($Q37))),"",$O37*($N37/100)*$Q37*10)</f>
        <v/>
      </c>
      <c r="S37" s="11">
        <f>IF(AND($A37="",$B37="",$D37=""),"",IF(AND($A37&lt;&gt;"",COUNTIF('1. Plot &amp; Site Log'!$A$5:$A$64,$A37)=0),"Plot ID not in the Plot &amp; Site Log. ","")&amp;IF(AND(ISNUMBER($D37),ISNUMBER($E37),$E37&lt;=$D37),"Bottom depth is not below top depth. ","")&amp;IF($L37="Not confirmed","Bulk-density basis not confirmed with the lab — the coarse-fragment correction may be wrong or doubled. ","")&amp;IF(AND(ISNUMBER($M37),OR($M37&lt;QC_BD_MIN,$M37&gt;QC_BD_MAX)),"Bulk density outside the plausible range for a mineral grassland soil. ","")&amp;IF(AND(ISNUMBER($N37),$N37&gt;QC_CARBON_PCT_MAX),"Organic carbon above the QC ceiling — check units, and whether this is an organic horizon. ","")&amp;IF(AND(ISNUMBER($J37),$J37&lt;QC_RECOVERY_MIN),"Recovered less than the QC minimum of the depth driven — the increments may not sit where you think. Do NOT stretch them back out. ","")&amp;IF(AND(ISNUMBER($K37),$K37&gt;0,$L37="Fine earth / total volume"),"Coarse fragments recorded and the lab basis already accounts for them — no further correction applied, which is correct. ",""))</f>
        <v/>
      </c>
      <c r="T37" s="6" t="n"/>
      <c r="U37" s="9">
        <f>IF($B37="",0,IF(COUNTIFS($B$5:$B37,$B37)=1,1,0))</f>
        <v/>
      </c>
    </row>
    <row r="38">
      <c r="A38" s="6" t="n"/>
      <c r="B38" s="6" t="n"/>
      <c r="C38" s="6" t="n"/>
      <c r="D38" s="6" t="n"/>
      <c r="E38" s="6" t="n"/>
      <c r="F38" s="9">
        <f>IF(OR($D38="",$E38=""),"",$E38-$D38)</f>
        <v/>
      </c>
      <c r="G38" s="6" t="n"/>
      <c r="H38" s="6" t="n"/>
      <c r="I38" s="6" t="n"/>
      <c r="J38" s="9">
        <f>IF(OR(NOT(ISNUMBER($H38)),NOT(ISNUMBER($I38)),$H38=0),"",$I38/$H38)</f>
        <v/>
      </c>
      <c r="K38" s="6" t="n"/>
      <c r="L38" s="8" t="n"/>
      <c r="M38" s="7" t="n"/>
      <c r="N38" s="7" t="n"/>
      <c r="O38" s="9">
        <f>IF(NOT(ISNUMBER($M38)),"",IF($L38="Fine earth / fine-earth volume",$M38*(1-IF(ISNUMBER($K38),$K38,0)/100),$M38))</f>
        <v/>
      </c>
      <c r="P38" s="9">
        <f>IF(OR(NOT(ISNUMBER($O38)),NOT(ISNUMBER($N38)),NOT(ISNUMBER($F38))),"",$O38*($N38/100)*$F38*10)</f>
        <v/>
      </c>
      <c r="Q38" s="9">
        <f>IF(OR(NOT(ISNUMBER($D38)),NOT(ISNUMBER($E38))),"",MAX(0,MIN($E38,SOIL_REPORTING_DEPTH_CM)-MIN($D38,SOIL_REPORTING_DEPTH_CM)))</f>
        <v/>
      </c>
      <c r="R38" s="9">
        <f>IF(OR(NOT(ISNUMBER($O38)),NOT(ISNUMBER($N38)),NOT(ISNUMBER($Q38))),"",$O38*($N38/100)*$Q38*10)</f>
        <v/>
      </c>
      <c r="S38" s="11">
        <f>IF(AND($A38="",$B38="",$D38=""),"",IF(AND($A38&lt;&gt;"",COUNTIF('1. Plot &amp; Site Log'!$A$5:$A$64,$A38)=0),"Plot ID not in the Plot &amp; Site Log. ","")&amp;IF(AND(ISNUMBER($D38),ISNUMBER($E38),$E38&lt;=$D38),"Bottom depth is not below top depth. ","")&amp;IF($L38="Not confirmed","Bulk-density basis not confirmed with the lab — the coarse-fragment correction may be wrong or doubled. ","")&amp;IF(AND(ISNUMBER($M38),OR($M38&lt;QC_BD_MIN,$M38&gt;QC_BD_MAX)),"Bulk density outside the plausible range for a mineral grassland soil. ","")&amp;IF(AND(ISNUMBER($N38),$N38&gt;QC_CARBON_PCT_MAX),"Organic carbon above the QC ceiling — check units, and whether this is an organic horizon. ","")&amp;IF(AND(ISNUMBER($J38),$J38&lt;QC_RECOVERY_MIN),"Recovered less than the QC minimum of the depth driven — the increments may not sit where you think. Do NOT stretch them back out. ","")&amp;IF(AND(ISNUMBER($K38),$K38&gt;0,$L38="Fine earth / total volume"),"Coarse fragments recorded and the lab basis already accounts for them — no further correction applied, which is correct. ",""))</f>
        <v/>
      </c>
      <c r="T38" s="6" t="n"/>
      <c r="U38" s="9">
        <f>IF($B38="",0,IF(COUNTIFS($B$5:$B38,$B38)=1,1,0))</f>
        <v/>
      </c>
    </row>
    <row r="39">
      <c r="A39" s="6" t="n"/>
      <c r="B39" s="6" t="n"/>
      <c r="C39" s="6" t="n"/>
      <c r="D39" s="6" t="n"/>
      <c r="E39" s="6" t="n"/>
      <c r="F39" s="9">
        <f>IF(OR($D39="",$E39=""),"",$E39-$D39)</f>
        <v/>
      </c>
      <c r="G39" s="6" t="n"/>
      <c r="H39" s="6" t="n"/>
      <c r="I39" s="6" t="n"/>
      <c r="J39" s="9">
        <f>IF(OR(NOT(ISNUMBER($H39)),NOT(ISNUMBER($I39)),$H39=0),"",$I39/$H39)</f>
        <v/>
      </c>
      <c r="K39" s="6" t="n"/>
      <c r="L39" s="8" t="n"/>
      <c r="M39" s="7" t="n"/>
      <c r="N39" s="7" t="n"/>
      <c r="O39" s="9">
        <f>IF(NOT(ISNUMBER($M39)),"",IF($L39="Fine earth / fine-earth volume",$M39*(1-IF(ISNUMBER($K39),$K39,0)/100),$M39))</f>
        <v/>
      </c>
      <c r="P39" s="9">
        <f>IF(OR(NOT(ISNUMBER($O39)),NOT(ISNUMBER($N39)),NOT(ISNUMBER($F39))),"",$O39*($N39/100)*$F39*10)</f>
        <v/>
      </c>
      <c r="Q39" s="9">
        <f>IF(OR(NOT(ISNUMBER($D39)),NOT(ISNUMBER($E39))),"",MAX(0,MIN($E39,SOIL_REPORTING_DEPTH_CM)-MIN($D39,SOIL_REPORTING_DEPTH_CM)))</f>
        <v/>
      </c>
      <c r="R39" s="9">
        <f>IF(OR(NOT(ISNUMBER($O39)),NOT(ISNUMBER($N39)),NOT(ISNUMBER($Q39))),"",$O39*($N39/100)*$Q39*10)</f>
        <v/>
      </c>
      <c r="S39" s="11">
        <f>IF(AND($A39="",$B39="",$D39=""),"",IF(AND($A39&lt;&gt;"",COUNTIF('1. Plot &amp; Site Log'!$A$5:$A$64,$A39)=0),"Plot ID not in the Plot &amp; Site Log. ","")&amp;IF(AND(ISNUMBER($D39),ISNUMBER($E39),$E39&lt;=$D39),"Bottom depth is not below top depth. ","")&amp;IF($L39="Not confirmed","Bulk-density basis not confirmed with the lab — the coarse-fragment correction may be wrong or doubled. ","")&amp;IF(AND(ISNUMBER($M39),OR($M39&lt;QC_BD_MIN,$M39&gt;QC_BD_MAX)),"Bulk density outside the plausible range for a mineral grassland soil. ","")&amp;IF(AND(ISNUMBER($N39),$N39&gt;QC_CARBON_PCT_MAX),"Organic carbon above the QC ceiling — check units, and whether this is an organic horizon. ","")&amp;IF(AND(ISNUMBER($J39),$J39&lt;QC_RECOVERY_MIN),"Recovered less than the QC minimum of the depth driven — the increments may not sit where you think. Do NOT stretch them back out. ","")&amp;IF(AND(ISNUMBER($K39),$K39&gt;0,$L39="Fine earth / total volume"),"Coarse fragments recorded and the lab basis already accounts for them — no further correction applied, which is correct. ",""))</f>
        <v/>
      </c>
      <c r="T39" s="6" t="n"/>
      <c r="U39" s="9">
        <f>IF($B39="",0,IF(COUNTIFS($B$5:$B39,$B39)=1,1,0))</f>
        <v/>
      </c>
    </row>
    <row r="40">
      <c r="A40" s="6" t="n"/>
      <c r="B40" s="6" t="n"/>
      <c r="C40" s="6" t="n"/>
      <c r="D40" s="6" t="n"/>
      <c r="E40" s="6" t="n"/>
      <c r="F40" s="9">
        <f>IF(OR($D40="",$E40=""),"",$E40-$D40)</f>
        <v/>
      </c>
      <c r="G40" s="6" t="n"/>
      <c r="H40" s="6" t="n"/>
      <c r="I40" s="6" t="n"/>
      <c r="J40" s="9">
        <f>IF(OR(NOT(ISNUMBER($H40)),NOT(ISNUMBER($I40)),$H40=0),"",$I40/$H40)</f>
        <v/>
      </c>
      <c r="K40" s="6" t="n"/>
      <c r="L40" s="8" t="n"/>
      <c r="M40" s="7" t="n"/>
      <c r="N40" s="7" t="n"/>
      <c r="O40" s="9">
        <f>IF(NOT(ISNUMBER($M40)),"",IF($L40="Fine earth / fine-earth volume",$M40*(1-IF(ISNUMBER($K40),$K40,0)/100),$M40))</f>
        <v/>
      </c>
      <c r="P40" s="9">
        <f>IF(OR(NOT(ISNUMBER($O40)),NOT(ISNUMBER($N40)),NOT(ISNUMBER($F40))),"",$O40*($N40/100)*$F40*10)</f>
        <v/>
      </c>
      <c r="Q40" s="9">
        <f>IF(OR(NOT(ISNUMBER($D40)),NOT(ISNUMBER($E40))),"",MAX(0,MIN($E40,SOIL_REPORTING_DEPTH_CM)-MIN($D40,SOIL_REPORTING_DEPTH_CM)))</f>
        <v/>
      </c>
      <c r="R40" s="9">
        <f>IF(OR(NOT(ISNUMBER($O40)),NOT(ISNUMBER($N40)),NOT(ISNUMBER($Q40))),"",$O40*($N40/100)*$Q40*10)</f>
        <v/>
      </c>
      <c r="S40" s="11">
        <f>IF(AND($A40="",$B40="",$D40=""),"",IF(AND($A40&lt;&gt;"",COUNTIF('1. Plot &amp; Site Log'!$A$5:$A$64,$A40)=0),"Plot ID not in the Plot &amp; Site Log. ","")&amp;IF(AND(ISNUMBER($D40),ISNUMBER($E40),$E40&lt;=$D40),"Bottom depth is not below top depth. ","")&amp;IF($L40="Not confirmed","Bulk-density basis not confirmed with the lab — the coarse-fragment correction may be wrong or doubled. ","")&amp;IF(AND(ISNUMBER($M40),OR($M40&lt;QC_BD_MIN,$M40&gt;QC_BD_MAX)),"Bulk density outside the plausible range for a mineral grassland soil. ","")&amp;IF(AND(ISNUMBER($N40),$N40&gt;QC_CARBON_PCT_MAX),"Organic carbon above the QC ceiling — check units, and whether this is an organic horizon. ","")&amp;IF(AND(ISNUMBER($J40),$J40&lt;QC_RECOVERY_MIN),"Recovered less than the QC minimum of the depth driven — the increments may not sit where you think. Do NOT stretch them back out. ","")&amp;IF(AND(ISNUMBER($K40),$K40&gt;0,$L40="Fine earth / total volume"),"Coarse fragments recorded and the lab basis already accounts for them — no further correction applied, which is correct. ",""))</f>
        <v/>
      </c>
      <c r="T40" s="6" t="n"/>
      <c r="U40" s="9">
        <f>IF($B40="",0,IF(COUNTIFS($B$5:$B40,$B40)=1,1,0))</f>
        <v/>
      </c>
    </row>
    <row r="41">
      <c r="A41" s="6" t="n"/>
      <c r="B41" s="6" t="n"/>
      <c r="C41" s="6" t="n"/>
      <c r="D41" s="6" t="n"/>
      <c r="E41" s="6" t="n"/>
      <c r="F41" s="9">
        <f>IF(OR($D41="",$E41=""),"",$E41-$D41)</f>
        <v/>
      </c>
      <c r="G41" s="6" t="n"/>
      <c r="H41" s="6" t="n"/>
      <c r="I41" s="6" t="n"/>
      <c r="J41" s="9">
        <f>IF(OR(NOT(ISNUMBER($H41)),NOT(ISNUMBER($I41)),$H41=0),"",$I41/$H41)</f>
        <v/>
      </c>
      <c r="K41" s="6" t="n"/>
      <c r="L41" s="8" t="n"/>
      <c r="M41" s="7" t="n"/>
      <c r="N41" s="7" t="n"/>
      <c r="O41" s="9">
        <f>IF(NOT(ISNUMBER($M41)),"",IF($L41="Fine earth / fine-earth volume",$M41*(1-IF(ISNUMBER($K41),$K41,0)/100),$M41))</f>
        <v/>
      </c>
      <c r="P41" s="9">
        <f>IF(OR(NOT(ISNUMBER($O41)),NOT(ISNUMBER($N41)),NOT(ISNUMBER($F41))),"",$O41*($N41/100)*$F41*10)</f>
        <v/>
      </c>
      <c r="Q41" s="9">
        <f>IF(OR(NOT(ISNUMBER($D41)),NOT(ISNUMBER($E41))),"",MAX(0,MIN($E41,SOIL_REPORTING_DEPTH_CM)-MIN($D41,SOIL_REPORTING_DEPTH_CM)))</f>
        <v/>
      </c>
      <c r="R41" s="9">
        <f>IF(OR(NOT(ISNUMBER($O41)),NOT(ISNUMBER($N41)),NOT(ISNUMBER($Q41))),"",$O41*($N41/100)*$Q41*10)</f>
        <v/>
      </c>
      <c r="S41" s="11">
        <f>IF(AND($A41="",$B41="",$D41=""),"",IF(AND($A41&lt;&gt;"",COUNTIF('1. Plot &amp; Site Log'!$A$5:$A$64,$A41)=0),"Plot ID not in the Plot &amp; Site Log. ","")&amp;IF(AND(ISNUMBER($D41),ISNUMBER($E41),$E41&lt;=$D41),"Bottom depth is not below top depth. ","")&amp;IF($L41="Not confirmed","Bulk-density basis not confirmed with the lab — the coarse-fragment correction may be wrong or doubled. ","")&amp;IF(AND(ISNUMBER($M41),OR($M41&lt;QC_BD_MIN,$M41&gt;QC_BD_MAX)),"Bulk density outside the plausible range for a mineral grassland soil. ","")&amp;IF(AND(ISNUMBER($N41),$N41&gt;QC_CARBON_PCT_MAX),"Organic carbon above the QC ceiling — check units, and whether this is an organic horizon. ","")&amp;IF(AND(ISNUMBER($J41),$J41&lt;QC_RECOVERY_MIN),"Recovered less than the QC minimum of the depth driven — the increments may not sit where you think. Do NOT stretch them back out. ","")&amp;IF(AND(ISNUMBER($K41),$K41&gt;0,$L41="Fine earth / total volume"),"Coarse fragments recorded and the lab basis already accounts for them — no further correction applied, which is correct. ",""))</f>
        <v/>
      </c>
      <c r="T41" s="6" t="n"/>
      <c r="U41" s="9">
        <f>IF($B41="",0,IF(COUNTIFS($B$5:$B41,$B41)=1,1,0))</f>
        <v/>
      </c>
    </row>
    <row r="42">
      <c r="A42" s="6" t="n"/>
      <c r="B42" s="6" t="n"/>
      <c r="C42" s="6" t="n"/>
      <c r="D42" s="6" t="n"/>
      <c r="E42" s="6" t="n"/>
      <c r="F42" s="9">
        <f>IF(OR($D42="",$E42=""),"",$E42-$D42)</f>
        <v/>
      </c>
      <c r="G42" s="6" t="n"/>
      <c r="H42" s="6" t="n"/>
      <c r="I42" s="6" t="n"/>
      <c r="J42" s="9">
        <f>IF(OR(NOT(ISNUMBER($H42)),NOT(ISNUMBER($I42)),$H42=0),"",$I42/$H42)</f>
        <v/>
      </c>
      <c r="K42" s="6" t="n"/>
      <c r="L42" s="8" t="n"/>
      <c r="M42" s="7" t="n"/>
      <c r="N42" s="7" t="n"/>
      <c r="O42" s="9">
        <f>IF(NOT(ISNUMBER($M42)),"",IF($L42="Fine earth / fine-earth volume",$M42*(1-IF(ISNUMBER($K42),$K42,0)/100),$M42))</f>
        <v/>
      </c>
      <c r="P42" s="9">
        <f>IF(OR(NOT(ISNUMBER($O42)),NOT(ISNUMBER($N42)),NOT(ISNUMBER($F42))),"",$O42*($N42/100)*$F42*10)</f>
        <v/>
      </c>
      <c r="Q42" s="9">
        <f>IF(OR(NOT(ISNUMBER($D42)),NOT(ISNUMBER($E42))),"",MAX(0,MIN($E42,SOIL_REPORTING_DEPTH_CM)-MIN($D42,SOIL_REPORTING_DEPTH_CM)))</f>
        <v/>
      </c>
      <c r="R42" s="9">
        <f>IF(OR(NOT(ISNUMBER($O42)),NOT(ISNUMBER($N42)),NOT(ISNUMBER($Q42))),"",$O42*($N42/100)*$Q42*10)</f>
        <v/>
      </c>
      <c r="S42" s="11">
        <f>IF(AND($A42="",$B42="",$D42=""),"",IF(AND($A42&lt;&gt;"",COUNTIF('1. Plot &amp; Site Log'!$A$5:$A$64,$A42)=0),"Plot ID not in the Plot &amp; Site Log. ","")&amp;IF(AND(ISNUMBER($D42),ISNUMBER($E42),$E42&lt;=$D42),"Bottom depth is not below top depth. ","")&amp;IF($L42="Not confirmed","Bulk-density basis not confirmed with the lab — the coarse-fragment correction may be wrong or doubled. ","")&amp;IF(AND(ISNUMBER($M42),OR($M42&lt;QC_BD_MIN,$M42&gt;QC_BD_MAX)),"Bulk density outside the plausible range for a mineral grassland soil. ","")&amp;IF(AND(ISNUMBER($N42),$N42&gt;QC_CARBON_PCT_MAX),"Organic carbon above the QC ceiling — check units, and whether this is an organic horizon. ","")&amp;IF(AND(ISNUMBER($J42),$J42&lt;QC_RECOVERY_MIN),"Recovered less than the QC minimum of the depth driven — the increments may not sit where you think. Do NOT stretch them back out. ","")&amp;IF(AND(ISNUMBER($K42),$K42&gt;0,$L42="Fine earth / total volume"),"Coarse fragments recorded and the lab basis already accounts for them — no further correction applied, which is correct. ",""))</f>
        <v/>
      </c>
      <c r="T42" s="6" t="n"/>
      <c r="U42" s="9">
        <f>IF($B42="",0,IF(COUNTIFS($B$5:$B42,$B42)=1,1,0))</f>
        <v/>
      </c>
    </row>
    <row r="43">
      <c r="A43" s="6" t="n"/>
      <c r="B43" s="6" t="n"/>
      <c r="C43" s="6" t="n"/>
      <c r="D43" s="6" t="n"/>
      <c r="E43" s="6" t="n"/>
      <c r="F43" s="9">
        <f>IF(OR($D43="",$E43=""),"",$E43-$D43)</f>
        <v/>
      </c>
      <c r="G43" s="6" t="n"/>
      <c r="H43" s="6" t="n"/>
      <c r="I43" s="6" t="n"/>
      <c r="J43" s="9">
        <f>IF(OR(NOT(ISNUMBER($H43)),NOT(ISNUMBER($I43)),$H43=0),"",$I43/$H43)</f>
        <v/>
      </c>
      <c r="K43" s="6" t="n"/>
      <c r="L43" s="8" t="n"/>
      <c r="M43" s="7" t="n"/>
      <c r="N43" s="7" t="n"/>
      <c r="O43" s="9">
        <f>IF(NOT(ISNUMBER($M43)),"",IF($L43="Fine earth / fine-earth volume",$M43*(1-IF(ISNUMBER($K43),$K43,0)/100),$M43))</f>
        <v/>
      </c>
      <c r="P43" s="9">
        <f>IF(OR(NOT(ISNUMBER($O43)),NOT(ISNUMBER($N43)),NOT(ISNUMBER($F43))),"",$O43*($N43/100)*$F43*10)</f>
        <v/>
      </c>
      <c r="Q43" s="9">
        <f>IF(OR(NOT(ISNUMBER($D43)),NOT(ISNUMBER($E43))),"",MAX(0,MIN($E43,SOIL_REPORTING_DEPTH_CM)-MIN($D43,SOIL_REPORTING_DEPTH_CM)))</f>
        <v/>
      </c>
      <c r="R43" s="9">
        <f>IF(OR(NOT(ISNUMBER($O43)),NOT(ISNUMBER($N43)),NOT(ISNUMBER($Q43))),"",$O43*($N43/100)*$Q43*10)</f>
        <v/>
      </c>
      <c r="S43" s="11">
        <f>IF(AND($A43="",$B43="",$D43=""),"",IF(AND($A43&lt;&gt;"",COUNTIF('1. Plot &amp; Site Log'!$A$5:$A$64,$A43)=0),"Plot ID not in the Plot &amp; Site Log. ","")&amp;IF(AND(ISNUMBER($D43),ISNUMBER($E43),$E43&lt;=$D43),"Bottom depth is not below top depth. ","")&amp;IF($L43="Not confirmed","Bulk-density basis not confirmed with the lab — the coarse-fragment correction may be wrong or doubled. ","")&amp;IF(AND(ISNUMBER($M43),OR($M43&lt;QC_BD_MIN,$M43&gt;QC_BD_MAX)),"Bulk density outside the plausible range for a mineral grassland soil. ","")&amp;IF(AND(ISNUMBER($N43),$N43&gt;QC_CARBON_PCT_MAX),"Organic carbon above the QC ceiling — check units, and whether this is an organic horizon. ","")&amp;IF(AND(ISNUMBER($J43),$J43&lt;QC_RECOVERY_MIN),"Recovered less than the QC minimum of the depth driven — the increments may not sit where you think. Do NOT stretch them back out. ","")&amp;IF(AND(ISNUMBER($K43),$K43&gt;0,$L43="Fine earth / total volume"),"Coarse fragments recorded and the lab basis already accounts for them — no further correction applied, which is correct. ",""))</f>
        <v/>
      </c>
      <c r="T43" s="6" t="n"/>
      <c r="U43" s="9">
        <f>IF($B43="",0,IF(COUNTIFS($B$5:$B43,$B43)=1,1,0))</f>
        <v/>
      </c>
    </row>
    <row r="44">
      <c r="A44" s="6" t="n"/>
      <c r="B44" s="6" t="n"/>
      <c r="C44" s="6" t="n"/>
      <c r="D44" s="6" t="n"/>
      <c r="E44" s="6" t="n"/>
      <c r="F44" s="9">
        <f>IF(OR($D44="",$E44=""),"",$E44-$D44)</f>
        <v/>
      </c>
      <c r="G44" s="6" t="n"/>
      <c r="H44" s="6" t="n"/>
      <c r="I44" s="6" t="n"/>
      <c r="J44" s="9">
        <f>IF(OR(NOT(ISNUMBER($H44)),NOT(ISNUMBER($I44)),$H44=0),"",$I44/$H44)</f>
        <v/>
      </c>
      <c r="K44" s="6" t="n"/>
      <c r="L44" s="8" t="n"/>
      <c r="M44" s="7" t="n"/>
      <c r="N44" s="7" t="n"/>
      <c r="O44" s="9">
        <f>IF(NOT(ISNUMBER($M44)),"",IF($L44="Fine earth / fine-earth volume",$M44*(1-IF(ISNUMBER($K44),$K44,0)/100),$M44))</f>
        <v/>
      </c>
      <c r="P44" s="9">
        <f>IF(OR(NOT(ISNUMBER($O44)),NOT(ISNUMBER($N44)),NOT(ISNUMBER($F44))),"",$O44*($N44/100)*$F44*10)</f>
        <v/>
      </c>
      <c r="Q44" s="9">
        <f>IF(OR(NOT(ISNUMBER($D44)),NOT(ISNUMBER($E44))),"",MAX(0,MIN($E44,SOIL_REPORTING_DEPTH_CM)-MIN($D44,SOIL_REPORTING_DEPTH_CM)))</f>
        <v/>
      </c>
      <c r="R44" s="9">
        <f>IF(OR(NOT(ISNUMBER($O44)),NOT(ISNUMBER($N44)),NOT(ISNUMBER($Q44))),"",$O44*($N44/100)*$Q44*10)</f>
        <v/>
      </c>
      <c r="S44" s="11">
        <f>IF(AND($A44="",$B44="",$D44=""),"",IF(AND($A44&lt;&gt;"",COUNTIF('1. Plot &amp; Site Log'!$A$5:$A$64,$A44)=0),"Plot ID not in the Plot &amp; Site Log. ","")&amp;IF(AND(ISNUMBER($D44),ISNUMBER($E44),$E44&lt;=$D44),"Bottom depth is not below top depth. ","")&amp;IF($L44="Not confirmed","Bulk-density basis not confirmed with the lab — the coarse-fragment correction may be wrong or doubled. ","")&amp;IF(AND(ISNUMBER($M44),OR($M44&lt;QC_BD_MIN,$M44&gt;QC_BD_MAX)),"Bulk density outside the plausible range for a mineral grassland soil. ","")&amp;IF(AND(ISNUMBER($N44),$N44&gt;QC_CARBON_PCT_MAX),"Organic carbon above the QC ceiling — check units, and whether this is an organic horizon. ","")&amp;IF(AND(ISNUMBER($J44),$J44&lt;QC_RECOVERY_MIN),"Recovered less than the QC minimum of the depth driven — the increments may not sit where you think. Do NOT stretch them back out. ","")&amp;IF(AND(ISNUMBER($K44),$K44&gt;0,$L44="Fine earth / total volume"),"Coarse fragments recorded and the lab basis already accounts for them — no further correction applied, which is correct. ",""))</f>
        <v/>
      </c>
      <c r="T44" s="6" t="n"/>
      <c r="U44" s="9">
        <f>IF($B44="",0,IF(COUNTIFS($B$5:$B44,$B44)=1,1,0))</f>
        <v/>
      </c>
    </row>
    <row r="45">
      <c r="A45" s="6" t="n"/>
      <c r="B45" s="6" t="n"/>
      <c r="C45" s="6" t="n"/>
      <c r="D45" s="6" t="n"/>
      <c r="E45" s="6" t="n"/>
      <c r="F45" s="9">
        <f>IF(OR($D45="",$E45=""),"",$E45-$D45)</f>
        <v/>
      </c>
      <c r="G45" s="6" t="n"/>
      <c r="H45" s="6" t="n"/>
      <c r="I45" s="6" t="n"/>
      <c r="J45" s="9">
        <f>IF(OR(NOT(ISNUMBER($H45)),NOT(ISNUMBER($I45)),$H45=0),"",$I45/$H45)</f>
        <v/>
      </c>
      <c r="K45" s="6" t="n"/>
      <c r="L45" s="8" t="n"/>
      <c r="M45" s="7" t="n"/>
      <c r="N45" s="7" t="n"/>
      <c r="O45" s="9">
        <f>IF(NOT(ISNUMBER($M45)),"",IF($L45="Fine earth / fine-earth volume",$M45*(1-IF(ISNUMBER($K45),$K45,0)/100),$M45))</f>
        <v/>
      </c>
      <c r="P45" s="9">
        <f>IF(OR(NOT(ISNUMBER($O45)),NOT(ISNUMBER($N45)),NOT(ISNUMBER($F45))),"",$O45*($N45/100)*$F45*10)</f>
        <v/>
      </c>
      <c r="Q45" s="9">
        <f>IF(OR(NOT(ISNUMBER($D45)),NOT(ISNUMBER($E45))),"",MAX(0,MIN($E45,SOIL_REPORTING_DEPTH_CM)-MIN($D45,SOIL_REPORTING_DEPTH_CM)))</f>
        <v/>
      </c>
      <c r="R45" s="9">
        <f>IF(OR(NOT(ISNUMBER($O45)),NOT(ISNUMBER($N45)),NOT(ISNUMBER($Q45))),"",$O45*($N45/100)*$Q45*10)</f>
        <v/>
      </c>
      <c r="S45" s="11">
        <f>IF(AND($A45="",$B45="",$D45=""),"",IF(AND($A45&lt;&gt;"",COUNTIF('1. Plot &amp; Site Log'!$A$5:$A$64,$A45)=0),"Plot ID not in the Plot &amp; Site Log. ","")&amp;IF(AND(ISNUMBER($D45),ISNUMBER($E45),$E45&lt;=$D45),"Bottom depth is not below top depth. ","")&amp;IF($L45="Not confirmed","Bulk-density basis not confirmed with the lab — the coarse-fragment correction may be wrong or doubled. ","")&amp;IF(AND(ISNUMBER($M45),OR($M45&lt;QC_BD_MIN,$M45&gt;QC_BD_MAX)),"Bulk density outside the plausible range for a mineral grassland soil. ","")&amp;IF(AND(ISNUMBER($N45),$N45&gt;QC_CARBON_PCT_MAX),"Organic carbon above the QC ceiling — check units, and whether this is an organic horizon. ","")&amp;IF(AND(ISNUMBER($J45),$J45&lt;QC_RECOVERY_MIN),"Recovered less than the QC minimum of the depth driven — the increments may not sit where you think. Do NOT stretch them back out. ","")&amp;IF(AND(ISNUMBER($K45),$K45&gt;0,$L45="Fine earth / total volume"),"Coarse fragments recorded and the lab basis already accounts for them — no further correction applied, which is correct. ",""))</f>
        <v/>
      </c>
      <c r="T45" s="6" t="n"/>
      <c r="U45" s="9">
        <f>IF($B45="",0,IF(COUNTIFS($B$5:$B45,$B45)=1,1,0))</f>
        <v/>
      </c>
    </row>
    <row r="46">
      <c r="A46" s="6" t="n"/>
      <c r="B46" s="6" t="n"/>
      <c r="C46" s="6" t="n"/>
      <c r="D46" s="6" t="n"/>
      <c r="E46" s="6" t="n"/>
      <c r="F46" s="9">
        <f>IF(OR($D46="",$E46=""),"",$E46-$D46)</f>
        <v/>
      </c>
      <c r="G46" s="6" t="n"/>
      <c r="H46" s="6" t="n"/>
      <c r="I46" s="6" t="n"/>
      <c r="J46" s="9">
        <f>IF(OR(NOT(ISNUMBER($H46)),NOT(ISNUMBER($I46)),$H46=0),"",$I46/$H46)</f>
        <v/>
      </c>
      <c r="K46" s="6" t="n"/>
      <c r="L46" s="8" t="n"/>
      <c r="M46" s="7" t="n"/>
      <c r="N46" s="7" t="n"/>
      <c r="O46" s="9">
        <f>IF(NOT(ISNUMBER($M46)),"",IF($L46="Fine earth / fine-earth volume",$M46*(1-IF(ISNUMBER($K46),$K46,0)/100),$M46))</f>
        <v/>
      </c>
      <c r="P46" s="9">
        <f>IF(OR(NOT(ISNUMBER($O46)),NOT(ISNUMBER($N46)),NOT(ISNUMBER($F46))),"",$O46*($N46/100)*$F46*10)</f>
        <v/>
      </c>
      <c r="Q46" s="9">
        <f>IF(OR(NOT(ISNUMBER($D46)),NOT(ISNUMBER($E46))),"",MAX(0,MIN($E46,SOIL_REPORTING_DEPTH_CM)-MIN($D46,SOIL_REPORTING_DEPTH_CM)))</f>
        <v/>
      </c>
      <c r="R46" s="9">
        <f>IF(OR(NOT(ISNUMBER($O46)),NOT(ISNUMBER($N46)),NOT(ISNUMBER($Q46))),"",$O46*($N46/100)*$Q46*10)</f>
        <v/>
      </c>
      <c r="S46" s="11">
        <f>IF(AND($A46="",$B46="",$D46=""),"",IF(AND($A46&lt;&gt;"",COUNTIF('1. Plot &amp; Site Log'!$A$5:$A$64,$A46)=0),"Plot ID not in the Plot &amp; Site Log. ","")&amp;IF(AND(ISNUMBER($D46),ISNUMBER($E46),$E46&lt;=$D46),"Bottom depth is not below top depth. ","")&amp;IF($L46="Not confirmed","Bulk-density basis not confirmed with the lab — the coarse-fragment correction may be wrong or doubled. ","")&amp;IF(AND(ISNUMBER($M46),OR($M46&lt;QC_BD_MIN,$M46&gt;QC_BD_MAX)),"Bulk density outside the plausible range for a mineral grassland soil. ","")&amp;IF(AND(ISNUMBER($N46),$N46&gt;QC_CARBON_PCT_MAX),"Organic carbon above the QC ceiling — check units, and whether this is an organic horizon. ","")&amp;IF(AND(ISNUMBER($J46),$J46&lt;QC_RECOVERY_MIN),"Recovered less than the QC minimum of the depth driven — the increments may not sit where you think. Do NOT stretch them back out. ","")&amp;IF(AND(ISNUMBER($K46),$K46&gt;0,$L46="Fine earth / total volume"),"Coarse fragments recorded and the lab basis already accounts for them — no further correction applied, which is correct. ",""))</f>
        <v/>
      </c>
      <c r="T46" s="6" t="n"/>
      <c r="U46" s="9">
        <f>IF($B46="",0,IF(COUNTIFS($B$5:$B46,$B46)=1,1,0))</f>
        <v/>
      </c>
    </row>
    <row r="47">
      <c r="A47" s="6" t="n"/>
      <c r="B47" s="6" t="n"/>
      <c r="C47" s="6" t="n"/>
      <c r="D47" s="6" t="n"/>
      <c r="E47" s="6" t="n"/>
      <c r="F47" s="9">
        <f>IF(OR($D47="",$E47=""),"",$E47-$D47)</f>
        <v/>
      </c>
      <c r="G47" s="6" t="n"/>
      <c r="H47" s="6" t="n"/>
      <c r="I47" s="6" t="n"/>
      <c r="J47" s="9">
        <f>IF(OR(NOT(ISNUMBER($H47)),NOT(ISNUMBER($I47)),$H47=0),"",$I47/$H47)</f>
        <v/>
      </c>
      <c r="K47" s="6" t="n"/>
      <c r="L47" s="8" t="n"/>
      <c r="M47" s="7" t="n"/>
      <c r="N47" s="7" t="n"/>
      <c r="O47" s="9">
        <f>IF(NOT(ISNUMBER($M47)),"",IF($L47="Fine earth / fine-earth volume",$M47*(1-IF(ISNUMBER($K47),$K47,0)/100),$M47))</f>
        <v/>
      </c>
      <c r="P47" s="9">
        <f>IF(OR(NOT(ISNUMBER($O47)),NOT(ISNUMBER($N47)),NOT(ISNUMBER($F47))),"",$O47*($N47/100)*$F47*10)</f>
        <v/>
      </c>
      <c r="Q47" s="9">
        <f>IF(OR(NOT(ISNUMBER($D47)),NOT(ISNUMBER($E47))),"",MAX(0,MIN($E47,SOIL_REPORTING_DEPTH_CM)-MIN($D47,SOIL_REPORTING_DEPTH_CM)))</f>
        <v/>
      </c>
      <c r="R47" s="9">
        <f>IF(OR(NOT(ISNUMBER($O47)),NOT(ISNUMBER($N47)),NOT(ISNUMBER($Q47))),"",$O47*($N47/100)*$Q47*10)</f>
        <v/>
      </c>
      <c r="S47" s="11">
        <f>IF(AND($A47="",$B47="",$D47=""),"",IF(AND($A47&lt;&gt;"",COUNTIF('1. Plot &amp; Site Log'!$A$5:$A$64,$A47)=0),"Plot ID not in the Plot &amp; Site Log. ","")&amp;IF(AND(ISNUMBER($D47),ISNUMBER($E47),$E47&lt;=$D47),"Bottom depth is not below top depth. ","")&amp;IF($L47="Not confirmed","Bulk-density basis not confirmed with the lab — the coarse-fragment correction may be wrong or doubled. ","")&amp;IF(AND(ISNUMBER($M47),OR($M47&lt;QC_BD_MIN,$M47&gt;QC_BD_MAX)),"Bulk density outside the plausible range for a mineral grassland soil. ","")&amp;IF(AND(ISNUMBER($N47),$N47&gt;QC_CARBON_PCT_MAX),"Organic carbon above the QC ceiling — check units, and whether this is an organic horizon. ","")&amp;IF(AND(ISNUMBER($J47),$J47&lt;QC_RECOVERY_MIN),"Recovered less than the QC minimum of the depth driven — the increments may not sit where you think. Do NOT stretch them back out. ","")&amp;IF(AND(ISNUMBER($K47),$K47&gt;0,$L47="Fine earth / total volume"),"Coarse fragments recorded and the lab basis already accounts for them — no further correction applied, which is correct. ",""))</f>
        <v/>
      </c>
      <c r="T47" s="6" t="n"/>
      <c r="U47" s="9">
        <f>IF($B47="",0,IF(COUNTIFS($B$5:$B47,$B47)=1,1,0))</f>
        <v/>
      </c>
    </row>
    <row r="48">
      <c r="A48" s="6" t="n"/>
      <c r="B48" s="6" t="n"/>
      <c r="C48" s="6" t="n"/>
      <c r="D48" s="6" t="n"/>
      <c r="E48" s="6" t="n"/>
      <c r="F48" s="9">
        <f>IF(OR($D48="",$E48=""),"",$E48-$D48)</f>
        <v/>
      </c>
      <c r="G48" s="6" t="n"/>
      <c r="H48" s="6" t="n"/>
      <c r="I48" s="6" t="n"/>
      <c r="J48" s="9">
        <f>IF(OR(NOT(ISNUMBER($H48)),NOT(ISNUMBER($I48)),$H48=0),"",$I48/$H48)</f>
        <v/>
      </c>
      <c r="K48" s="6" t="n"/>
      <c r="L48" s="8" t="n"/>
      <c r="M48" s="7" t="n"/>
      <c r="N48" s="7" t="n"/>
      <c r="O48" s="9">
        <f>IF(NOT(ISNUMBER($M48)),"",IF($L48="Fine earth / fine-earth volume",$M48*(1-IF(ISNUMBER($K48),$K48,0)/100),$M48))</f>
        <v/>
      </c>
      <c r="P48" s="9">
        <f>IF(OR(NOT(ISNUMBER($O48)),NOT(ISNUMBER($N48)),NOT(ISNUMBER($F48))),"",$O48*($N48/100)*$F48*10)</f>
        <v/>
      </c>
      <c r="Q48" s="9">
        <f>IF(OR(NOT(ISNUMBER($D48)),NOT(ISNUMBER($E48))),"",MAX(0,MIN($E48,SOIL_REPORTING_DEPTH_CM)-MIN($D48,SOIL_REPORTING_DEPTH_CM)))</f>
        <v/>
      </c>
      <c r="R48" s="9">
        <f>IF(OR(NOT(ISNUMBER($O48)),NOT(ISNUMBER($N48)),NOT(ISNUMBER($Q48))),"",$O48*($N48/100)*$Q48*10)</f>
        <v/>
      </c>
      <c r="S48" s="11">
        <f>IF(AND($A48="",$B48="",$D48=""),"",IF(AND($A48&lt;&gt;"",COUNTIF('1. Plot &amp; Site Log'!$A$5:$A$64,$A48)=0),"Plot ID not in the Plot &amp; Site Log. ","")&amp;IF(AND(ISNUMBER($D48),ISNUMBER($E48),$E48&lt;=$D48),"Bottom depth is not below top depth. ","")&amp;IF($L48="Not confirmed","Bulk-density basis not confirmed with the lab — the coarse-fragment correction may be wrong or doubled. ","")&amp;IF(AND(ISNUMBER($M48),OR($M48&lt;QC_BD_MIN,$M48&gt;QC_BD_MAX)),"Bulk density outside the plausible range for a mineral grassland soil. ","")&amp;IF(AND(ISNUMBER($N48),$N48&gt;QC_CARBON_PCT_MAX),"Organic carbon above the QC ceiling — check units, and whether this is an organic horizon. ","")&amp;IF(AND(ISNUMBER($J48),$J48&lt;QC_RECOVERY_MIN),"Recovered less than the QC minimum of the depth driven — the increments may not sit where you think. Do NOT stretch them back out. ","")&amp;IF(AND(ISNUMBER($K48),$K48&gt;0,$L48="Fine earth / total volume"),"Coarse fragments recorded and the lab basis already accounts for them — no further correction applied, which is correct. ",""))</f>
        <v/>
      </c>
      <c r="T48" s="6" t="n"/>
      <c r="U48" s="9">
        <f>IF($B48="",0,IF(COUNTIFS($B$5:$B48,$B48)=1,1,0))</f>
        <v/>
      </c>
    </row>
    <row r="49">
      <c r="A49" s="6" t="n"/>
      <c r="B49" s="6" t="n"/>
      <c r="C49" s="6" t="n"/>
      <c r="D49" s="6" t="n"/>
      <c r="E49" s="6" t="n"/>
      <c r="F49" s="9">
        <f>IF(OR($D49="",$E49=""),"",$E49-$D49)</f>
        <v/>
      </c>
      <c r="G49" s="6" t="n"/>
      <c r="H49" s="6" t="n"/>
      <c r="I49" s="6" t="n"/>
      <c r="J49" s="9">
        <f>IF(OR(NOT(ISNUMBER($H49)),NOT(ISNUMBER($I49)),$H49=0),"",$I49/$H49)</f>
        <v/>
      </c>
      <c r="K49" s="6" t="n"/>
      <c r="L49" s="8" t="n"/>
      <c r="M49" s="7" t="n"/>
      <c r="N49" s="7" t="n"/>
      <c r="O49" s="9">
        <f>IF(NOT(ISNUMBER($M49)),"",IF($L49="Fine earth / fine-earth volume",$M49*(1-IF(ISNUMBER($K49),$K49,0)/100),$M49))</f>
        <v/>
      </c>
      <c r="P49" s="9">
        <f>IF(OR(NOT(ISNUMBER($O49)),NOT(ISNUMBER($N49)),NOT(ISNUMBER($F49))),"",$O49*($N49/100)*$F49*10)</f>
        <v/>
      </c>
      <c r="Q49" s="9">
        <f>IF(OR(NOT(ISNUMBER($D49)),NOT(ISNUMBER($E49))),"",MAX(0,MIN($E49,SOIL_REPORTING_DEPTH_CM)-MIN($D49,SOIL_REPORTING_DEPTH_CM)))</f>
        <v/>
      </c>
      <c r="R49" s="9">
        <f>IF(OR(NOT(ISNUMBER($O49)),NOT(ISNUMBER($N49)),NOT(ISNUMBER($Q49))),"",$O49*($N49/100)*$Q49*10)</f>
        <v/>
      </c>
      <c r="S49" s="11">
        <f>IF(AND($A49="",$B49="",$D49=""),"",IF(AND($A49&lt;&gt;"",COUNTIF('1. Plot &amp; Site Log'!$A$5:$A$64,$A49)=0),"Plot ID not in the Plot &amp; Site Log. ","")&amp;IF(AND(ISNUMBER($D49),ISNUMBER($E49),$E49&lt;=$D49),"Bottom depth is not below top depth. ","")&amp;IF($L49="Not confirmed","Bulk-density basis not confirmed with the lab — the coarse-fragment correction may be wrong or doubled. ","")&amp;IF(AND(ISNUMBER($M49),OR($M49&lt;QC_BD_MIN,$M49&gt;QC_BD_MAX)),"Bulk density outside the plausible range for a mineral grassland soil. ","")&amp;IF(AND(ISNUMBER($N49),$N49&gt;QC_CARBON_PCT_MAX),"Organic carbon above the QC ceiling — check units, and whether this is an organic horizon. ","")&amp;IF(AND(ISNUMBER($J49),$J49&lt;QC_RECOVERY_MIN),"Recovered less than the QC minimum of the depth driven — the increments may not sit where you think. Do NOT stretch them back out. ","")&amp;IF(AND(ISNUMBER($K49),$K49&gt;0,$L49="Fine earth / total volume"),"Coarse fragments recorded and the lab basis already accounts for them — no further correction applied, which is correct. ",""))</f>
        <v/>
      </c>
      <c r="T49" s="6" t="n"/>
      <c r="U49" s="9">
        <f>IF($B49="",0,IF(COUNTIFS($B$5:$B49,$B49)=1,1,0))</f>
        <v/>
      </c>
    </row>
    <row r="50">
      <c r="A50" s="6" t="n"/>
      <c r="B50" s="6" t="n"/>
      <c r="C50" s="6" t="n"/>
      <c r="D50" s="6" t="n"/>
      <c r="E50" s="6" t="n"/>
      <c r="F50" s="9">
        <f>IF(OR($D50="",$E50=""),"",$E50-$D50)</f>
        <v/>
      </c>
      <c r="G50" s="6" t="n"/>
      <c r="H50" s="6" t="n"/>
      <c r="I50" s="6" t="n"/>
      <c r="J50" s="9">
        <f>IF(OR(NOT(ISNUMBER($H50)),NOT(ISNUMBER($I50)),$H50=0),"",$I50/$H50)</f>
        <v/>
      </c>
      <c r="K50" s="6" t="n"/>
      <c r="L50" s="8" t="n"/>
      <c r="M50" s="7" t="n"/>
      <c r="N50" s="7" t="n"/>
      <c r="O50" s="9">
        <f>IF(NOT(ISNUMBER($M50)),"",IF($L50="Fine earth / fine-earth volume",$M50*(1-IF(ISNUMBER($K50),$K50,0)/100),$M50))</f>
        <v/>
      </c>
      <c r="P50" s="9">
        <f>IF(OR(NOT(ISNUMBER($O50)),NOT(ISNUMBER($N50)),NOT(ISNUMBER($F50))),"",$O50*($N50/100)*$F50*10)</f>
        <v/>
      </c>
      <c r="Q50" s="9">
        <f>IF(OR(NOT(ISNUMBER($D50)),NOT(ISNUMBER($E50))),"",MAX(0,MIN($E50,SOIL_REPORTING_DEPTH_CM)-MIN($D50,SOIL_REPORTING_DEPTH_CM)))</f>
        <v/>
      </c>
      <c r="R50" s="9">
        <f>IF(OR(NOT(ISNUMBER($O50)),NOT(ISNUMBER($N50)),NOT(ISNUMBER($Q50))),"",$O50*($N50/100)*$Q50*10)</f>
        <v/>
      </c>
      <c r="S50" s="11">
        <f>IF(AND($A50="",$B50="",$D50=""),"",IF(AND($A50&lt;&gt;"",COUNTIF('1. Plot &amp; Site Log'!$A$5:$A$64,$A50)=0),"Plot ID not in the Plot &amp; Site Log. ","")&amp;IF(AND(ISNUMBER($D50),ISNUMBER($E50),$E50&lt;=$D50),"Bottom depth is not below top depth. ","")&amp;IF($L50="Not confirmed","Bulk-density basis not confirmed with the lab — the coarse-fragment correction may be wrong or doubled. ","")&amp;IF(AND(ISNUMBER($M50),OR($M50&lt;QC_BD_MIN,$M50&gt;QC_BD_MAX)),"Bulk density outside the plausible range for a mineral grassland soil. ","")&amp;IF(AND(ISNUMBER($N50),$N50&gt;QC_CARBON_PCT_MAX),"Organic carbon above the QC ceiling — check units, and whether this is an organic horizon. ","")&amp;IF(AND(ISNUMBER($J50),$J50&lt;QC_RECOVERY_MIN),"Recovered less than the QC minimum of the depth driven — the increments may not sit where you think. Do NOT stretch them back out. ","")&amp;IF(AND(ISNUMBER($K50),$K50&gt;0,$L50="Fine earth / total volume"),"Coarse fragments recorded and the lab basis already accounts for them — no further correction applied, which is correct. ",""))</f>
        <v/>
      </c>
      <c r="T50" s="6" t="n"/>
      <c r="U50" s="9">
        <f>IF($B50="",0,IF(COUNTIFS($B$5:$B50,$B50)=1,1,0))</f>
        <v/>
      </c>
    </row>
    <row r="51">
      <c r="A51" s="6" t="n"/>
      <c r="B51" s="6" t="n"/>
      <c r="C51" s="6" t="n"/>
      <c r="D51" s="6" t="n"/>
      <c r="E51" s="6" t="n"/>
      <c r="F51" s="9">
        <f>IF(OR($D51="",$E51=""),"",$E51-$D51)</f>
        <v/>
      </c>
      <c r="G51" s="6" t="n"/>
      <c r="H51" s="6" t="n"/>
      <c r="I51" s="6" t="n"/>
      <c r="J51" s="9">
        <f>IF(OR(NOT(ISNUMBER($H51)),NOT(ISNUMBER($I51)),$H51=0),"",$I51/$H51)</f>
        <v/>
      </c>
      <c r="K51" s="6" t="n"/>
      <c r="L51" s="8" t="n"/>
      <c r="M51" s="7" t="n"/>
      <c r="N51" s="7" t="n"/>
      <c r="O51" s="9">
        <f>IF(NOT(ISNUMBER($M51)),"",IF($L51="Fine earth / fine-earth volume",$M51*(1-IF(ISNUMBER($K51),$K51,0)/100),$M51))</f>
        <v/>
      </c>
      <c r="P51" s="9">
        <f>IF(OR(NOT(ISNUMBER($O51)),NOT(ISNUMBER($N51)),NOT(ISNUMBER($F51))),"",$O51*($N51/100)*$F51*10)</f>
        <v/>
      </c>
      <c r="Q51" s="9">
        <f>IF(OR(NOT(ISNUMBER($D51)),NOT(ISNUMBER($E51))),"",MAX(0,MIN($E51,SOIL_REPORTING_DEPTH_CM)-MIN($D51,SOIL_REPORTING_DEPTH_CM)))</f>
        <v/>
      </c>
      <c r="R51" s="9">
        <f>IF(OR(NOT(ISNUMBER($O51)),NOT(ISNUMBER($N51)),NOT(ISNUMBER($Q51))),"",$O51*($N51/100)*$Q51*10)</f>
        <v/>
      </c>
      <c r="S51" s="11">
        <f>IF(AND($A51="",$B51="",$D51=""),"",IF(AND($A51&lt;&gt;"",COUNTIF('1. Plot &amp; Site Log'!$A$5:$A$64,$A51)=0),"Plot ID not in the Plot &amp; Site Log. ","")&amp;IF(AND(ISNUMBER($D51),ISNUMBER($E51),$E51&lt;=$D51),"Bottom depth is not below top depth. ","")&amp;IF($L51="Not confirmed","Bulk-density basis not confirmed with the lab — the coarse-fragment correction may be wrong or doubled. ","")&amp;IF(AND(ISNUMBER($M51),OR($M51&lt;QC_BD_MIN,$M51&gt;QC_BD_MAX)),"Bulk density outside the plausible range for a mineral grassland soil. ","")&amp;IF(AND(ISNUMBER($N51),$N51&gt;QC_CARBON_PCT_MAX),"Organic carbon above the QC ceiling — check units, and whether this is an organic horizon. ","")&amp;IF(AND(ISNUMBER($J51),$J51&lt;QC_RECOVERY_MIN),"Recovered less than the QC minimum of the depth driven — the increments may not sit where you think. Do NOT stretch them back out. ","")&amp;IF(AND(ISNUMBER($K51),$K51&gt;0,$L51="Fine earth / total volume"),"Coarse fragments recorded and the lab basis already accounts for them — no further correction applied, which is correct. ",""))</f>
        <v/>
      </c>
      <c r="T51" s="6" t="n"/>
      <c r="U51" s="9">
        <f>IF($B51="",0,IF(COUNTIFS($B$5:$B51,$B51)=1,1,0))</f>
        <v/>
      </c>
    </row>
    <row r="52">
      <c r="A52" s="6" t="n"/>
      <c r="B52" s="6" t="n"/>
      <c r="C52" s="6" t="n"/>
      <c r="D52" s="6" t="n"/>
      <c r="E52" s="6" t="n"/>
      <c r="F52" s="9">
        <f>IF(OR($D52="",$E52=""),"",$E52-$D52)</f>
        <v/>
      </c>
      <c r="G52" s="6" t="n"/>
      <c r="H52" s="6" t="n"/>
      <c r="I52" s="6" t="n"/>
      <c r="J52" s="9">
        <f>IF(OR(NOT(ISNUMBER($H52)),NOT(ISNUMBER($I52)),$H52=0),"",$I52/$H52)</f>
        <v/>
      </c>
      <c r="K52" s="6" t="n"/>
      <c r="L52" s="8" t="n"/>
      <c r="M52" s="7" t="n"/>
      <c r="N52" s="7" t="n"/>
      <c r="O52" s="9">
        <f>IF(NOT(ISNUMBER($M52)),"",IF($L52="Fine earth / fine-earth volume",$M52*(1-IF(ISNUMBER($K52),$K52,0)/100),$M52))</f>
        <v/>
      </c>
      <c r="P52" s="9">
        <f>IF(OR(NOT(ISNUMBER($O52)),NOT(ISNUMBER($N52)),NOT(ISNUMBER($F52))),"",$O52*($N52/100)*$F52*10)</f>
        <v/>
      </c>
      <c r="Q52" s="9">
        <f>IF(OR(NOT(ISNUMBER($D52)),NOT(ISNUMBER($E52))),"",MAX(0,MIN($E52,SOIL_REPORTING_DEPTH_CM)-MIN($D52,SOIL_REPORTING_DEPTH_CM)))</f>
        <v/>
      </c>
      <c r="R52" s="9">
        <f>IF(OR(NOT(ISNUMBER($O52)),NOT(ISNUMBER($N52)),NOT(ISNUMBER($Q52))),"",$O52*($N52/100)*$Q52*10)</f>
        <v/>
      </c>
      <c r="S52" s="11">
        <f>IF(AND($A52="",$B52="",$D52=""),"",IF(AND($A52&lt;&gt;"",COUNTIF('1. Plot &amp; Site Log'!$A$5:$A$64,$A52)=0),"Plot ID not in the Plot &amp; Site Log. ","")&amp;IF(AND(ISNUMBER($D52),ISNUMBER($E52),$E52&lt;=$D52),"Bottom depth is not below top depth. ","")&amp;IF($L52="Not confirmed","Bulk-density basis not confirmed with the lab — the coarse-fragment correction may be wrong or doubled. ","")&amp;IF(AND(ISNUMBER($M52),OR($M52&lt;QC_BD_MIN,$M52&gt;QC_BD_MAX)),"Bulk density outside the plausible range for a mineral grassland soil. ","")&amp;IF(AND(ISNUMBER($N52),$N52&gt;QC_CARBON_PCT_MAX),"Organic carbon above the QC ceiling — check units, and whether this is an organic horizon. ","")&amp;IF(AND(ISNUMBER($J52),$J52&lt;QC_RECOVERY_MIN),"Recovered less than the QC minimum of the depth driven — the increments may not sit where you think. Do NOT stretch them back out. ","")&amp;IF(AND(ISNUMBER($K52),$K52&gt;0,$L52="Fine earth / total volume"),"Coarse fragments recorded and the lab basis already accounts for them — no further correction applied, which is correct. ",""))</f>
        <v/>
      </c>
      <c r="T52" s="6" t="n"/>
      <c r="U52" s="9">
        <f>IF($B52="",0,IF(COUNTIFS($B$5:$B52,$B52)=1,1,0))</f>
        <v/>
      </c>
    </row>
    <row r="53">
      <c r="A53" s="6" t="n"/>
      <c r="B53" s="6" t="n"/>
      <c r="C53" s="6" t="n"/>
      <c r="D53" s="6" t="n"/>
      <c r="E53" s="6" t="n"/>
      <c r="F53" s="9">
        <f>IF(OR($D53="",$E53=""),"",$E53-$D53)</f>
        <v/>
      </c>
      <c r="G53" s="6" t="n"/>
      <c r="H53" s="6" t="n"/>
      <c r="I53" s="6" t="n"/>
      <c r="J53" s="9">
        <f>IF(OR(NOT(ISNUMBER($H53)),NOT(ISNUMBER($I53)),$H53=0),"",$I53/$H53)</f>
        <v/>
      </c>
      <c r="K53" s="6" t="n"/>
      <c r="L53" s="8" t="n"/>
      <c r="M53" s="7" t="n"/>
      <c r="N53" s="7" t="n"/>
      <c r="O53" s="9">
        <f>IF(NOT(ISNUMBER($M53)),"",IF($L53="Fine earth / fine-earth volume",$M53*(1-IF(ISNUMBER($K53),$K53,0)/100),$M53))</f>
        <v/>
      </c>
      <c r="P53" s="9">
        <f>IF(OR(NOT(ISNUMBER($O53)),NOT(ISNUMBER($N53)),NOT(ISNUMBER($F53))),"",$O53*($N53/100)*$F53*10)</f>
        <v/>
      </c>
      <c r="Q53" s="9">
        <f>IF(OR(NOT(ISNUMBER($D53)),NOT(ISNUMBER($E53))),"",MAX(0,MIN($E53,SOIL_REPORTING_DEPTH_CM)-MIN($D53,SOIL_REPORTING_DEPTH_CM)))</f>
        <v/>
      </c>
      <c r="R53" s="9">
        <f>IF(OR(NOT(ISNUMBER($O53)),NOT(ISNUMBER($N53)),NOT(ISNUMBER($Q53))),"",$O53*($N53/100)*$Q53*10)</f>
        <v/>
      </c>
      <c r="S53" s="11">
        <f>IF(AND($A53="",$B53="",$D53=""),"",IF(AND($A53&lt;&gt;"",COUNTIF('1. Plot &amp; Site Log'!$A$5:$A$64,$A53)=0),"Plot ID not in the Plot &amp; Site Log. ","")&amp;IF(AND(ISNUMBER($D53),ISNUMBER($E53),$E53&lt;=$D53),"Bottom depth is not below top depth. ","")&amp;IF($L53="Not confirmed","Bulk-density basis not confirmed with the lab — the coarse-fragment correction may be wrong or doubled. ","")&amp;IF(AND(ISNUMBER($M53),OR($M53&lt;QC_BD_MIN,$M53&gt;QC_BD_MAX)),"Bulk density outside the plausible range for a mineral grassland soil. ","")&amp;IF(AND(ISNUMBER($N53),$N53&gt;QC_CARBON_PCT_MAX),"Organic carbon above the QC ceiling — check units, and whether this is an organic horizon. ","")&amp;IF(AND(ISNUMBER($J53),$J53&lt;QC_RECOVERY_MIN),"Recovered less than the QC minimum of the depth driven — the increments may not sit where you think. Do NOT stretch them back out. ","")&amp;IF(AND(ISNUMBER($K53),$K53&gt;0,$L53="Fine earth / total volume"),"Coarse fragments recorded and the lab basis already accounts for them — no further correction applied, which is correct. ",""))</f>
        <v/>
      </c>
      <c r="T53" s="6" t="n"/>
      <c r="U53" s="9">
        <f>IF($B53="",0,IF(COUNTIFS($B$5:$B53,$B53)=1,1,0))</f>
        <v/>
      </c>
    </row>
    <row r="54">
      <c r="A54" s="6" t="n"/>
      <c r="B54" s="6" t="n"/>
      <c r="C54" s="6" t="n"/>
      <c r="D54" s="6" t="n"/>
      <c r="E54" s="6" t="n"/>
      <c r="F54" s="9">
        <f>IF(OR($D54="",$E54=""),"",$E54-$D54)</f>
        <v/>
      </c>
      <c r="G54" s="6" t="n"/>
      <c r="H54" s="6" t="n"/>
      <c r="I54" s="6" t="n"/>
      <c r="J54" s="9">
        <f>IF(OR(NOT(ISNUMBER($H54)),NOT(ISNUMBER($I54)),$H54=0),"",$I54/$H54)</f>
        <v/>
      </c>
      <c r="K54" s="6" t="n"/>
      <c r="L54" s="8" t="n"/>
      <c r="M54" s="7" t="n"/>
      <c r="N54" s="7" t="n"/>
      <c r="O54" s="9">
        <f>IF(NOT(ISNUMBER($M54)),"",IF($L54="Fine earth / fine-earth volume",$M54*(1-IF(ISNUMBER($K54),$K54,0)/100),$M54))</f>
        <v/>
      </c>
      <c r="P54" s="9">
        <f>IF(OR(NOT(ISNUMBER($O54)),NOT(ISNUMBER($N54)),NOT(ISNUMBER($F54))),"",$O54*($N54/100)*$F54*10)</f>
        <v/>
      </c>
      <c r="Q54" s="9">
        <f>IF(OR(NOT(ISNUMBER($D54)),NOT(ISNUMBER($E54))),"",MAX(0,MIN($E54,SOIL_REPORTING_DEPTH_CM)-MIN($D54,SOIL_REPORTING_DEPTH_CM)))</f>
        <v/>
      </c>
      <c r="R54" s="9">
        <f>IF(OR(NOT(ISNUMBER($O54)),NOT(ISNUMBER($N54)),NOT(ISNUMBER($Q54))),"",$O54*($N54/100)*$Q54*10)</f>
        <v/>
      </c>
      <c r="S54" s="11">
        <f>IF(AND($A54="",$B54="",$D54=""),"",IF(AND($A54&lt;&gt;"",COUNTIF('1. Plot &amp; Site Log'!$A$5:$A$64,$A54)=0),"Plot ID not in the Plot &amp; Site Log. ","")&amp;IF(AND(ISNUMBER($D54),ISNUMBER($E54),$E54&lt;=$D54),"Bottom depth is not below top depth. ","")&amp;IF($L54="Not confirmed","Bulk-density basis not confirmed with the lab — the coarse-fragment correction may be wrong or doubled. ","")&amp;IF(AND(ISNUMBER($M54),OR($M54&lt;QC_BD_MIN,$M54&gt;QC_BD_MAX)),"Bulk density outside the plausible range for a mineral grassland soil. ","")&amp;IF(AND(ISNUMBER($N54),$N54&gt;QC_CARBON_PCT_MAX),"Organic carbon above the QC ceiling — check units, and whether this is an organic horizon. ","")&amp;IF(AND(ISNUMBER($J54),$J54&lt;QC_RECOVERY_MIN),"Recovered less than the QC minimum of the depth driven — the increments may not sit where you think. Do NOT stretch them back out. ","")&amp;IF(AND(ISNUMBER($K54),$K54&gt;0,$L54="Fine earth / total volume"),"Coarse fragments recorded and the lab basis already accounts for them — no further correction applied, which is correct. ",""))</f>
        <v/>
      </c>
      <c r="T54" s="6" t="n"/>
      <c r="U54" s="9">
        <f>IF($B54="",0,IF(COUNTIFS($B$5:$B54,$B54)=1,1,0))</f>
        <v/>
      </c>
    </row>
    <row r="55">
      <c r="A55" s="6" t="n"/>
      <c r="B55" s="6" t="n"/>
      <c r="C55" s="6" t="n"/>
      <c r="D55" s="6" t="n"/>
      <c r="E55" s="6" t="n"/>
      <c r="F55" s="9">
        <f>IF(OR($D55="",$E55=""),"",$E55-$D55)</f>
        <v/>
      </c>
      <c r="G55" s="6" t="n"/>
      <c r="H55" s="6" t="n"/>
      <c r="I55" s="6" t="n"/>
      <c r="J55" s="9">
        <f>IF(OR(NOT(ISNUMBER($H55)),NOT(ISNUMBER($I55)),$H55=0),"",$I55/$H55)</f>
        <v/>
      </c>
      <c r="K55" s="6" t="n"/>
      <c r="L55" s="8" t="n"/>
      <c r="M55" s="7" t="n"/>
      <c r="N55" s="7" t="n"/>
      <c r="O55" s="9">
        <f>IF(NOT(ISNUMBER($M55)),"",IF($L55="Fine earth / fine-earth volume",$M55*(1-IF(ISNUMBER($K55),$K55,0)/100),$M55))</f>
        <v/>
      </c>
      <c r="P55" s="9">
        <f>IF(OR(NOT(ISNUMBER($O55)),NOT(ISNUMBER($N55)),NOT(ISNUMBER($F55))),"",$O55*($N55/100)*$F55*10)</f>
        <v/>
      </c>
      <c r="Q55" s="9">
        <f>IF(OR(NOT(ISNUMBER($D55)),NOT(ISNUMBER($E55))),"",MAX(0,MIN($E55,SOIL_REPORTING_DEPTH_CM)-MIN($D55,SOIL_REPORTING_DEPTH_CM)))</f>
        <v/>
      </c>
      <c r="R55" s="9">
        <f>IF(OR(NOT(ISNUMBER($O55)),NOT(ISNUMBER($N55)),NOT(ISNUMBER($Q55))),"",$O55*($N55/100)*$Q55*10)</f>
        <v/>
      </c>
      <c r="S55" s="11">
        <f>IF(AND($A55="",$B55="",$D55=""),"",IF(AND($A55&lt;&gt;"",COUNTIF('1. Plot &amp; Site Log'!$A$5:$A$64,$A55)=0),"Plot ID not in the Plot &amp; Site Log. ","")&amp;IF(AND(ISNUMBER($D55),ISNUMBER($E55),$E55&lt;=$D55),"Bottom depth is not below top depth. ","")&amp;IF($L55="Not confirmed","Bulk-density basis not confirmed with the lab — the coarse-fragment correction may be wrong or doubled. ","")&amp;IF(AND(ISNUMBER($M55),OR($M55&lt;QC_BD_MIN,$M55&gt;QC_BD_MAX)),"Bulk density outside the plausible range for a mineral grassland soil. ","")&amp;IF(AND(ISNUMBER($N55),$N55&gt;QC_CARBON_PCT_MAX),"Organic carbon above the QC ceiling — check units, and whether this is an organic horizon. ","")&amp;IF(AND(ISNUMBER($J55),$J55&lt;QC_RECOVERY_MIN),"Recovered less than the QC minimum of the depth driven — the increments may not sit where you think. Do NOT stretch them back out. ","")&amp;IF(AND(ISNUMBER($K55),$K55&gt;0,$L55="Fine earth / total volume"),"Coarse fragments recorded and the lab basis already accounts for them — no further correction applied, which is correct. ",""))</f>
        <v/>
      </c>
      <c r="T55" s="6" t="n"/>
      <c r="U55" s="9">
        <f>IF($B55="",0,IF(COUNTIFS($B$5:$B55,$B55)=1,1,0))</f>
        <v/>
      </c>
    </row>
    <row r="56">
      <c r="A56" s="6" t="n"/>
      <c r="B56" s="6" t="n"/>
      <c r="C56" s="6" t="n"/>
      <c r="D56" s="6" t="n"/>
      <c r="E56" s="6" t="n"/>
      <c r="F56" s="9">
        <f>IF(OR($D56="",$E56=""),"",$E56-$D56)</f>
        <v/>
      </c>
      <c r="G56" s="6" t="n"/>
      <c r="H56" s="6" t="n"/>
      <c r="I56" s="6" t="n"/>
      <c r="J56" s="9">
        <f>IF(OR(NOT(ISNUMBER($H56)),NOT(ISNUMBER($I56)),$H56=0),"",$I56/$H56)</f>
        <v/>
      </c>
      <c r="K56" s="6" t="n"/>
      <c r="L56" s="8" t="n"/>
      <c r="M56" s="7" t="n"/>
      <c r="N56" s="7" t="n"/>
      <c r="O56" s="9">
        <f>IF(NOT(ISNUMBER($M56)),"",IF($L56="Fine earth / fine-earth volume",$M56*(1-IF(ISNUMBER($K56),$K56,0)/100),$M56))</f>
        <v/>
      </c>
      <c r="P56" s="9">
        <f>IF(OR(NOT(ISNUMBER($O56)),NOT(ISNUMBER($N56)),NOT(ISNUMBER($F56))),"",$O56*($N56/100)*$F56*10)</f>
        <v/>
      </c>
      <c r="Q56" s="9">
        <f>IF(OR(NOT(ISNUMBER($D56)),NOT(ISNUMBER($E56))),"",MAX(0,MIN($E56,SOIL_REPORTING_DEPTH_CM)-MIN($D56,SOIL_REPORTING_DEPTH_CM)))</f>
        <v/>
      </c>
      <c r="R56" s="9">
        <f>IF(OR(NOT(ISNUMBER($O56)),NOT(ISNUMBER($N56)),NOT(ISNUMBER($Q56))),"",$O56*($N56/100)*$Q56*10)</f>
        <v/>
      </c>
      <c r="S56" s="11">
        <f>IF(AND($A56="",$B56="",$D56=""),"",IF(AND($A56&lt;&gt;"",COUNTIF('1. Plot &amp; Site Log'!$A$5:$A$64,$A56)=0),"Plot ID not in the Plot &amp; Site Log. ","")&amp;IF(AND(ISNUMBER($D56),ISNUMBER($E56),$E56&lt;=$D56),"Bottom depth is not below top depth. ","")&amp;IF($L56="Not confirmed","Bulk-density basis not confirmed with the lab — the coarse-fragment correction may be wrong or doubled. ","")&amp;IF(AND(ISNUMBER($M56),OR($M56&lt;QC_BD_MIN,$M56&gt;QC_BD_MAX)),"Bulk density outside the plausible range for a mineral grassland soil. ","")&amp;IF(AND(ISNUMBER($N56),$N56&gt;QC_CARBON_PCT_MAX),"Organic carbon above the QC ceiling — check units, and whether this is an organic horizon. ","")&amp;IF(AND(ISNUMBER($J56),$J56&lt;QC_RECOVERY_MIN),"Recovered less than the QC minimum of the depth driven — the increments may not sit where you think. Do NOT stretch them back out. ","")&amp;IF(AND(ISNUMBER($K56),$K56&gt;0,$L56="Fine earth / total volume"),"Coarse fragments recorded and the lab basis already accounts for them — no further correction applied, which is correct. ",""))</f>
        <v/>
      </c>
      <c r="T56" s="6" t="n"/>
      <c r="U56" s="9">
        <f>IF($B56="",0,IF(COUNTIFS($B$5:$B56,$B56)=1,1,0))</f>
        <v/>
      </c>
    </row>
    <row r="57">
      <c r="A57" s="6" t="n"/>
      <c r="B57" s="6" t="n"/>
      <c r="C57" s="6" t="n"/>
      <c r="D57" s="6" t="n"/>
      <c r="E57" s="6" t="n"/>
      <c r="F57" s="9">
        <f>IF(OR($D57="",$E57=""),"",$E57-$D57)</f>
        <v/>
      </c>
      <c r="G57" s="6" t="n"/>
      <c r="H57" s="6" t="n"/>
      <c r="I57" s="6" t="n"/>
      <c r="J57" s="9">
        <f>IF(OR(NOT(ISNUMBER($H57)),NOT(ISNUMBER($I57)),$H57=0),"",$I57/$H57)</f>
        <v/>
      </c>
      <c r="K57" s="6" t="n"/>
      <c r="L57" s="8" t="n"/>
      <c r="M57" s="7" t="n"/>
      <c r="N57" s="7" t="n"/>
      <c r="O57" s="9">
        <f>IF(NOT(ISNUMBER($M57)),"",IF($L57="Fine earth / fine-earth volume",$M57*(1-IF(ISNUMBER($K57),$K57,0)/100),$M57))</f>
        <v/>
      </c>
      <c r="P57" s="9">
        <f>IF(OR(NOT(ISNUMBER($O57)),NOT(ISNUMBER($N57)),NOT(ISNUMBER($F57))),"",$O57*($N57/100)*$F57*10)</f>
        <v/>
      </c>
      <c r="Q57" s="9">
        <f>IF(OR(NOT(ISNUMBER($D57)),NOT(ISNUMBER($E57))),"",MAX(0,MIN($E57,SOIL_REPORTING_DEPTH_CM)-MIN($D57,SOIL_REPORTING_DEPTH_CM)))</f>
        <v/>
      </c>
      <c r="R57" s="9">
        <f>IF(OR(NOT(ISNUMBER($O57)),NOT(ISNUMBER($N57)),NOT(ISNUMBER($Q57))),"",$O57*($N57/100)*$Q57*10)</f>
        <v/>
      </c>
      <c r="S57" s="11">
        <f>IF(AND($A57="",$B57="",$D57=""),"",IF(AND($A57&lt;&gt;"",COUNTIF('1. Plot &amp; Site Log'!$A$5:$A$64,$A57)=0),"Plot ID not in the Plot &amp; Site Log. ","")&amp;IF(AND(ISNUMBER($D57),ISNUMBER($E57),$E57&lt;=$D57),"Bottom depth is not below top depth. ","")&amp;IF($L57="Not confirmed","Bulk-density basis not confirmed with the lab — the coarse-fragment correction may be wrong or doubled. ","")&amp;IF(AND(ISNUMBER($M57),OR($M57&lt;QC_BD_MIN,$M57&gt;QC_BD_MAX)),"Bulk density outside the plausible range for a mineral grassland soil. ","")&amp;IF(AND(ISNUMBER($N57),$N57&gt;QC_CARBON_PCT_MAX),"Organic carbon above the QC ceiling — check units, and whether this is an organic horizon. ","")&amp;IF(AND(ISNUMBER($J57),$J57&lt;QC_RECOVERY_MIN),"Recovered less than the QC minimum of the depth driven — the increments may not sit where you think. Do NOT stretch them back out. ","")&amp;IF(AND(ISNUMBER($K57),$K57&gt;0,$L57="Fine earth / total volume"),"Coarse fragments recorded and the lab basis already accounts for them — no further correction applied, which is correct. ",""))</f>
        <v/>
      </c>
      <c r="T57" s="6" t="n"/>
      <c r="U57" s="9">
        <f>IF($B57="",0,IF(COUNTIFS($B$5:$B57,$B57)=1,1,0))</f>
        <v/>
      </c>
    </row>
    <row r="58">
      <c r="A58" s="6" t="n"/>
      <c r="B58" s="6" t="n"/>
      <c r="C58" s="6" t="n"/>
      <c r="D58" s="6" t="n"/>
      <c r="E58" s="6" t="n"/>
      <c r="F58" s="9">
        <f>IF(OR($D58="",$E58=""),"",$E58-$D58)</f>
        <v/>
      </c>
      <c r="G58" s="6" t="n"/>
      <c r="H58" s="6" t="n"/>
      <c r="I58" s="6" t="n"/>
      <c r="J58" s="9">
        <f>IF(OR(NOT(ISNUMBER($H58)),NOT(ISNUMBER($I58)),$H58=0),"",$I58/$H58)</f>
        <v/>
      </c>
      <c r="K58" s="6" t="n"/>
      <c r="L58" s="8" t="n"/>
      <c r="M58" s="7" t="n"/>
      <c r="N58" s="7" t="n"/>
      <c r="O58" s="9">
        <f>IF(NOT(ISNUMBER($M58)),"",IF($L58="Fine earth / fine-earth volume",$M58*(1-IF(ISNUMBER($K58),$K58,0)/100),$M58))</f>
        <v/>
      </c>
      <c r="P58" s="9">
        <f>IF(OR(NOT(ISNUMBER($O58)),NOT(ISNUMBER($N58)),NOT(ISNUMBER($F58))),"",$O58*($N58/100)*$F58*10)</f>
        <v/>
      </c>
      <c r="Q58" s="9">
        <f>IF(OR(NOT(ISNUMBER($D58)),NOT(ISNUMBER($E58))),"",MAX(0,MIN($E58,SOIL_REPORTING_DEPTH_CM)-MIN($D58,SOIL_REPORTING_DEPTH_CM)))</f>
        <v/>
      </c>
      <c r="R58" s="9">
        <f>IF(OR(NOT(ISNUMBER($O58)),NOT(ISNUMBER($N58)),NOT(ISNUMBER($Q58))),"",$O58*($N58/100)*$Q58*10)</f>
        <v/>
      </c>
      <c r="S58" s="11">
        <f>IF(AND($A58="",$B58="",$D58=""),"",IF(AND($A58&lt;&gt;"",COUNTIF('1. Plot &amp; Site Log'!$A$5:$A$64,$A58)=0),"Plot ID not in the Plot &amp; Site Log. ","")&amp;IF(AND(ISNUMBER($D58),ISNUMBER($E58),$E58&lt;=$D58),"Bottom depth is not below top depth. ","")&amp;IF($L58="Not confirmed","Bulk-density basis not confirmed with the lab — the coarse-fragment correction may be wrong or doubled. ","")&amp;IF(AND(ISNUMBER($M58),OR($M58&lt;QC_BD_MIN,$M58&gt;QC_BD_MAX)),"Bulk density outside the plausible range for a mineral grassland soil. ","")&amp;IF(AND(ISNUMBER($N58),$N58&gt;QC_CARBON_PCT_MAX),"Organic carbon above the QC ceiling — check units, and whether this is an organic horizon. ","")&amp;IF(AND(ISNUMBER($J58),$J58&lt;QC_RECOVERY_MIN),"Recovered less than the QC minimum of the depth driven — the increments may not sit where you think. Do NOT stretch them back out. ","")&amp;IF(AND(ISNUMBER($K58),$K58&gt;0,$L58="Fine earth / total volume"),"Coarse fragments recorded and the lab basis already accounts for them — no further correction applied, which is correct. ",""))</f>
        <v/>
      </c>
      <c r="T58" s="6" t="n"/>
      <c r="U58" s="9">
        <f>IF($B58="",0,IF(COUNTIFS($B$5:$B58,$B58)=1,1,0))</f>
        <v/>
      </c>
    </row>
    <row r="59">
      <c r="A59" s="6" t="n"/>
      <c r="B59" s="6" t="n"/>
      <c r="C59" s="6" t="n"/>
      <c r="D59" s="6" t="n"/>
      <c r="E59" s="6" t="n"/>
      <c r="F59" s="9">
        <f>IF(OR($D59="",$E59=""),"",$E59-$D59)</f>
        <v/>
      </c>
      <c r="G59" s="6" t="n"/>
      <c r="H59" s="6" t="n"/>
      <c r="I59" s="6" t="n"/>
      <c r="J59" s="9">
        <f>IF(OR(NOT(ISNUMBER($H59)),NOT(ISNUMBER($I59)),$H59=0),"",$I59/$H59)</f>
        <v/>
      </c>
      <c r="K59" s="6" t="n"/>
      <c r="L59" s="8" t="n"/>
      <c r="M59" s="7" t="n"/>
      <c r="N59" s="7" t="n"/>
      <c r="O59" s="9">
        <f>IF(NOT(ISNUMBER($M59)),"",IF($L59="Fine earth / fine-earth volume",$M59*(1-IF(ISNUMBER($K59),$K59,0)/100),$M59))</f>
        <v/>
      </c>
      <c r="P59" s="9">
        <f>IF(OR(NOT(ISNUMBER($O59)),NOT(ISNUMBER($N59)),NOT(ISNUMBER($F59))),"",$O59*($N59/100)*$F59*10)</f>
        <v/>
      </c>
      <c r="Q59" s="9">
        <f>IF(OR(NOT(ISNUMBER($D59)),NOT(ISNUMBER($E59))),"",MAX(0,MIN($E59,SOIL_REPORTING_DEPTH_CM)-MIN($D59,SOIL_REPORTING_DEPTH_CM)))</f>
        <v/>
      </c>
      <c r="R59" s="9">
        <f>IF(OR(NOT(ISNUMBER($O59)),NOT(ISNUMBER($N59)),NOT(ISNUMBER($Q59))),"",$O59*($N59/100)*$Q59*10)</f>
        <v/>
      </c>
      <c r="S59" s="11">
        <f>IF(AND($A59="",$B59="",$D59=""),"",IF(AND($A59&lt;&gt;"",COUNTIF('1. Plot &amp; Site Log'!$A$5:$A$64,$A59)=0),"Plot ID not in the Plot &amp; Site Log. ","")&amp;IF(AND(ISNUMBER($D59),ISNUMBER($E59),$E59&lt;=$D59),"Bottom depth is not below top depth. ","")&amp;IF($L59="Not confirmed","Bulk-density basis not confirmed with the lab — the coarse-fragment correction may be wrong or doubled. ","")&amp;IF(AND(ISNUMBER($M59),OR($M59&lt;QC_BD_MIN,$M59&gt;QC_BD_MAX)),"Bulk density outside the plausible range for a mineral grassland soil. ","")&amp;IF(AND(ISNUMBER($N59),$N59&gt;QC_CARBON_PCT_MAX),"Organic carbon above the QC ceiling — check units, and whether this is an organic horizon. ","")&amp;IF(AND(ISNUMBER($J59),$J59&lt;QC_RECOVERY_MIN),"Recovered less than the QC minimum of the depth driven — the increments may not sit where you think. Do NOT stretch them back out. ","")&amp;IF(AND(ISNUMBER($K59),$K59&gt;0,$L59="Fine earth / total volume"),"Coarse fragments recorded and the lab basis already accounts for them — no further correction applied, which is correct. ",""))</f>
        <v/>
      </c>
      <c r="T59" s="6" t="n"/>
      <c r="U59" s="9">
        <f>IF($B59="",0,IF(COUNTIFS($B$5:$B59,$B59)=1,1,0))</f>
        <v/>
      </c>
    </row>
    <row r="60">
      <c r="A60" s="6" t="n"/>
      <c r="B60" s="6" t="n"/>
      <c r="C60" s="6" t="n"/>
      <c r="D60" s="6" t="n"/>
      <c r="E60" s="6" t="n"/>
      <c r="F60" s="9">
        <f>IF(OR($D60="",$E60=""),"",$E60-$D60)</f>
        <v/>
      </c>
      <c r="G60" s="6" t="n"/>
      <c r="H60" s="6" t="n"/>
      <c r="I60" s="6" t="n"/>
      <c r="J60" s="9">
        <f>IF(OR(NOT(ISNUMBER($H60)),NOT(ISNUMBER($I60)),$H60=0),"",$I60/$H60)</f>
        <v/>
      </c>
      <c r="K60" s="6" t="n"/>
      <c r="L60" s="8" t="n"/>
      <c r="M60" s="7" t="n"/>
      <c r="N60" s="7" t="n"/>
      <c r="O60" s="9">
        <f>IF(NOT(ISNUMBER($M60)),"",IF($L60="Fine earth / fine-earth volume",$M60*(1-IF(ISNUMBER($K60),$K60,0)/100),$M60))</f>
        <v/>
      </c>
      <c r="P60" s="9">
        <f>IF(OR(NOT(ISNUMBER($O60)),NOT(ISNUMBER($N60)),NOT(ISNUMBER($F60))),"",$O60*($N60/100)*$F60*10)</f>
        <v/>
      </c>
      <c r="Q60" s="9">
        <f>IF(OR(NOT(ISNUMBER($D60)),NOT(ISNUMBER($E60))),"",MAX(0,MIN($E60,SOIL_REPORTING_DEPTH_CM)-MIN($D60,SOIL_REPORTING_DEPTH_CM)))</f>
        <v/>
      </c>
      <c r="R60" s="9">
        <f>IF(OR(NOT(ISNUMBER($O60)),NOT(ISNUMBER($N60)),NOT(ISNUMBER($Q60))),"",$O60*($N60/100)*$Q60*10)</f>
        <v/>
      </c>
      <c r="S60" s="11">
        <f>IF(AND($A60="",$B60="",$D60=""),"",IF(AND($A60&lt;&gt;"",COUNTIF('1. Plot &amp; Site Log'!$A$5:$A$64,$A60)=0),"Plot ID not in the Plot &amp; Site Log. ","")&amp;IF(AND(ISNUMBER($D60),ISNUMBER($E60),$E60&lt;=$D60),"Bottom depth is not below top depth. ","")&amp;IF($L60="Not confirmed","Bulk-density basis not confirmed with the lab — the coarse-fragment correction may be wrong or doubled. ","")&amp;IF(AND(ISNUMBER($M60),OR($M60&lt;QC_BD_MIN,$M60&gt;QC_BD_MAX)),"Bulk density outside the plausible range for a mineral grassland soil. ","")&amp;IF(AND(ISNUMBER($N60),$N60&gt;QC_CARBON_PCT_MAX),"Organic carbon above the QC ceiling — check units, and whether this is an organic horizon. ","")&amp;IF(AND(ISNUMBER($J60),$J60&lt;QC_RECOVERY_MIN),"Recovered less than the QC minimum of the depth driven — the increments may not sit where you think. Do NOT stretch them back out. ","")&amp;IF(AND(ISNUMBER($K60),$K60&gt;0,$L60="Fine earth / total volume"),"Coarse fragments recorded and the lab basis already accounts for them — no further correction applied, which is correct. ",""))</f>
        <v/>
      </c>
      <c r="T60" s="6" t="n"/>
      <c r="U60" s="9">
        <f>IF($B60="",0,IF(COUNTIFS($B$5:$B60,$B60)=1,1,0))</f>
        <v/>
      </c>
    </row>
    <row r="61">
      <c r="A61" s="6" t="n"/>
      <c r="B61" s="6" t="n"/>
      <c r="C61" s="6" t="n"/>
      <c r="D61" s="6" t="n"/>
      <c r="E61" s="6" t="n"/>
      <c r="F61" s="9">
        <f>IF(OR($D61="",$E61=""),"",$E61-$D61)</f>
        <v/>
      </c>
      <c r="G61" s="6" t="n"/>
      <c r="H61" s="6" t="n"/>
      <c r="I61" s="6" t="n"/>
      <c r="J61" s="9">
        <f>IF(OR(NOT(ISNUMBER($H61)),NOT(ISNUMBER($I61)),$H61=0),"",$I61/$H61)</f>
        <v/>
      </c>
      <c r="K61" s="6" t="n"/>
      <c r="L61" s="8" t="n"/>
      <c r="M61" s="7" t="n"/>
      <c r="N61" s="7" t="n"/>
      <c r="O61" s="9">
        <f>IF(NOT(ISNUMBER($M61)),"",IF($L61="Fine earth / fine-earth volume",$M61*(1-IF(ISNUMBER($K61),$K61,0)/100),$M61))</f>
        <v/>
      </c>
      <c r="P61" s="9">
        <f>IF(OR(NOT(ISNUMBER($O61)),NOT(ISNUMBER($N61)),NOT(ISNUMBER($F61))),"",$O61*($N61/100)*$F61*10)</f>
        <v/>
      </c>
      <c r="Q61" s="9">
        <f>IF(OR(NOT(ISNUMBER($D61)),NOT(ISNUMBER($E61))),"",MAX(0,MIN($E61,SOIL_REPORTING_DEPTH_CM)-MIN($D61,SOIL_REPORTING_DEPTH_CM)))</f>
        <v/>
      </c>
      <c r="R61" s="9">
        <f>IF(OR(NOT(ISNUMBER($O61)),NOT(ISNUMBER($N61)),NOT(ISNUMBER($Q61))),"",$O61*($N61/100)*$Q61*10)</f>
        <v/>
      </c>
      <c r="S61" s="11">
        <f>IF(AND($A61="",$B61="",$D61=""),"",IF(AND($A61&lt;&gt;"",COUNTIF('1. Plot &amp; Site Log'!$A$5:$A$64,$A61)=0),"Plot ID not in the Plot &amp; Site Log. ","")&amp;IF(AND(ISNUMBER($D61),ISNUMBER($E61),$E61&lt;=$D61),"Bottom depth is not below top depth. ","")&amp;IF($L61="Not confirmed","Bulk-density basis not confirmed with the lab — the coarse-fragment correction may be wrong or doubled. ","")&amp;IF(AND(ISNUMBER($M61),OR($M61&lt;QC_BD_MIN,$M61&gt;QC_BD_MAX)),"Bulk density outside the plausible range for a mineral grassland soil. ","")&amp;IF(AND(ISNUMBER($N61),$N61&gt;QC_CARBON_PCT_MAX),"Organic carbon above the QC ceiling — check units, and whether this is an organic horizon. ","")&amp;IF(AND(ISNUMBER($J61),$J61&lt;QC_RECOVERY_MIN),"Recovered less than the QC minimum of the depth driven — the increments may not sit where you think. Do NOT stretch them back out. ","")&amp;IF(AND(ISNUMBER($K61),$K61&gt;0,$L61="Fine earth / total volume"),"Coarse fragments recorded and the lab basis already accounts for them — no further correction applied, which is correct. ",""))</f>
        <v/>
      </c>
      <c r="T61" s="6" t="n"/>
      <c r="U61" s="9">
        <f>IF($B61="",0,IF(COUNTIFS($B$5:$B61,$B61)=1,1,0))</f>
        <v/>
      </c>
    </row>
    <row r="62">
      <c r="A62" s="6" t="n"/>
      <c r="B62" s="6" t="n"/>
      <c r="C62" s="6" t="n"/>
      <c r="D62" s="6" t="n"/>
      <c r="E62" s="6" t="n"/>
      <c r="F62" s="9">
        <f>IF(OR($D62="",$E62=""),"",$E62-$D62)</f>
        <v/>
      </c>
      <c r="G62" s="6" t="n"/>
      <c r="H62" s="6" t="n"/>
      <c r="I62" s="6" t="n"/>
      <c r="J62" s="9">
        <f>IF(OR(NOT(ISNUMBER($H62)),NOT(ISNUMBER($I62)),$H62=0),"",$I62/$H62)</f>
        <v/>
      </c>
      <c r="K62" s="6" t="n"/>
      <c r="L62" s="8" t="n"/>
      <c r="M62" s="7" t="n"/>
      <c r="N62" s="7" t="n"/>
      <c r="O62" s="9">
        <f>IF(NOT(ISNUMBER($M62)),"",IF($L62="Fine earth / fine-earth volume",$M62*(1-IF(ISNUMBER($K62),$K62,0)/100),$M62))</f>
        <v/>
      </c>
      <c r="P62" s="9">
        <f>IF(OR(NOT(ISNUMBER($O62)),NOT(ISNUMBER($N62)),NOT(ISNUMBER($F62))),"",$O62*($N62/100)*$F62*10)</f>
        <v/>
      </c>
      <c r="Q62" s="9">
        <f>IF(OR(NOT(ISNUMBER($D62)),NOT(ISNUMBER($E62))),"",MAX(0,MIN($E62,SOIL_REPORTING_DEPTH_CM)-MIN($D62,SOIL_REPORTING_DEPTH_CM)))</f>
        <v/>
      </c>
      <c r="R62" s="9">
        <f>IF(OR(NOT(ISNUMBER($O62)),NOT(ISNUMBER($N62)),NOT(ISNUMBER($Q62))),"",$O62*($N62/100)*$Q62*10)</f>
        <v/>
      </c>
      <c r="S62" s="11">
        <f>IF(AND($A62="",$B62="",$D62=""),"",IF(AND($A62&lt;&gt;"",COUNTIF('1. Plot &amp; Site Log'!$A$5:$A$64,$A62)=0),"Plot ID not in the Plot &amp; Site Log. ","")&amp;IF(AND(ISNUMBER($D62),ISNUMBER($E62),$E62&lt;=$D62),"Bottom depth is not below top depth. ","")&amp;IF($L62="Not confirmed","Bulk-density basis not confirmed with the lab — the coarse-fragment correction may be wrong or doubled. ","")&amp;IF(AND(ISNUMBER($M62),OR($M62&lt;QC_BD_MIN,$M62&gt;QC_BD_MAX)),"Bulk density outside the plausible range for a mineral grassland soil. ","")&amp;IF(AND(ISNUMBER($N62),$N62&gt;QC_CARBON_PCT_MAX),"Organic carbon above the QC ceiling — check units, and whether this is an organic horizon. ","")&amp;IF(AND(ISNUMBER($J62),$J62&lt;QC_RECOVERY_MIN),"Recovered less than the QC minimum of the depth driven — the increments may not sit where you think. Do NOT stretch them back out. ","")&amp;IF(AND(ISNUMBER($K62),$K62&gt;0,$L62="Fine earth / total volume"),"Coarse fragments recorded and the lab basis already accounts for them — no further correction applied, which is correct. ",""))</f>
        <v/>
      </c>
      <c r="T62" s="6" t="n"/>
      <c r="U62" s="9">
        <f>IF($B62="",0,IF(COUNTIFS($B$5:$B62,$B62)=1,1,0))</f>
        <v/>
      </c>
    </row>
    <row r="63">
      <c r="A63" s="6" t="n"/>
      <c r="B63" s="6" t="n"/>
      <c r="C63" s="6" t="n"/>
      <c r="D63" s="6" t="n"/>
      <c r="E63" s="6" t="n"/>
      <c r="F63" s="9">
        <f>IF(OR($D63="",$E63=""),"",$E63-$D63)</f>
        <v/>
      </c>
      <c r="G63" s="6" t="n"/>
      <c r="H63" s="6" t="n"/>
      <c r="I63" s="6" t="n"/>
      <c r="J63" s="9">
        <f>IF(OR(NOT(ISNUMBER($H63)),NOT(ISNUMBER($I63)),$H63=0),"",$I63/$H63)</f>
        <v/>
      </c>
      <c r="K63" s="6" t="n"/>
      <c r="L63" s="8" t="n"/>
      <c r="M63" s="7" t="n"/>
      <c r="N63" s="7" t="n"/>
      <c r="O63" s="9">
        <f>IF(NOT(ISNUMBER($M63)),"",IF($L63="Fine earth / fine-earth volume",$M63*(1-IF(ISNUMBER($K63),$K63,0)/100),$M63))</f>
        <v/>
      </c>
      <c r="P63" s="9">
        <f>IF(OR(NOT(ISNUMBER($O63)),NOT(ISNUMBER($N63)),NOT(ISNUMBER($F63))),"",$O63*($N63/100)*$F63*10)</f>
        <v/>
      </c>
      <c r="Q63" s="9">
        <f>IF(OR(NOT(ISNUMBER($D63)),NOT(ISNUMBER($E63))),"",MAX(0,MIN($E63,SOIL_REPORTING_DEPTH_CM)-MIN($D63,SOIL_REPORTING_DEPTH_CM)))</f>
        <v/>
      </c>
      <c r="R63" s="9">
        <f>IF(OR(NOT(ISNUMBER($O63)),NOT(ISNUMBER($N63)),NOT(ISNUMBER($Q63))),"",$O63*($N63/100)*$Q63*10)</f>
        <v/>
      </c>
      <c r="S63" s="11">
        <f>IF(AND($A63="",$B63="",$D63=""),"",IF(AND($A63&lt;&gt;"",COUNTIF('1. Plot &amp; Site Log'!$A$5:$A$64,$A63)=0),"Plot ID not in the Plot &amp; Site Log. ","")&amp;IF(AND(ISNUMBER($D63),ISNUMBER($E63),$E63&lt;=$D63),"Bottom depth is not below top depth. ","")&amp;IF($L63="Not confirmed","Bulk-density basis not confirmed with the lab — the coarse-fragment correction may be wrong or doubled. ","")&amp;IF(AND(ISNUMBER($M63),OR($M63&lt;QC_BD_MIN,$M63&gt;QC_BD_MAX)),"Bulk density outside the plausible range for a mineral grassland soil. ","")&amp;IF(AND(ISNUMBER($N63),$N63&gt;QC_CARBON_PCT_MAX),"Organic carbon above the QC ceiling — check units, and whether this is an organic horizon. ","")&amp;IF(AND(ISNUMBER($J63),$J63&lt;QC_RECOVERY_MIN),"Recovered less than the QC minimum of the depth driven — the increments may not sit where you think. Do NOT stretch them back out. ","")&amp;IF(AND(ISNUMBER($K63),$K63&gt;0,$L63="Fine earth / total volume"),"Coarse fragments recorded and the lab basis already accounts for them — no further correction applied, which is correct. ",""))</f>
        <v/>
      </c>
      <c r="T63" s="6" t="n"/>
      <c r="U63" s="9">
        <f>IF($B63="",0,IF(COUNTIFS($B$5:$B63,$B63)=1,1,0))</f>
        <v/>
      </c>
    </row>
    <row r="64">
      <c r="A64" s="6" t="n"/>
      <c r="B64" s="6" t="n"/>
      <c r="C64" s="6" t="n"/>
      <c r="D64" s="6" t="n"/>
      <c r="E64" s="6" t="n"/>
      <c r="F64" s="9">
        <f>IF(OR($D64="",$E64=""),"",$E64-$D64)</f>
        <v/>
      </c>
      <c r="G64" s="6" t="n"/>
      <c r="H64" s="6" t="n"/>
      <c r="I64" s="6" t="n"/>
      <c r="J64" s="9">
        <f>IF(OR(NOT(ISNUMBER($H64)),NOT(ISNUMBER($I64)),$H64=0),"",$I64/$H64)</f>
        <v/>
      </c>
      <c r="K64" s="6" t="n"/>
      <c r="L64" s="8" t="n"/>
      <c r="M64" s="7" t="n"/>
      <c r="N64" s="7" t="n"/>
      <c r="O64" s="9">
        <f>IF(NOT(ISNUMBER($M64)),"",IF($L64="Fine earth / fine-earth volume",$M64*(1-IF(ISNUMBER($K64),$K64,0)/100),$M64))</f>
        <v/>
      </c>
      <c r="P64" s="9">
        <f>IF(OR(NOT(ISNUMBER($O64)),NOT(ISNUMBER($N64)),NOT(ISNUMBER($F64))),"",$O64*($N64/100)*$F64*10)</f>
        <v/>
      </c>
      <c r="Q64" s="9">
        <f>IF(OR(NOT(ISNUMBER($D64)),NOT(ISNUMBER($E64))),"",MAX(0,MIN($E64,SOIL_REPORTING_DEPTH_CM)-MIN($D64,SOIL_REPORTING_DEPTH_CM)))</f>
        <v/>
      </c>
      <c r="R64" s="9">
        <f>IF(OR(NOT(ISNUMBER($O64)),NOT(ISNUMBER($N64)),NOT(ISNUMBER($Q64))),"",$O64*($N64/100)*$Q64*10)</f>
        <v/>
      </c>
      <c r="S64" s="11">
        <f>IF(AND($A64="",$B64="",$D64=""),"",IF(AND($A64&lt;&gt;"",COUNTIF('1. Plot &amp; Site Log'!$A$5:$A$64,$A64)=0),"Plot ID not in the Plot &amp; Site Log. ","")&amp;IF(AND(ISNUMBER($D64),ISNUMBER($E64),$E64&lt;=$D64),"Bottom depth is not below top depth. ","")&amp;IF($L64="Not confirmed","Bulk-density basis not confirmed with the lab — the coarse-fragment correction may be wrong or doubled. ","")&amp;IF(AND(ISNUMBER($M64),OR($M64&lt;QC_BD_MIN,$M64&gt;QC_BD_MAX)),"Bulk density outside the plausible range for a mineral grassland soil. ","")&amp;IF(AND(ISNUMBER($N64),$N64&gt;QC_CARBON_PCT_MAX),"Organic carbon above the QC ceiling — check units, and whether this is an organic horizon. ","")&amp;IF(AND(ISNUMBER($J64),$J64&lt;QC_RECOVERY_MIN),"Recovered less than the QC minimum of the depth driven — the increments may not sit where you think. Do NOT stretch them back out. ","")&amp;IF(AND(ISNUMBER($K64),$K64&gt;0,$L64="Fine earth / total volume"),"Coarse fragments recorded and the lab basis already accounts for them — no further correction applied, which is correct. ",""))</f>
        <v/>
      </c>
      <c r="T64" s="6" t="n"/>
      <c r="U64" s="9">
        <f>IF($B64="",0,IF(COUNTIFS($B$5:$B64,$B64)=1,1,0))</f>
        <v/>
      </c>
    </row>
    <row r="65">
      <c r="A65" s="6" t="n"/>
      <c r="B65" s="6" t="n"/>
      <c r="C65" s="6" t="n"/>
      <c r="D65" s="6" t="n"/>
      <c r="E65" s="6" t="n"/>
      <c r="F65" s="9">
        <f>IF(OR($D65="",$E65=""),"",$E65-$D65)</f>
        <v/>
      </c>
      <c r="G65" s="6" t="n"/>
      <c r="H65" s="6" t="n"/>
      <c r="I65" s="6" t="n"/>
      <c r="J65" s="9">
        <f>IF(OR(NOT(ISNUMBER($H65)),NOT(ISNUMBER($I65)),$H65=0),"",$I65/$H65)</f>
        <v/>
      </c>
      <c r="K65" s="6" t="n"/>
      <c r="L65" s="8" t="n"/>
      <c r="M65" s="7" t="n"/>
      <c r="N65" s="7" t="n"/>
      <c r="O65" s="9">
        <f>IF(NOT(ISNUMBER($M65)),"",IF($L65="Fine earth / fine-earth volume",$M65*(1-IF(ISNUMBER($K65),$K65,0)/100),$M65))</f>
        <v/>
      </c>
      <c r="P65" s="9">
        <f>IF(OR(NOT(ISNUMBER($O65)),NOT(ISNUMBER($N65)),NOT(ISNUMBER($F65))),"",$O65*($N65/100)*$F65*10)</f>
        <v/>
      </c>
      <c r="Q65" s="9">
        <f>IF(OR(NOT(ISNUMBER($D65)),NOT(ISNUMBER($E65))),"",MAX(0,MIN($E65,SOIL_REPORTING_DEPTH_CM)-MIN($D65,SOIL_REPORTING_DEPTH_CM)))</f>
        <v/>
      </c>
      <c r="R65" s="9">
        <f>IF(OR(NOT(ISNUMBER($O65)),NOT(ISNUMBER($N65)),NOT(ISNUMBER($Q65))),"",$O65*($N65/100)*$Q65*10)</f>
        <v/>
      </c>
      <c r="S65" s="11">
        <f>IF(AND($A65="",$B65="",$D65=""),"",IF(AND($A65&lt;&gt;"",COUNTIF('1. Plot &amp; Site Log'!$A$5:$A$64,$A65)=0),"Plot ID not in the Plot &amp; Site Log. ","")&amp;IF(AND(ISNUMBER($D65),ISNUMBER($E65),$E65&lt;=$D65),"Bottom depth is not below top depth. ","")&amp;IF($L65="Not confirmed","Bulk-density basis not confirmed with the lab — the coarse-fragment correction may be wrong or doubled. ","")&amp;IF(AND(ISNUMBER($M65),OR($M65&lt;QC_BD_MIN,$M65&gt;QC_BD_MAX)),"Bulk density outside the plausible range for a mineral grassland soil. ","")&amp;IF(AND(ISNUMBER($N65),$N65&gt;QC_CARBON_PCT_MAX),"Organic carbon above the QC ceiling — check units, and whether this is an organic horizon. ","")&amp;IF(AND(ISNUMBER($J65),$J65&lt;QC_RECOVERY_MIN),"Recovered less than the QC minimum of the depth driven — the increments may not sit where you think. Do NOT stretch them back out. ","")&amp;IF(AND(ISNUMBER($K65),$K65&gt;0,$L65="Fine earth / total volume"),"Coarse fragments recorded and the lab basis already accounts for them — no further correction applied, which is correct. ",""))</f>
        <v/>
      </c>
      <c r="T65" s="6" t="n"/>
      <c r="U65" s="9">
        <f>IF($B65="",0,IF(COUNTIFS($B$5:$B65,$B65)=1,1,0))</f>
        <v/>
      </c>
    </row>
    <row r="66">
      <c r="A66" s="6" t="n"/>
      <c r="B66" s="6" t="n"/>
      <c r="C66" s="6" t="n"/>
      <c r="D66" s="6" t="n"/>
      <c r="E66" s="6" t="n"/>
      <c r="F66" s="9">
        <f>IF(OR($D66="",$E66=""),"",$E66-$D66)</f>
        <v/>
      </c>
      <c r="G66" s="6" t="n"/>
      <c r="H66" s="6" t="n"/>
      <c r="I66" s="6" t="n"/>
      <c r="J66" s="9">
        <f>IF(OR(NOT(ISNUMBER($H66)),NOT(ISNUMBER($I66)),$H66=0),"",$I66/$H66)</f>
        <v/>
      </c>
      <c r="K66" s="6" t="n"/>
      <c r="L66" s="8" t="n"/>
      <c r="M66" s="7" t="n"/>
      <c r="N66" s="7" t="n"/>
      <c r="O66" s="9">
        <f>IF(NOT(ISNUMBER($M66)),"",IF($L66="Fine earth / fine-earth volume",$M66*(1-IF(ISNUMBER($K66),$K66,0)/100),$M66))</f>
        <v/>
      </c>
      <c r="P66" s="9">
        <f>IF(OR(NOT(ISNUMBER($O66)),NOT(ISNUMBER($N66)),NOT(ISNUMBER($F66))),"",$O66*($N66/100)*$F66*10)</f>
        <v/>
      </c>
      <c r="Q66" s="9">
        <f>IF(OR(NOT(ISNUMBER($D66)),NOT(ISNUMBER($E66))),"",MAX(0,MIN($E66,SOIL_REPORTING_DEPTH_CM)-MIN($D66,SOIL_REPORTING_DEPTH_CM)))</f>
        <v/>
      </c>
      <c r="R66" s="9">
        <f>IF(OR(NOT(ISNUMBER($O66)),NOT(ISNUMBER($N66)),NOT(ISNUMBER($Q66))),"",$O66*($N66/100)*$Q66*10)</f>
        <v/>
      </c>
      <c r="S66" s="11">
        <f>IF(AND($A66="",$B66="",$D66=""),"",IF(AND($A66&lt;&gt;"",COUNTIF('1. Plot &amp; Site Log'!$A$5:$A$64,$A66)=0),"Plot ID not in the Plot &amp; Site Log. ","")&amp;IF(AND(ISNUMBER($D66),ISNUMBER($E66),$E66&lt;=$D66),"Bottom depth is not below top depth. ","")&amp;IF($L66="Not confirmed","Bulk-density basis not confirmed with the lab — the coarse-fragment correction may be wrong or doubled. ","")&amp;IF(AND(ISNUMBER($M66),OR($M66&lt;QC_BD_MIN,$M66&gt;QC_BD_MAX)),"Bulk density outside the plausible range for a mineral grassland soil. ","")&amp;IF(AND(ISNUMBER($N66),$N66&gt;QC_CARBON_PCT_MAX),"Organic carbon above the QC ceiling — check units, and whether this is an organic horizon. ","")&amp;IF(AND(ISNUMBER($J66),$J66&lt;QC_RECOVERY_MIN),"Recovered less than the QC minimum of the depth driven — the increments may not sit where you think. Do NOT stretch them back out. ","")&amp;IF(AND(ISNUMBER($K66),$K66&gt;0,$L66="Fine earth / total volume"),"Coarse fragments recorded and the lab basis already accounts for them — no further correction applied, which is correct. ",""))</f>
        <v/>
      </c>
      <c r="T66" s="6" t="n"/>
      <c r="U66" s="9">
        <f>IF($B66="",0,IF(COUNTIFS($B$5:$B66,$B66)=1,1,0))</f>
        <v/>
      </c>
    </row>
    <row r="67">
      <c r="A67" s="6" t="n"/>
      <c r="B67" s="6" t="n"/>
      <c r="C67" s="6" t="n"/>
      <c r="D67" s="6" t="n"/>
      <c r="E67" s="6" t="n"/>
      <c r="F67" s="9">
        <f>IF(OR($D67="",$E67=""),"",$E67-$D67)</f>
        <v/>
      </c>
      <c r="G67" s="6" t="n"/>
      <c r="H67" s="6" t="n"/>
      <c r="I67" s="6" t="n"/>
      <c r="J67" s="9">
        <f>IF(OR(NOT(ISNUMBER($H67)),NOT(ISNUMBER($I67)),$H67=0),"",$I67/$H67)</f>
        <v/>
      </c>
      <c r="K67" s="6" t="n"/>
      <c r="L67" s="8" t="n"/>
      <c r="M67" s="7" t="n"/>
      <c r="N67" s="7" t="n"/>
      <c r="O67" s="9">
        <f>IF(NOT(ISNUMBER($M67)),"",IF($L67="Fine earth / fine-earth volume",$M67*(1-IF(ISNUMBER($K67),$K67,0)/100),$M67))</f>
        <v/>
      </c>
      <c r="P67" s="9">
        <f>IF(OR(NOT(ISNUMBER($O67)),NOT(ISNUMBER($N67)),NOT(ISNUMBER($F67))),"",$O67*($N67/100)*$F67*10)</f>
        <v/>
      </c>
      <c r="Q67" s="9">
        <f>IF(OR(NOT(ISNUMBER($D67)),NOT(ISNUMBER($E67))),"",MAX(0,MIN($E67,SOIL_REPORTING_DEPTH_CM)-MIN($D67,SOIL_REPORTING_DEPTH_CM)))</f>
        <v/>
      </c>
      <c r="R67" s="9">
        <f>IF(OR(NOT(ISNUMBER($O67)),NOT(ISNUMBER($N67)),NOT(ISNUMBER($Q67))),"",$O67*($N67/100)*$Q67*10)</f>
        <v/>
      </c>
      <c r="S67" s="11">
        <f>IF(AND($A67="",$B67="",$D67=""),"",IF(AND($A67&lt;&gt;"",COUNTIF('1. Plot &amp; Site Log'!$A$5:$A$64,$A67)=0),"Plot ID not in the Plot &amp; Site Log. ","")&amp;IF(AND(ISNUMBER($D67),ISNUMBER($E67),$E67&lt;=$D67),"Bottom depth is not below top depth. ","")&amp;IF($L67="Not confirmed","Bulk-density basis not confirmed with the lab — the coarse-fragment correction may be wrong or doubled. ","")&amp;IF(AND(ISNUMBER($M67),OR($M67&lt;QC_BD_MIN,$M67&gt;QC_BD_MAX)),"Bulk density outside the plausible range for a mineral grassland soil. ","")&amp;IF(AND(ISNUMBER($N67),$N67&gt;QC_CARBON_PCT_MAX),"Organic carbon above the QC ceiling — check units, and whether this is an organic horizon. ","")&amp;IF(AND(ISNUMBER($J67),$J67&lt;QC_RECOVERY_MIN),"Recovered less than the QC minimum of the depth driven — the increments may not sit where you think. Do NOT stretch them back out. ","")&amp;IF(AND(ISNUMBER($K67),$K67&gt;0,$L67="Fine earth / total volume"),"Coarse fragments recorded and the lab basis already accounts for them — no further correction applied, which is correct. ",""))</f>
        <v/>
      </c>
      <c r="T67" s="6" t="n"/>
      <c r="U67" s="9">
        <f>IF($B67="",0,IF(COUNTIFS($B$5:$B67,$B67)=1,1,0))</f>
        <v/>
      </c>
    </row>
    <row r="68">
      <c r="A68" s="6" t="n"/>
      <c r="B68" s="6" t="n"/>
      <c r="C68" s="6" t="n"/>
      <c r="D68" s="6" t="n"/>
      <c r="E68" s="6" t="n"/>
      <c r="F68" s="9">
        <f>IF(OR($D68="",$E68=""),"",$E68-$D68)</f>
        <v/>
      </c>
      <c r="G68" s="6" t="n"/>
      <c r="H68" s="6" t="n"/>
      <c r="I68" s="6" t="n"/>
      <c r="J68" s="9">
        <f>IF(OR(NOT(ISNUMBER($H68)),NOT(ISNUMBER($I68)),$H68=0),"",$I68/$H68)</f>
        <v/>
      </c>
      <c r="K68" s="6" t="n"/>
      <c r="L68" s="8" t="n"/>
      <c r="M68" s="7" t="n"/>
      <c r="N68" s="7" t="n"/>
      <c r="O68" s="9">
        <f>IF(NOT(ISNUMBER($M68)),"",IF($L68="Fine earth / fine-earth volume",$M68*(1-IF(ISNUMBER($K68),$K68,0)/100),$M68))</f>
        <v/>
      </c>
      <c r="P68" s="9">
        <f>IF(OR(NOT(ISNUMBER($O68)),NOT(ISNUMBER($N68)),NOT(ISNUMBER($F68))),"",$O68*($N68/100)*$F68*10)</f>
        <v/>
      </c>
      <c r="Q68" s="9">
        <f>IF(OR(NOT(ISNUMBER($D68)),NOT(ISNUMBER($E68))),"",MAX(0,MIN($E68,SOIL_REPORTING_DEPTH_CM)-MIN($D68,SOIL_REPORTING_DEPTH_CM)))</f>
        <v/>
      </c>
      <c r="R68" s="9">
        <f>IF(OR(NOT(ISNUMBER($O68)),NOT(ISNUMBER($N68)),NOT(ISNUMBER($Q68))),"",$O68*($N68/100)*$Q68*10)</f>
        <v/>
      </c>
      <c r="S68" s="11">
        <f>IF(AND($A68="",$B68="",$D68=""),"",IF(AND($A68&lt;&gt;"",COUNTIF('1. Plot &amp; Site Log'!$A$5:$A$64,$A68)=0),"Plot ID not in the Plot &amp; Site Log. ","")&amp;IF(AND(ISNUMBER($D68),ISNUMBER($E68),$E68&lt;=$D68),"Bottom depth is not below top depth. ","")&amp;IF($L68="Not confirmed","Bulk-density basis not confirmed with the lab — the coarse-fragment correction may be wrong or doubled. ","")&amp;IF(AND(ISNUMBER($M68),OR($M68&lt;QC_BD_MIN,$M68&gt;QC_BD_MAX)),"Bulk density outside the plausible range for a mineral grassland soil. ","")&amp;IF(AND(ISNUMBER($N68),$N68&gt;QC_CARBON_PCT_MAX),"Organic carbon above the QC ceiling — check units, and whether this is an organic horizon. ","")&amp;IF(AND(ISNUMBER($J68),$J68&lt;QC_RECOVERY_MIN),"Recovered less than the QC minimum of the depth driven — the increments may not sit where you think. Do NOT stretch them back out. ","")&amp;IF(AND(ISNUMBER($K68),$K68&gt;0,$L68="Fine earth / total volume"),"Coarse fragments recorded and the lab basis already accounts for them — no further correction applied, which is correct. ",""))</f>
        <v/>
      </c>
      <c r="T68" s="6" t="n"/>
      <c r="U68" s="9">
        <f>IF($B68="",0,IF(COUNTIFS($B$5:$B68,$B68)=1,1,0))</f>
        <v/>
      </c>
    </row>
    <row r="69">
      <c r="A69" s="6" t="n"/>
      <c r="B69" s="6" t="n"/>
      <c r="C69" s="6" t="n"/>
      <c r="D69" s="6" t="n"/>
      <c r="E69" s="6" t="n"/>
      <c r="F69" s="9">
        <f>IF(OR($D69="",$E69=""),"",$E69-$D69)</f>
        <v/>
      </c>
      <c r="G69" s="6" t="n"/>
      <c r="H69" s="6" t="n"/>
      <c r="I69" s="6" t="n"/>
      <c r="J69" s="9">
        <f>IF(OR(NOT(ISNUMBER($H69)),NOT(ISNUMBER($I69)),$H69=0),"",$I69/$H69)</f>
        <v/>
      </c>
      <c r="K69" s="6" t="n"/>
      <c r="L69" s="8" t="n"/>
      <c r="M69" s="7" t="n"/>
      <c r="N69" s="7" t="n"/>
      <c r="O69" s="9">
        <f>IF(NOT(ISNUMBER($M69)),"",IF($L69="Fine earth / fine-earth volume",$M69*(1-IF(ISNUMBER($K69),$K69,0)/100),$M69))</f>
        <v/>
      </c>
      <c r="P69" s="9">
        <f>IF(OR(NOT(ISNUMBER($O69)),NOT(ISNUMBER($N69)),NOT(ISNUMBER($F69))),"",$O69*($N69/100)*$F69*10)</f>
        <v/>
      </c>
      <c r="Q69" s="9">
        <f>IF(OR(NOT(ISNUMBER($D69)),NOT(ISNUMBER($E69))),"",MAX(0,MIN($E69,SOIL_REPORTING_DEPTH_CM)-MIN($D69,SOIL_REPORTING_DEPTH_CM)))</f>
        <v/>
      </c>
      <c r="R69" s="9">
        <f>IF(OR(NOT(ISNUMBER($O69)),NOT(ISNUMBER($N69)),NOT(ISNUMBER($Q69))),"",$O69*($N69/100)*$Q69*10)</f>
        <v/>
      </c>
      <c r="S69" s="11">
        <f>IF(AND($A69="",$B69="",$D69=""),"",IF(AND($A69&lt;&gt;"",COUNTIF('1. Plot &amp; Site Log'!$A$5:$A$64,$A69)=0),"Plot ID not in the Plot &amp; Site Log. ","")&amp;IF(AND(ISNUMBER($D69),ISNUMBER($E69),$E69&lt;=$D69),"Bottom depth is not below top depth. ","")&amp;IF($L69="Not confirmed","Bulk-density basis not confirmed with the lab — the coarse-fragment correction may be wrong or doubled. ","")&amp;IF(AND(ISNUMBER($M69),OR($M69&lt;QC_BD_MIN,$M69&gt;QC_BD_MAX)),"Bulk density outside the plausible range for a mineral grassland soil. ","")&amp;IF(AND(ISNUMBER($N69),$N69&gt;QC_CARBON_PCT_MAX),"Organic carbon above the QC ceiling — check units, and whether this is an organic horizon. ","")&amp;IF(AND(ISNUMBER($J69),$J69&lt;QC_RECOVERY_MIN),"Recovered less than the QC minimum of the depth driven — the increments may not sit where you think. Do NOT stretch them back out. ","")&amp;IF(AND(ISNUMBER($K69),$K69&gt;0,$L69="Fine earth / total volume"),"Coarse fragments recorded and the lab basis already accounts for them — no further correction applied, which is correct. ",""))</f>
        <v/>
      </c>
      <c r="T69" s="6" t="n"/>
      <c r="U69" s="9">
        <f>IF($B69="",0,IF(COUNTIFS($B$5:$B69,$B69)=1,1,0))</f>
        <v/>
      </c>
    </row>
    <row r="70">
      <c r="A70" s="6" t="n"/>
      <c r="B70" s="6" t="n"/>
      <c r="C70" s="6" t="n"/>
      <c r="D70" s="6" t="n"/>
      <c r="E70" s="6" t="n"/>
      <c r="F70" s="9">
        <f>IF(OR($D70="",$E70=""),"",$E70-$D70)</f>
        <v/>
      </c>
      <c r="G70" s="6" t="n"/>
      <c r="H70" s="6" t="n"/>
      <c r="I70" s="6" t="n"/>
      <c r="J70" s="9">
        <f>IF(OR(NOT(ISNUMBER($H70)),NOT(ISNUMBER($I70)),$H70=0),"",$I70/$H70)</f>
        <v/>
      </c>
      <c r="K70" s="6" t="n"/>
      <c r="L70" s="8" t="n"/>
      <c r="M70" s="7" t="n"/>
      <c r="N70" s="7" t="n"/>
      <c r="O70" s="9">
        <f>IF(NOT(ISNUMBER($M70)),"",IF($L70="Fine earth / fine-earth volume",$M70*(1-IF(ISNUMBER($K70),$K70,0)/100),$M70))</f>
        <v/>
      </c>
      <c r="P70" s="9">
        <f>IF(OR(NOT(ISNUMBER($O70)),NOT(ISNUMBER($N70)),NOT(ISNUMBER($F70))),"",$O70*($N70/100)*$F70*10)</f>
        <v/>
      </c>
      <c r="Q70" s="9">
        <f>IF(OR(NOT(ISNUMBER($D70)),NOT(ISNUMBER($E70))),"",MAX(0,MIN($E70,SOIL_REPORTING_DEPTH_CM)-MIN($D70,SOIL_REPORTING_DEPTH_CM)))</f>
        <v/>
      </c>
      <c r="R70" s="9">
        <f>IF(OR(NOT(ISNUMBER($O70)),NOT(ISNUMBER($N70)),NOT(ISNUMBER($Q70))),"",$O70*($N70/100)*$Q70*10)</f>
        <v/>
      </c>
      <c r="S70" s="11">
        <f>IF(AND($A70="",$B70="",$D70=""),"",IF(AND($A70&lt;&gt;"",COUNTIF('1. Plot &amp; Site Log'!$A$5:$A$64,$A70)=0),"Plot ID not in the Plot &amp; Site Log. ","")&amp;IF(AND(ISNUMBER($D70),ISNUMBER($E70),$E70&lt;=$D70),"Bottom depth is not below top depth. ","")&amp;IF($L70="Not confirmed","Bulk-density basis not confirmed with the lab — the coarse-fragment correction may be wrong or doubled. ","")&amp;IF(AND(ISNUMBER($M70),OR($M70&lt;QC_BD_MIN,$M70&gt;QC_BD_MAX)),"Bulk density outside the plausible range for a mineral grassland soil. ","")&amp;IF(AND(ISNUMBER($N70),$N70&gt;QC_CARBON_PCT_MAX),"Organic carbon above the QC ceiling — check units, and whether this is an organic horizon. ","")&amp;IF(AND(ISNUMBER($J70),$J70&lt;QC_RECOVERY_MIN),"Recovered less than the QC minimum of the depth driven — the increments may not sit where you think. Do NOT stretch them back out. ","")&amp;IF(AND(ISNUMBER($K70),$K70&gt;0,$L70="Fine earth / total volume"),"Coarse fragments recorded and the lab basis already accounts for them — no further correction applied, which is correct. ",""))</f>
        <v/>
      </c>
      <c r="T70" s="6" t="n"/>
      <c r="U70" s="9">
        <f>IF($B70="",0,IF(COUNTIFS($B$5:$B70,$B70)=1,1,0))</f>
        <v/>
      </c>
    </row>
    <row r="71">
      <c r="A71" s="6" t="n"/>
      <c r="B71" s="6" t="n"/>
      <c r="C71" s="6" t="n"/>
      <c r="D71" s="6" t="n"/>
      <c r="E71" s="6" t="n"/>
      <c r="F71" s="9">
        <f>IF(OR($D71="",$E71=""),"",$E71-$D71)</f>
        <v/>
      </c>
      <c r="G71" s="6" t="n"/>
      <c r="H71" s="6" t="n"/>
      <c r="I71" s="6" t="n"/>
      <c r="J71" s="9">
        <f>IF(OR(NOT(ISNUMBER($H71)),NOT(ISNUMBER($I71)),$H71=0),"",$I71/$H71)</f>
        <v/>
      </c>
      <c r="K71" s="6" t="n"/>
      <c r="L71" s="8" t="n"/>
      <c r="M71" s="7" t="n"/>
      <c r="N71" s="7" t="n"/>
      <c r="O71" s="9">
        <f>IF(NOT(ISNUMBER($M71)),"",IF($L71="Fine earth / fine-earth volume",$M71*(1-IF(ISNUMBER($K71),$K71,0)/100),$M71))</f>
        <v/>
      </c>
      <c r="P71" s="9">
        <f>IF(OR(NOT(ISNUMBER($O71)),NOT(ISNUMBER($N71)),NOT(ISNUMBER($F71))),"",$O71*($N71/100)*$F71*10)</f>
        <v/>
      </c>
      <c r="Q71" s="9">
        <f>IF(OR(NOT(ISNUMBER($D71)),NOT(ISNUMBER($E71))),"",MAX(0,MIN($E71,SOIL_REPORTING_DEPTH_CM)-MIN($D71,SOIL_REPORTING_DEPTH_CM)))</f>
        <v/>
      </c>
      <c r="R71" s="9">
        <f>IF(OR(NOT(ISNUMBER($O71)),NOT(ISNUMBER($N71)),NOT(ISNUMBER($Q71))),"",$O71*($N71/100)*$Q71*10)</f>
        <v/>
      </c>
      <c r="S71" s="11">
        <f>IF(AND($A71="",$B71="",$D71=""),"",IF(AND($A71&lt;&gt;"",COUNTIF('1. Plot &amp; Site Log'!$A$5:$A$64,$A71)=0),"Plot ID not in the Plot &amp; Site Log. ","")&amp;IF(AND(ISNUMBER($D71),ISNUMBER($E71),$E71&lt;=$D71),"Bottom depth is not below top depth. ","")&amp;IF($L71="Not confirmed","Bulk-density basis not confirmed with the lab — the coarse-fragment correction may be wrong or doubled. ","")&amp;IF(AND(ISNUMBER($M71),OR($M71&lt;QC_BD_MIN,$M71&gt;QC_BD_MAX)),"Bulk density outside the plausible range for a mineral grassland soil. ","")&amp;IF(AND(ISNUMBER($N71),$N71&gt;QC_CARBON_PCT_MAX),"Organic carbon above the QC ceiling — check units, and whether this is an organic horizon. ","")&amp;IF(AND(ISNUMBER($J71),$J71&lt;QC_RECOVERY_MIN),"Recovered less than the QC minimum of the depth driven — the increments may not sit where you think. Do NOT stretch them back out. ","")&amp;IF(AND(ISNUMBER($K71),$K71&gt;0,$L71="Fine earth / total volume"),"Coarse fragments recorded and the lab basis already accounts for them — no further correction applied, which is correct. ",""))</f>
        <v/>
      </c>
      <c r="T71" s="6" t="n"/>
      <c r="U71" s="9">
        <f>IF($B71="",0,IF(COUNTIFS($B$5:$B71,$B71)=1,1,0))</f>
        <v/>
      </c>
    </row>
    <row r="72">
      <c r="A72" s="6" t="n"/>
      <c r="B72" s="6" t="n"/>
      <c r="C72" s="6" t="n"/>
      <c r="D72" s="6" t="n"/>
      <c r="E72" s="6" t="n"/>
      <c r="F72" s="9">
        <f>IF(OR($D72="",$E72=""),"",$E72-$D72)</f>
        <v/>
      </c>
      <c r="G72" s="6" t="n"/>
      <c r="H72" s="6" t="n"/>
      <c r="I72" s="6" t="n"/>
      <c r="J72" s="9">
        <f>IF(OR(NOT(ISNUMBER($H72)),NOT(ISNUMBER($I72)),$H72=0),"",$I72/$H72)</f>
        <v/>
      </c>
      <c r="K72" s="6" t="n"/>
      <c r="L72" s="8" t="n"/>
      <c r="M72" s="7" t="n"/>
      <c r="N72" s="7" t="n"/>
      <c r="O72" s="9">
        <f>IF(NOT(ISNUMBER($M72)),"",IF($L72="Fine earth / fine-earth volume",$M72*(1-IF(ISNUMBER($K72),$K72,0)/100),$M72))</f>
        <v/>
      </c>
      <c r="P72" s="9">
        <f>IF(OR(NOT(ISNUMBER($O72)),NOT(ISNUMBER($N72)),NOT(ISNUMBER($F72))),"",$O72*($N72/100)*$F72*10)</f>
        <v/>
      </c>
      <c r="Q72" s="9">
        <f>IF(OR(NOT(ISNUMBER($D72)),NOT(ISNUMBER($E72))),"",MAX(0,MIN($E72,SOIL_REPORTING_DEPTH_CM)-MIN($D72,SOIL_REPORTING_DEPTH_CM)))</f>
        <v/>
      </c>
      <c r="R72" s="9">
        <f>IF(OR(NOT(ISNUMBER($O72)),NOT(ISNUMBER($N72)),NOT(ISNUMBER($Q72))),"",$O72*($N72/100)*$Q72*10)</f>
        <v/>
      </c>
      <c r="S72" s="11">
        <f>IF(AND($A72="",$B72="",$D72=""),"",IF(AND($A72&lt;&gt;"",COUNTIF('1. Plot &amp; Site Log'!$A$5:$A$64,$A72)=0),"Plot ID not in the Plot &amp; Site Log. ","")&amp;IF(AND(ISNUMBER($D72),ISNUMBER($E72),$E72&lt;=$D72),"Bottom depth is not below top depth. ","")&amp;IF($L72="Not confirmed","Bulk-density basis not confirmed with the lab — the coarse-fragment correction may be wrong or doubled. ","")&amp;IF(AND(ISNUMBER($M72),OR($M72&lt;QC_BD_MIN,$M72&gt;QC_BD_MAX)),"Bulk density outside the plausible range for a mineral grassland soil. ","")&amp;IF(AND(ISNUMBER($N72),$N72&gt;QC_CARBON_PCT_MAX),"Organic carbon above the QC ceiling — check units, and whether this is an organic horizon. ","")&amp;IF(AND(ISNUMBER($J72),$J72&lt;QC_RECOVERY_MIN),"Recovered less than the QC minimum of the depth driven — the increments may not sit where you think. Do NOT stretch them back out. ","")&amp;IF(AND(ISNUMBER($K72),$K72&gt;0,$L72="Fine earth / total volume"),"Coarse fragments recorded and the lab basis already accounts for them — no further correction applied, which is correct. ",""))</f>
        <v/>
      </c>
      <c r="T72" s="6" t="n"/>
      <c r="U72" s="9">
        <f>IF($B72="",0,IF(COUNTIFS($B$5:$B72,$B72)=1,1,0))</f>
        <v/>
      </c>
    </row>
    <row r="73">
      <c r="A73" s="6" t="n"/>
      <c r="B73" s="6" t="n"/>
      <c r="C73" s="6" t="n"/>
      <c r="D73" s="6" t="n"/>
      <c r="E73" s="6" t="n"/>
      <c r="F73" s="9">
        <f>IF(OR($D73="",$E73=""),"",$E73-$D73)</f>
        <v/>
      </c>
      <c r="G73" s="6" t="n"/>
      <c r="H73" s="6" t="n"/>
      <c r="I73" s="6" t="n"/>
      <c r="J73" s="9">
        <f>IF(OR(NOT(ISNUMBER($H73)),NOT(ISNUMBER($I73)),$H73=0),"",$I73/$H73)</f>
        <v/>
      </c>
      <c r="K73" s="6" t="n"/>
      <c r="L73" s="8" t="n"/>
      <c r="M73" s="7" t="n"/>
      <c r="N73" s="7" t="n"/>
      <c r="O73" s="9">
        <f>IF(NOT(ISNUMBER($M73)),"",IF($L73="Fine earth / fine-earth volume",$M73*(1-IF(ISNUMBER($K73),$K73,0)/100),$M73))</f>
        <v/>
      </c>
      <c r="P73" s="9">
        <f>IF(OR(NOT(ISNUMBER($O73)),NOT(ISNUMBER($N73)),NOT(ISNUMBER($F73))),"",$O73*($N73/100)*$F73*10)</f>
        <v/>
      </c>
      <c r="Q73" s="9">
        <f>IF(OR(NOT(ISNUMBER($D73)),NOT(ISNUMBER($E73))),"",MAX(0,MIN($E73,SOIL_REPORTING_DEPTH_CM)-MIN($D73,SOIL_REPORTING_DEPTH_CM)))</f>
        <v/>
      </c>
      <c r="R73" s="9">
        <f>IF(OR(NOT(ISNUMBER($O73)),NOT(ISNUMBER($N73)),NOT(ISNUMBER($Q73))),"",$O73*($N73/100)*$Q73*10)</f>
        <v/>
      </c>
      <c r="S73" s="11">
        <f>IF(AND($A73="",$B73="",$D73=""),"",IF(AND($A73&lt;&gt;"",COUNTIF('1. Plot &amp; Site Log'!$A$5:$A$64,$A73)=0),"Plot ID not in the Plot &amp; Site Log. ","")&amp;IF(AND(ISNUMBER($D73),ISNUMBER($E73),$E73&lt;=$D73),"Bottom depth is not below top depth. ","")&amp;IF($L73="Not confirmed","Bulk-density basis not confirmed with the lab — the coarse-fragment correction may be wrong or doubled. ","")&amp;IF(AND(ISNUMBER($M73),OR($M73&lt;QC_BD_MIN,$M73&gt;QC_BD_MAX)),"Bulk density outside the plausible range for a mineral grassland soil. ","")&amp;IF(AND(ISNUMBER($N73),$N73&gt;QC_CARBON_PCT_MAX),"Organic carbon above the QC ceiling — check units, and whether this is an organic horizon. ","")&amp;IF(AND(ISNUMBER($J73),$J73&lt;QC_RECOVERY_MIN),"Recovered less than the QC minimum of the depth driven — the increments may not sit where you think. Do NOT stretch them back out. ","")&amp;IF(AND(ISNUMBER($K73),$K73&gt;0,$L73="Fine earth / total volume"),"Coarse fragments recorded and the lab basis already accounts for them — no further correction applied, which is correct. ",""))</f>
        <v/>
      </c>
      <c r="T73" s="6" t="n"/>
      <c r="U73" s="9">
        <f>IF($B73="",0,IF(COUNTIFS($B$5:$B73,$B73)=1,1,0))</f>
        <v/>
      </c>
    </row>
    <row r="74">
      <c r="A74" s="6" t="n"/>
      <c r="B74" s="6" t="n"/>
      <c r="C74" s="6" t="n"/>
      <c r="D74" s="6" t="n"/>
      <c r="E74" s="6" t="n"/>
      <c r="F74" s="9">
        <f>IF(OR($D74="",$E74=""),"",$E74-$D74)</f>
        <v/>
      </c>
      <c r="G74" s="6" t="n"/>
      <c r="H74" s="6" t="n"/>
      <c r="I74" s="6" t="n"/>
      <c r="J74" s="9">
        <f>IF(OR(NOT(ISNUMBER($H74)),NOT(ISNUMBER($I74)),$H74=0),"",$I74/$H74)</f>
        <v/>
      </c>
      <c r="K74" s="6" t="n"/>
      <c r="L74" s="8" t="n"/>
      <c r="M74" s="7" t="n"/>
      <c r="N74" s="7" t="n"/>
      <c r="O74" s="9">
        <f>IF(NOT(ISNUMBER($M74)),"",IF($L74="Fine earth / fine-earth volume",$M74*(1-IF(ISNUMBER($K74),$K74,0)/100),$M74))</f>
        <v/>
      </c>
      <c r="P74" s="9">
        <f>IF(OR(NOT(ISNUMBER($O74)),NOT(ISNUMBER($N74)),NOT(ISNUMBER($F74))),"",$O74*($N74/100)*$F74*10)</f>
        <v/>
      </c>
      <c r="Q74" s="9">
        <f>IF(OR(NOT(ISNUMBER($D74)),NOT(ISNUMBER($E74))),"",MAX(0,MIN($E74,SOIL_REPORTING_DEPTH_CM)-MIN($D74,SOIL_REPORTING_DEPTH_CM)))</f>
        <v/>
      </c>
      <c r="R74" s="9">
        <f>IF(OR(NOT(ISNUMBER($O74)),NOT(ISNUMBER($N74)),NOT(ISNUMBER($Q74))),"",$O74*($N74/100)*$Q74*10)</f>
        <v/>
      </c>
      <c r="S74" s="11">
        <f>IF(AND($A74="",$B74="",$D74=""),"",IF(AND($A74&lt;&gt;"",COUNTIF('1. Plot &amp; Site Log'!$A$5:$A$64,$A74)=0),"Plot ID not in the Plot &amp; Site Log. ","")&amp;IF(AND(ISNUMBER($D74),ISNUMBER($E74),$E74&lt;=$D74),"Bottom depth is not below top depth. ","")&amp;IF($L74="Not confirmed","Bulk-density basis not confirmed with the lab — the coarse-fragment correction may be wrong or doubled. ","")&amp;IF(AND(ISNUMBER($M74),OR($M74&lt;QC_BD_MIN,$M74&gt;QC_BD_MAX)),"Bulk density outside the plausible range for a mineral grassland soil. ","")&amp;IF(AND(ISNUMBER($N74),$N74&gt;QC_CARBON_PCT_MAX),"Organic carbon above the QC ceiling — check units, and whether this is an organic horizon. ","")&amp;IF(AND(ISNUMBER($J74),$J74&lt;QC_RECOVERY_MIN),"Recovered less than the QC minimum of the depth driven — the increments may not sit where you think. Do NOT stretch them back out. ","")&amp;IF(AND(ISNUMBER($K74),$K74&gt;0,$L74="Fine earth / total volume"),"Coarse fragments recorded and the lab basis already accounts for them — no further correction applied, which is correct. ",""))</f>
        <v/>
      </c>
      <c r="T74" s="6" t="n"/>
      <c r="U74" s="9">
        <f>IF($B74="",0,IF(COUNTIFS($B$5:$B74,$B74)=1,1,0))</f>
        <v/>
      </c>
    </row>
    <row r="75">
      <c r="A75" s="6" t="n"/>
      <c r="B75" s="6" t="n"/>
      <c r="C75" s="6" t="n"/>
      <c r="D75" s="6" t="n"/>
      <c r="E75" s="6" t="n"/>
      <c r="F75" s="9">
        <f>IF(OR($D75="",$E75=""),"",$E75-$D75)</f>
        <v/>
      </c>
      <c r="G75" s="6" t="n"/>
      <c r="H75" s="6" t="n"/>
      <c r="I75" s="6" t="n"/>
      <c r="J75" s="9">
        <f>IF(OR(NOT(ISNUMBER($H75)),NOT(ISNUMBER($I75)),$H75=0),"",$I75/$H75)</f>
        <v/>
      </c>
      <c r="K75" s="6" t="n"/>
      <c r="L75" s="8" t="n"/>
      <c r="M75" s="7" t="n"/>
      <c r="N75" s="7" t="n"/>
      <c r="O75" s="9">
        <f>IF(NOT(ISNUMBER($M75)),"",IF($L75="Fine earth / fine-earth volume",$M75*(1-IF(ISNUMBER($K75),$K75,0)/100),$M75))</f>
        <v/>
      </c>
      <c r="P75" s="9">
        <f>IF(OR(NOT(ISNUMBER($O75)),NOT(ISNUMBER($N75)),NOT(ISNUMBER($F75))),"",$O75*($N75/100)*$F75*10)</f>
        <v/>
      </c>
      <c r="Q75" s="9">
        <f>IF(OR(NOT(ISNUMBER($D75)),NOT(ISNUMBER($E75))),"",MAX(0,MIN($E75,SOIL_REPORTING_DEPTH_CM)-MIN($D75,SOIL_REPORTING_DEPTH_CM)))</f>
        <v/>
      </c>
      <c r="R75" s="9">
        <f>IF(OR(NOT(ISNUMBER($O75)),NOT(ISNUMBER($N75)),NOT(ISNUMBER($Q75))),"",$O75*($N75/100)*$Q75*10)</f>
        <v/>
      </c>
      <c r="S75" s="11">
        <f>IF(AND($A75="",$B75="",$D75=""),"",IF(AND($A75&lt;&gt;"",COUNTIF('1. Plot &amp; Site Log'!$A$5:$A$64,$A75)=0),"Plot ID not in the Plot &amp; Site Log. ","")&amp;IF(AND(ISNUMBER($D75),ISNUMBER($E75),$E75&lt;=$D75),"Bottom depth is not below top depth. ","")&amp;IF($L75="Not confirmed","Bulk-density basis not confirmed with the lab — the coarse-fragment correction may be wrong or doubled. ","")&amp;IF(AND(ISNUMBER($M75),OR($M75&lt;QC_BD_MIN,$M75&gt;QC_BD_MAX)),"Bulk density outside the plausible range for a mineral grassland soil. ","")&amp;IF(AND(ISNUMBER($N75),$N75&gt;QC_CARBON_PCT_MAX),"Organic carbon above the QC ceiling — check units, and whether this is an organic horizon. ","")&amp;IF(AND(ISNUMBER($J75),$J75&lt;QC_RECOVERY_MIN),"Recovered less than the QC minimum of the depth driven — the increments may not sit where you think. Do NOT stretch them back out. ","")&amp;IF(AND(ISNUMBER($K75),$K75&gt;0,$L75="Fine earth / total volume"),"Coarse fragments recorded and the lab basis already accounts for them — no further correction applied, which is correct. ",""))</f>
        <v/>
      </c>
      <c r="T75" s="6" t="n"/>
      <c r="U75" s="9">
        <f>IF($B75="",0,IF(COUNTIFS($B$5:$B75,$B75)=1,1,0))</f>
        <v/>
      </c>
    </row>
    <row r="76">
      <c r="A76" s="6" t="n"/>
      <c r="B76" s="6" t="n"/>
      <c r="C76" s="6" t="n"/>
      <c r="D76" s="6" t="n"/>
      <c r="E76" s="6" t="n"/>
      <c r="F76" s="9">
        <f>IF(OR($D76="",$E76=""),"",$E76-$D76)</f>
        <v/>
      </c>
      <c r="G76" s="6" t="n"/>
      <c r="H76" s="6" t="n"/>
      <c r="I76" s="6" t="n"/>
      <c r="J76" s="9">
        <f>IF(OR(NOT(ISNUMBER($H76)),NOT(ISNUMBER($I76)),$H76=0),"",$I76/$H76)</f>
        <v/>
      </c>
      <c r="K76" s="6" t="n"/>
      <c r="L76" s="8" t="n"/>
      <c r="M76" s="7" t="n"/>
      <c r="N76" s="7" t="n"/>
      <c r="O76" s="9">
        <f>IF(NOT(ISNUMBER($M76)),"",IF($L76="Fine earth / fine-earth volume",$M76*(1-IF(ISNUMBER($K76),$K76,0)/100),$M76))</f>
        <v/>
      </c>
      <c r="P76" s="9">
        <f>IF(OR(NOT(ISNUMBER($O76)),NOT(ISNUMBER($N76)),NOT(ISNUMBER($F76))),"",$O76*($N76/100)*$F76*10)</f>
        <v/>
      </c>
      <c r="Q76" s="9">
        <f>IF(OR(NOT(ISNUMBER($D76)),NOT(ISNUMBER($E76))),"",MAX(0,MIN($E76,SOIL_REPORTING_DEPTH_CM)-MIN($D76,SOIL_REPORTING_DEPTH_CM)))</f>
        <v/>
      </c>
      <c r="R76" s="9">
        <f>IF(OR(NOT(ISNUMBER($O76)),NOT(ISNUMBER($N76)),NOT(ISNUMBER($Q76))),"",$O76*($N76/100)*$Q76*10)</f>
        <v/>
      </c>
      <c r="S76" s="11">
        <f>IF(AND($A76="",$B76="",$D76=""),"",IF(AND($A76&lt;&gt;"",COUNTIF('1. Plot &amp; Site Log'!$A$5:$A$64,$A76)=0),"Plot ID not in the Plot &amp; Site Log. ","")&amp;IF(AND(ISNUMBER($D76),ISNUMBER($E76),$E76&lt;=$D76),"Bottom depth is not below top depth. ","")&amp;IF($L76="Not confirmed","Bulk-density basis not confirmed with the lab — the coarse-fragment correction may be wrong or doubled. ","")&amp;IF(AND(ISNUMBER($M76),OR($M76&lt;QC_BD_MIN,$M76&gt;QC_BD_MAX)),"Bulk density outside the plausible range for a mineral grassland soil. ","")&amp;IF(AND(ISNUMBER($N76),$N76&gt;QC_CARBON_PCT_MAX),"Organic carbon above the QC ceiling — check units, and whether this is an organic horizon. ","")&amp;IF(AND(ISNUMBER($J76),$J76&lt;QC_RECOVERY_MIN),"Recovered less than the QC minimum of the depth driven — the increments may not sit where you think. Do NOT stretch them back out. ","")&amp;IF(AND(ISNUMBER($K76),$K76&gt;0,$L76="Fine earth / total volume"),"Coarse fragments recorded and the lab basis already accounts for them — no further correction applied, which is correct. ",""))</f>
        <v/>
      </c>
      <c r="T76" s="6" t="n"/>
      <c r="U76" s="9">
        <f>IF($B76="",0,IF(COUNTIFS($B$5:$B76,$B76)=1,1,0))</f>
        <v/>
      </c>
    </row>
    <row r="77">
      <c r="A77" s="6" t="n"/>
      <c r="B77" s="6" t="n"/>
      <c r="C77" s="6" t="n"/>
      <c r="D77" s="6" t="n"/>
      <c r="E77" s="6" t="n"/>
      <c r="F77" s="9">
        <f>IF(OR($D77="",$E77=""),"",$E77-$D77)</f>
        <v/>
      </c>
      <c r="G77" s="6" t="n"/>
      <c r="H77" s="6" t="n"/>
      <c r="I77" s="6" t="n"/>
      <c r="J77" s="9">
        <f>IF(OR(NOT(ISNUMBER($H77)),NOT(ISNUMBER($I77)),$H77=0),"",$I77/$H77)</f>
        <v/>
      </c>
      <c r="K77" s="6" t="n"/>
      <c r="L77" s="8" t="n"/>
      <c r="M77" s="7" t="n"/>
      <c r="N77" s="7" t="n"/>
      <c r="O77" s="9">
        <f>IF(NOT(ISNUMBER($M77)),"",IF($L77="Fine earth / fine-earth volume",$M77*(1-IF(ISNUMBER($K77),$K77,0)/100),$M77))</f>
        <v/>
      </c>
      <c r="P77" s="9">
        <f>IF(OR(NOT(ISNUMBER($O77)),NOT(ISNUMBER($N77)),NOT(ISNUMBER($F77))),"",$O77*($N77/100)*$F77*10)</f>
        <v/>
      </c>
      <c r="Q77" s="9">
        <f>IF(OR(NOT(ISNUMBER($D77)),NOT(ISNUMBER($E77))),"",MAX(0,MIN($E77,SOIL_REPORTING_DEPTH_CM)-MIN($D77,SOIL_REPORTING_DEPTH_CM)))</f>
        <v/>
      </c>
      <c r="R77" s="9">
        <f>IF(OR(NOT(ISNUMBER($O77)),NOT(ISNUMBER($N77)),NOT(ISNUMBER($Q77))),"",$O77*($N77/100)*$Q77*10)</f>
        <v/>
      </c>
      <c r="S77" s="11">
        <f>IF(AND($A77="",$B77="",$D77=""),"",IF(AND($A77&lt;&gt;"",COUNTIF('1. Plot &amp; Site Log'!$A$5:$A$64,$A77)=0),"Plot ID not in the Plot &amp; Site Log. ","")&amp;IF(AND(ISNUMBER($D77),ISNUMBER($E77),$E77&lt;=$D77),"Bottom depth is not below top depth. ","")&amp;IF($L77="Not confirmed","Bulk-density basis not confirmed with the lab — the coarse-fragment correction may be wrong or doubled. ","")&amp;IF(AND(ISNUMBER($M77),OR($M77&lt;QC_BD_MIN,$M77&gt;QC_BD_MAX)),"Bulk density outside the plausible range for a mineral grassland soil. ","")&amp;IF(AND(ISNUMBER($N77),$N77&gt;QC_CARBON_PCT_MAX),"Organic carbon above the QC ceiling — check units, and whether this is an organic horizon. ","")&amp;IF(AND(ISNUMBER($J77),$J77&lt;QC_RECOVERY_MIN),"Recovered less than the QC minimum of the depth driven — the increments may not sit where you think. Do NOT stretch them back out. ","")&amp;IF(AND(ISNUMBER($K77),$K77&gt;0,$L77="Fine earth / total volume"),"Coarse fragments recorded and the lab basis already accounts for them — no further correction applied, which is correct. ",""))</f>
        <v/>
      </c>
      <c r="T77" s="6" t="n"/>
      <c r="U77" s="9">
        <f>IF($B77="",0,IF(COUNTIFS($B$5:$B77,$B77)=1,1,0))</f>
        <v/>
      </c>
    </row>
    <row r="78">
      <c r="A78" s="6" t="n"/>
      <c r="B78" s="6" t="n"/>
      <c r="C78" s="6" t="n"/>
      <c r="D78" s="6" t="n"/>
      <c r="E78" s="6" t="n"/>
      <c r="F78" s="9">
        <f>IF(OR($D78="",$E78=""),"",$E78-$D78)</f>
        <v/>
      </c>
      <c r="G78" s="6" t="n"/>
      <c r="H78" s="6" t="n"/>
      <c r="I78" s="6" t="n"/>
      <c r="J78" s="9">
        <f>IF(OR(NOT(ISNUMBER($H78)),NOT(ISNUMBER($I78)),$H78=0),"",$I78/$H78)</f>
        <v/>
      </c>
      <c r="K78" s="6" t="n"/>
      <c r="L78" s="8" t="n"/>
      <c r="M78" s="7" t="n"/>
      <c r="N78" s="7" t="n"/>
      <c r="O78" s="9">
        <f>IF(NOT(ISNUMBER($M78)),"",IF($L78="Fine earth / fine-earth volume",$M78*(1-IF(ISNUMBER($K78),$K78,0)/100),$M78))</f>
        <v/>
      </c>
      <c r="P78" s="9">
        <f>IF(OR(NOT(ISNUMBER($O78)),NOT(ISNUMBER($N78)),NOT(ISNUMBER($F78))),"",$O78*($N78/100)*$F78*10)</f>
        <v/>
      </c>
      <c r="Q78" s="9">
        <f>IF(OR(NOT(ISNUMBER($D78)),NOT(ISNUMBER($E78))),"",MAX(0,MIN($E78,SOIL_REPORTING_DEPTH_CM)-MIN($D78,SOIL_REPORTING_DEPTH_CM)))</f>
        <v/>
      </c>
      <c r="R78" s="9">
        <f>IF(OR(NOT(ISNUMBER($O78)),NOT(ISNUMBER($N78)),NOT(ISNUMBER($Q78))),"",$O78*($N78/100)*$Q78*10)</f>
        <v/>
      </c>
      <c r="S78" s="11">
        <f>IF(AND($A78="",$B78="",$D78=""),"",IF(AND($A78&lt;&gt;"",COUNTIF('1. Plot &amp; Site Log'!$A$5:$A$64,$A78)=0),"Plot ID not in the Plot &amp; Site Log. ","")&amp;IF(AND(ISNUMBER($D78),ISNUMBER($E78),$E78&lt;=$D78),"Bottom depth is not below top depth. ","")&amp;IF($L78="Not confirmed","Bulk-density basis not confirmed with the lab — the coarse-fragment correction may be wrong or doubled. ","")&amp;IF(AND(ISNUMBER($M78),OR($M78&lt;QC_BD_MIN,$M78&gt;QC_BD_MAX)),"Bulk density outside the plausible range for a mineral grassland soil. ","")&amp;IF(AND(ISNUMBER($N78),$N78&gt;QC_CARBON_PCT_MAX),"Organic carbon above the QC ceiling — check units, and whether this is an organic horizon. ","")&amp;IF(AND(ISNUMBER($J78),$J78&lt;QC_RECOVERY_MIN),"Recovered less than the QC minimum of the depth driven — the increments may not sit where you think. Do NOT stretch them back out. ","")&amp;IF(AND(ISNUMBER($K78),$K78&gt;0,$L78="Fine earth / total volume"),"Coarse fragments recorded and the lab basis already accounts for them — no further correction applied, which is correct. ",""))</f>
        <v/>
      </c>
      <c r="T78" s="6" t="n"/>
      <c r="U78" s="9">
        <f>IF($B78="",0,IF(COUNTIFS($B$5:$B78,$B78)=1,1,0))</f>
        <v/>
      </c>
    </row>
    <row r="79">
      <c r="A79" s="6" t="n"/>
      <c r="B79" s="6" t="n"/>
      <c r="C79" s="6" t="n"/>
      <c r="D79" s="6" t="n"/>
      <c r="E79" s="6" t="n"/>
      <c r="F79" s="9">
        <f>IF(OR($D79="",$E79=""),"",$E79-$D79)</f>
        <v/>
      </c>
      <c r="G79" s="6" t="n"/>
      <c r="H79" s="6" t="n"/>
      <c r="I79" s="6" t="n"/>
      <c r="J79" s="9">
        <f>IF(OR(NOT(ISNUMBER($H79)),NOT(ISNUMBER($I79)),$H79=0),"",$I79/$H79)</f>
        <v/>
      </c>
      <c r="K79" s="6" t="n"/>
      <c r="L79" s="8" t="n"/>
      <c r="M79" s="7" t="n"/>
      <c r="N79" s="7" t="n"/>
      <c r="O79" s="9">
        <f>IF(NOT(ISNUMBER($M79)),"",IF($L79="Fine earth / fine-earth volume",$M79*(1-IF(ISNUMBER($K79),$K79,0)/100),$M79))</f>
        <v/>
      </c>
      <c r="P79" s="9">
        <f>IF(OR(NOT(ISNUMBER($O79)),NOT(ISNUMBER($N79)),NOT(ISNUMBER($F79))),"",$O79*($N79/100)*$F79*10)</f>
        <v/>
      </c>
      <c r="Q79" s="9">
        <f>IF(OR(NOT(ISNUMBER($D79)),NOT(ISNUMBER($E79))),"",MAX(0,MIN($E79,SOIL_REPORTING_DEPTH_CM)-MIN($D79,SOIL_REPORTING_DEPTH_CM)))</f>
        <v/>
      </c>
      <c r="R79" s="9">
        <f>IF(OR(NOT(ISNUMBER($O79)),NOT(ISNUMBER($N79)),NOT(ISNUMBER($Q79))),"",$O79*($N79/100)*$Q79*10)</f>
        <v/>
      </c>
      <c r="S79" s="11">
        <f>IF(AND($A79="",$B79="",$D79=""),"",IF(AND($A79&lt;&gt;"",COUNTIF('1. Plot &amp; Site Log'!$A$5:$A$64,$A79)=0),"Plot ID not in the Plot &amp; Site Log. ","")&amp;IF(AND(ISNUMBER($D79),ISNUMBER($E79),$E79&lt;=$D79),"Bottom depth is not below top depth. ","")&amp;IF($L79="Not confirmed","Bulk-density basis not confirmed with the lab — the coarse-fragment correction may be wrong or doubled. ","")&amp;IF(AND(ISNUMBER($M79),OR($M79&lt;QC_BD_MIN,$M79&gt;QC_BD_MAX)),"Bulk density outside the plausible range for a mineral grassland soil. ","")&amp;IF(AND(ISNUMBER($N79),$N79&gt;QC_CARBON_PCT_MAX),"Organic carbon above the QC ceiling — check units, and whether this is an organic horizon. ","")&amp;IF(AND(ISNUMBER($J79),$J79&lt;QC_RECOVERY_MIN),"Recovered less than the QC minimum of the depth driven — the increments may not sit where you think. Do NOT stretch them back out. ","")&amp;IF(AND(ISNUMBER($K79),$K79&gt;0,$L79="Fine earth / total volume"),"Coarse fragments recorded and the lab basis already accounts for them — no further correction applied, which is correct. ",""))</f>
        <v/>
      </c>
      <c r="T79" s="6" t="n"/>
      <c r="U79" s="9">
        <f>IF($B79="",0,IF(COUNTIFS($B$5:$B79,$B79)=1,1,0))</f>
        <v/>
      </c>
    </row>
    <row r="80">
      <c r="A80" s="6" t="n"/>
      <c r="B80" s="6" t="n"/>
      <c r="C80" s="6" t="n"/>
      <c r="D80" s="6" t="n"/>
      <c r="E80" s="6" t="n"/>
      <c r="F80" s="9">
        <f>IF(OR($D80="",$E80=""),"",$E80-$D80)</f>
        <v/>
      </c>
      <c r="G80" s="6" t="n"/>
      <c r="H80" s="6" t="n"/>
      <c r="I80" s="6" t="n"/>
      <c r="J80" s="9">
        <f>IF(OR(NOT(ISNUMBER($H80)),NOT(ISNUMBER($I80)),$H80=0),"",$I80/$H80)</f>
        <v/>
      </c>
      <c r="K80" s="6" t="n"/>
      <c r="L80" s="8" t="n"/>
      <c r="M80" s="7" t="n"/>
      <c r="N80" s="7" t="n"/>
      <c r="O80" s="9">
        <f>IF(NOT(ISNUMBER($M80)),"",IF($L80="Fine earth / fine-earth volume",$M80*(1-IF(ISNUMBER($K80),$K80,0)/100),$M80))</f>
        <v/>
      </c>
      <c r="P80" s="9">
        <f>IF(OR(NOT(ISNUMBER($O80)),NOT(ISNUMBER($N80)),NOT(ISNUMBER($F80))),"",$O80*($N80/100)*$F80*10)</f>
        <v/>
      </c>
      <c r="Q80" s="9">
        <f>IF(OR(NOT(ISNUMBER($D80)),NOT(ISNUMBER($E80))),"",MAX(0,MIN($E80,SOIL_REPORTING_DEPTH_CM)-MIN($D80,SOIL_REPORTING_DEPTH_CM)))</f>
        <v/>
      </c>
      <c r="R80" s="9">
        <f>IF(OR(NOT(ISNUMBER($O80)),NOT(ISNUMBER($N80)),NOT(ISNUMBER($Q80))),"",$O80*($N80/100)*$Q80*10)</f>
        <v/>
      </c>
      <c r="S80" s="11">
        <f>IF(AND($A80="",$B80="",$D80=""),"",IF(AND($A80&lt;&gt;"",COUNTIF('1. Plot &amp; Site Log'!$A$5:$A$64,$A80)=0),"Plot ID not in the Plot &amp; Site Log. ","")&amp;IF(AND(ISNUMBER($D80),ISNUMBER($E80),$E80&lt;=$D80),"Bottom depth is not below top depth. ","")&amp;IF($L80="Not confirmed","Bulk-density basis not confirmed with the lab — the coarse-fragment correction may be wrong or doubled. ","")&amp;IF(AND(ISNUMBER($M80),OR($M80&lt;QC_BD_MIN,$M80&gt;QC_BD_MAX)),"Bulk density outside the plausible range for a mineral grassland soil. ","")&amp;IF(AND(ISNUMBER($N80),$N80&gt;QC_CARBON_PCT_MAX),"Organic carbon above the QC ceiling — check units, and whether this is an organic horizon. ","")&amp;IF(AND(ISNUMBER($J80),$J80&lt;QC_RECOVERY_MIN),"Recovered less than the QC minimum of the depth driven — the increments may not sit where you think. Do NOT stretch them back out. ","")&amp;IF(AND(ISNUMBER($K80),$K80&gt;0,$L80="Fine earth / total volume"),"Coarse fragments recorded and the lab basis already accounts for them — no further correction applied, which is correct. ",""))</f>
        <v/>
      </c>
      <c r="T80" s="6" t="n"/>
      <c r="U80" s="9">
        <f>IF($B80="",0,IF(COUNTIFS($B$5:$B80,$B80)=1,1,0))</f>
        <v/>
      </c>
    </row>
    <row r="81">
      <c r="A81" s="6" t="n"/>
      <c r="B81" s="6" t="n"/>
      <c r="C81" s="6" t="n"/>
      <c r="D81" s="6" t="n"/>
      <c r="E81" s="6" t="n"/>
      <c r="F81" s="9">
        <f>IF(OR($D81="",$E81=""),"",$E81-$D81)</f>
        <v/>
      </c>
      <c r="G81" s="6" t="n"/>
      <c r="H81" s="6" t="n"/>
      <c r="I81" s="6" t="n"/>
      <c r="J81" s="9">
        <f>IF(OR(NOT(ISNUMBER($H81)),NOT(ISNUMBER($I81)),$H81=0),"",$I81/$H81)</f>
        <v/>
      </c>
      <c r="K81" s="6" t="n"/>
      <c r="L81" s="8" t="n"/>
      <c r="M81" s="7" t="n"/>
      <c r="N81" s="7" t="n"/>
      <c r="O81" s="9">
        <f>IF(NOT(ISNUMBER($M81)),"",IF($L81="Fine earth / fine-earth volume",$M81*(1-IF(ISNUMBER($K81),$K81,0)/100),$M81))</f>
        <v/>
      </c>
      <c r="P81" s="9">
        <f>IF(OR(NOT(ISNUMBER($O81)),NOT(ISNUMBER($N81)),NOT(ISNUMBER($F81))),"",$O81*($N81/100)*$F81*10)</f>
        <v/>
      </c>
      <c r="Q81" s="9">
        <f>IF(OR(NOT(ISNUMBER($D81)),NOT(ISNUMBER($E81))),"",MAX(0,MIN($E81,SOIL_REPORTING_DEPTH_CM)-MIN($D81,SOIL_REPORTING_DEPTH_CM)))</f>
        <v/>
      </c>
      <c r="R81" s="9">
        <f>IF(OR(NOT(ISNUMBER($O81)),NOT(ISNUMBER($N81)),NOT(ISNUMBER($Q81))),"",$O81*($N81/100)*$Q81*10)</f>
        <v/>
      </c>
      <c r="S81" s="11">
        <f>IF(AND($A81="",$B81="",$D81=""),"",IF(AND($A81&lt;&gt;"",COUNTIF('1. Plot &amp; Site Log'!$A$5:$A$64,$A81)=0),"Plot ID not in the Plot &amp; Site Log. ","")&amp;IF(AND(ISNUMBER($D81),ISNUMBER($E81),$E81&lt;=$D81),"Bottom depth is not below top depth. ","")&amp;IF($L81="Not confirmed","Bulk-density basis not confirmed with the lab — the coarse-fragment correction may be wrong or doubled. ","")&amp;IF(AND(ISNUMBER($M81),OR($M81&lt;QC_BD_MIN,$M81&gt;QC_BD_MAX)),"Bulk density outside the plausible range for a mineral grassland soil. ","")&amp;IF(AND(ISNUMBER($N81),$N81&gt;QC_CARBON_PCT_MAX),"Organic carbon above the QC ceiling — check units, and whether this is an organic horizon. ","")&amp;IF(AND(ISNUMBER($J81),$J81&lt;QC_RECOVERY_MIN),"Recovered less than the QC minimum of the depth driven — the increments may not sit where you think. Do NOT stretch them back out. ","")&amp;IF(AND(ISNUMBER($K81),$K81&gt;0,$L81="Fine earth / total volume"),"Coarse fragments recorded and the lab basis already accounts for them — no further correction applied, which is correct. ",""))</f>
        <v/>
      </c>
      <c r="T81" s="6" t="n"/>
      <c r="U81" s="9">
        <f>IF($B81="",0,IF(COUNTIFS($B$5:$B81,$B81)=1,1,0))</f>
        <v/>
      </c>
    </row>
    <row r="82">
      <c r="A82" s="6" t="n"/>
      <c r="B82" s="6" t="n"/>
      <c r="C82" s="6" t="n"/>
      <c r="D82" s="6" t="n"/>
      <c r="E82" s="6" t="n"/>
      <c r="F82" s="9">
        <f>IF(OR($D82="",$E82=""),"",$E82-$D82)</f>
        <v/>
      </c>
      <c r="G82" s="6" t="n"/>
      <c r="H82" s="6" t="n"/>
      <c r="I82" s="6" t="n"/>
      <c r="J82" s="9">
        <f>IF(OR(NOT(ISNUMBER($H82)),NOT(ISNUMBER($I82)),$H82=0),"",$I82/$H82)</f>
        <v/>
      </c>
      <c r="K82" s="6" t="n"/>
      <c r="L82" s="8" t="n"/>
      <c r="M82" s="7" t="n"/>
      <c r="N82" s="7" t="n"/>
      <c r="O82" s="9">
        <f>IF(NOT(ISNUMBER($M82)),"",IF($L82="Fine earth / fine-earth volume",$M82*(1-IF(ISNUMBER($K82),$K82,0)/100),$M82))</f>
        <v/>
      </c>
      <c r="P82" s="9">
        <f>IF(OR(NOT(ISNUMBER($O82)),NOT(ISNUMBER($N82)),NOT(ISNUMBER($F82))),"",$O82*($N82/100)*$F82*10)</f>
        <v/>
      </c>
      <c r="Q82" s="9">
        <f>IF(OR(NOT(ISNUMBER($D82)),NOT(ISNUMBER($E82))),"",MAX(0,MIN($E82,SOIL_REPORTING_DEPTH_CM)-MIN($D82,SOIL_REPORTING_DEPTH_CM)))</f>
        <v/>
      </c>
      <c r="R82" s="9">
        <f>IF(OR(NOT(ISNUMBER($O82)),NOT(ISNUMBER($N82)),NOT(ISNUMBER($Q82))),"",$O82*($N82/100)*$Q82*10)</f>
        <v/>
      </c>
      <c r="S82" s="11">
        <f>IF(AND($A82="",$B82="",$D82=""),"",IF(AND($A82&lt;&gt;"",COUNTIF('1. Plot &amp; Site Log'!$A$5:$A$64,$A82)=0),"Plot ID not in the Plot &amp; Site Log. ","")&amp;IF(AND(ISNUMBER($D82),ISNUMBER($E82),$E82&lt;=$D82),"Bottom depth is not below top depth. ","")&amp;IF($L82="Not confirmed","Bulk-density basis not confirmed with the lab — the coarse-fragment correction may be wrong or doubled. ","")&amp;IF(AND(ISNUMBER($M82),OR($M82&lt;QC_BD_MIN,$M82&gt;QC_BD_MAX)),"Bulk density outside the plausible range for a mineral grassland soil. ","")&amp;IF(AND(ISNUMBER($N82),$N82&gt;QC_CARBON_PCT_MAX),"Organic carbon above the QC ceiling — check units, and whether this is an organic horizon. ","")&amp;IF(AND(ISNUMBER($J82),$J82&lt;QC_RECOVERY_MIN),"Recovered less than the QC minimum of the depth driven — the increments may not sit where you think. Do NOT stretch them back out. ","")&amp;IF(AND(ISNUMBER($K82),$K82&gt;0,$L82="Fine earth / total volume"),"Coarse fragments recorded and the lab basis already accounts for them — no further correction applied, which is correct. ",""))</f>
        <v/>
      </c>
      <c r="T82" s="6" t="n"/>
      <c r="U82" s="9">
        <f>IF($B82="",0,IF(COUNTIFS($B$5:$B82,$B82)=1,1,0))</f>
        <v/>
      </c>
    </row>
    <row r="83">
      <c r="A83" s="6" t="n"/>
      <c r="B83" s="6" t="n"/>
      <c r="C83" s="6" t="n"/>
      <c r="D83" s="6" t="n"/>
      <c r="E83" s="6" t="n"/>
      <c r="F83" s="9">
        <f>IF(OR($D83="",$E83=""),"",$E83-$D83)</f>
        <v/>
      </c>
      <c r="G83" s="6" t="n"/>
      <c r="H83" s="6" t="n"/>
      <c r="I83" s="6" t="n"/>
      <c r="J83" s="9">
        <f>IF(OR(NOT(ISNUMBER($H83)),NOT(ISNUMBER($I83)),$H83=0),"",$I83/$H83)</f>
        <v/>
      </c>
      <c r="K83" s="6" t="n"/>
      <c r="L83" s="8" t="n"/>
      <c r="M83" s="7" t="n"/>
      <c r="N83" s="7" t="n"/>
      <c r="O83" s="9">
        <f>IF(NOT(ISNUMBER($M83)),"",IF($L83="Fine earth / fine-earth volume",$M83*(1-IF(ISNUMBER($K83),$K83,0)/100),$M83))</f>
        <v/>
      </c>
      <c r="P83" s="9">
        <f>IF(OR(NOT(ISNUMBER($O83)),NOT(ISNUMBER($N83)),NOT(ISNUMBER($F83))),"",$O83*($N83/100)*$F83*10)</f>
        <v/>
      </c>
      <c r="Q83" s="9">
        <f>IF(OR(NOT(ISNUMBER($D83)),NOT(ISNUMBER($E83))),"",MAX(0,MIN($E83,SOIL_REPORTING_DEPTH_CM)-MIN($D83,SOIL_REPORTING_DEPTH_CM)))</f>
        <v/>
      </c>
      <c r="R83" s="9">
        <f>IF(OR(NOT(ISNUMBER($O83)),NOT(ISNUMBER($N83)),NOT(ISNUMBER($Q83))),"",$O83*($N83/100)*$Q83*10)</f>
        <v/>
      </c>
      <c r="S83" s="11">
        <f>IF(AND($A83="",$B83="",$D83=""),"",IF(AND($A83&lt;&gt;"",COUNTIF('1. Plot &amp; Site Log'!$A$5:$A$64,$A83)=0),"Plot ID not in the Plot &amp; Site Log. ","")&amp;IF(AND(ISNUMBER($D83),ISNUMBER($E83),$E83&lt;=$D83),"Bottom depth is not below top depth. ","")&amp;IF($L83="Not confirmed","Bulk-density basis not confirmed with the lab — the coarse-fragment correction may be wrong or doubled. ","")&amp;IF(AND(ISNUMBER($M83),OR($M83&lt;QC_BD_MIN,$M83&gt;QC_BD_MAX)),"Bulk density outside the plausible range for a mineral grassland soil. ","")&amp;IF(AND(ISNUMBER($N83),$N83&gt;QC_CARBON_PCT_MAX),"Organic carbon above the QC ceiling — check units, and whether this is an organic horizon. ","")&amp;IF(AND(ISNUMBER($J83),$J83&lt;QC_RECOVERY_MIN),"Recovered less than the QC minimum of the depth driven — the increments may not sit where you think. Do NOT stretch them back out. ","")&amp;IF(AND(ISNUMBER($K83),$K83&gt;0,$L83="Fine earth / total volume"),"Coarse fragments recorded and the lab basis already accounts for them — no further correction applied, which is correct. ",""))</f>
        <v/>
      </c>
      <c r="T83" s="6" t="n"/>
      <c r="U83" s="9">
        <f>IF($B83="",0,IF(COUNTIFS($B$5:$B83,$B83)=1,1,0))</f>
        <v/>
      </c>
    </row>
    <row r="84">
      <c r="A84" s="6" t="n"/>
      <c r="B84" s="6" t="n"/>
      <c r="C84" s="6" t="n"/>
      <c r="D84" s="6" t="n"/>
      <c r="E84" s="6" t="n"/>
      <c r="F84" s="9">
        <f>IF(OR($D84="",$E84=""),"",$E84-$D84)</f>
        <v/>
      </c>
      <c r="G84" s="6" t="n"/>
      <c r="H84" s="6" t="n"/>
      <c r="I84" s="6" t="n"/>
      <c r="J84" s="9">
        <f>IF(OR(NOT(ISNUMBER($H84)),NOT(ISNUMBER($I84)),$H84=0),"",$I84/$H84)</f>
        <v/>
      </c>
      <c r="K84" s="6" t="n"/>
      <c r="L84" s="8" t="n"/>
      <c r="M84" s="7" t="n"/>
      <c r="N84" s="7" t="n"/>
      <c r="O84" s="9">
        <f>IF(NOT(ISNUMBER($M84)),"",IF($L84="Fine earth / fine-earth volume",$M84*(1-IF(ISNUMBER($K84),$K84,0)/100),$M84))</f>
        <v/>
      </c>
      <c r="P84" s="9">
        <f>IF(OR(NOT(ISNUMBER($O84)),NOT(ISNUMBER($N84)),NOT(ISNUMBER($F84))),"",$O84*($N84/100)*$F84*10)</f>
        <v/>
      </c>
      <c r="Q84" s="9">
        <f>IF(OR(NOT(ISNUMBER($D84)),NOT(ISNUMBER($E84))),"",MAX(0,MIN($E84,SOIL_REPORTING_DEPTH_CM)-MIN($D84,SOIL_REPORTING_DEPTH_CM)))</f>
        <v/>
      </c>
      <c r="R84" s="9">
        <f>IF(OR(NOT(ISNUMBER($O84)),NOT(ISNUMBER($N84)),NOT(ISNUMBER($Q84))),"",$O84*($N84/100)*$Q84*10)</f>
        <v/>
      </c>
      <c r="S84" s="11">
        <f>IF(AND($A84="",$B84="",$D84=""),"",IF(AND($A84&lt;&gt;"",COUNTIF('1. Plot &amp; Site Log'!$A$5:$A$64,$A84)=0),"Plot ID not in the Plot &amp; Site Log. ","")&amp;IF(AND(ISNUMBER($D84),ISNUMBER($E84),$E84&lt;=$D84),"Bottom depth is not below top depth. ","")&amp;IF($L84="Not confirmed","Bulk-density basis not confirmed with the lab — the coarse-fragment correction may be wrong or doubled. ","")&amp;IF(AND(ISNUMBER($M84),OR($M84&lt;QC_BD_MIN,$M84&gt;QC_BD_MAX)),"Bulk density outside the plausible range for a mineral grassland soil. ","")&amp;IF(AND(ISNUMBER($N84),$N84&gt;QC_CARBON_PCT_MAX),"Organic carbon above the QC ceiling — check units, and whether this is an organic horizon. ","")&amp;IF(AND(ISNUMBER($J84),$J84&lt;QC_RECOVERY_MIN),"Recovered less than the QC minimum of the depth driven — the increments may not sit where you think. Do NOT stretch them back out. ","")&amp;IF(AND(ISNUMBER($K84),$K84&gt;0,$L84="Fine earth / total volume"),"Coarse fragments recorded and the lab basis already accounts for them — no further correction applied, which is correct. ",""))</f>
        <v/>
      </c>
      <c r="T84" s="6" t="n"/>
      <c r="U84" s="9">
        <f>IF($B84="",0,IF(COUNTIFS($B$5:$B84,$B84)=1,1,0))</f>
        <v/>
      </c>
    </row>
    <row r="85">
      <c r="A85" s="6" t="n"/>
      <c r="B85" s="6" t="n"/>
      <c r="C85" s="6" t="n"/>
      <c r="D85" s="6" t="n"/>
      <c r="E85" s="6" t="n"/>
      <c r="F85" s="9">
        <f>IF(OR($D85="",$E85=""),"",$E85-$D85)</f>
        <v/>
      </c>
      <c r="G85" s="6" t="n"/>
      <c r="H85" s="6" t="n"/>
      <c r="I85" s="6" t="n"/>
      <c r="J85" s="9">
        <f>IF(OR(NOT(ISNUMBER($H85)),NOT(ISNUMBER($I85)),$H85=0),"",$I85/$H85)</f>
        <v/>
      </c>
      <c r="K85" s="6" t="n"/>
      <c r="L85" s="8" t="n"/>
      <c r="M85" s="7" t="n"/>
      <c r="N85" s="7" t="n"/>
      <c r="O85" s="9">
        <f>IF(NOT(ISNUMBER($M85)),"",IF($L85="Fine earth / fine-earth volume",$M85*(1-IF(ISNUMBER($K85),$K85,0)/100),$M85))</f>
        <v/>
      </c>
      <c r="P85" s="9">
        <f>IF(OR(NOT(ISNUMBER($O85)),NOT(ISNUMBER($N85)),NOT(ISNUMBER($F85))),"",$O85*($N85/100)*$F85*10)</f>
        <v/>
      </c>
      <c r="Q85" s="9">
        <f>IF(OR(NOT(ISNUMBER($D85)),NOT(ISNUMBER($E85))),"",MAX(0,MIN($E85,SOIL_REPORTING_DEPTH_CM)-MIN($D85,SOIL_REPORTING_DEPTH_CM)))</f>
        <v/>
      </c>
      <c r="R85" s="9">
        <f>IF(OR(NOT(ISNUMBER($O85)),NOT(ISNUMBER($N85)),NOT(ISNUMBER($Q85))),"",$O85*($N85/100)*$Q85*10)</f>
        <v/>
      </c>
      <c r="S85" s="11">
        <f>IF(AND($A85="",$B85="",$D85=""),"",IF(AND($A85&lt;&gt;"",COUNTIF('1. Plot &amp; Site Log'!$A$5:$A$64,$A85)=0),"Plot ID not in the Plot &amp; Site Log. ","")&amp;IF(AND(ISNUMBER($D85),ISNUMBER($E85),$E85&lt;=$D85),"Bottom depth is not below top depth. ","")&amp;IF($L85="Not confirmed","Bulk-density basis not confirmed with the lab — the coarse-fragment correction may be wrong or doubled. ","")&amp;IF(AND(ISNUMBER($M85),OR($M85&lt;QC_BD_MIN,$M85&gt;QC_BD_MAX)),"Bulk density outside the plausible range for a mineral grassland soil. ","")&amp;IF(AND(ISNUMBER($N85),$N85&gt;QC_CARBON_PCT_MAX),"Organic carbon above the QC ceiling — check units, and whether this is an organic horizon. ","")&amp;IF(AND(ISNUMBER($J85),$J85&lt;QC_RECOVERY_MIN),"Recovered less than the QC minimum of the depth driven — the increments may not sit where you think. Do NOT stretch them back out. ","")&amp;IF(AND(ISNUMBER($K85),$K85&gt;0,$L85="Fine earth / total volume"),"Coarse fragments recorded and the lab basis already accounts for them — no further correction applied, which is correct. ",""))</f>
        <v/>
      </c>
      <c r="T85" s="6" t="n"/>
      <c r="U85" s="9">
        <f>IF($B85="",0,IF(COUNTIFS($B$5:$B85,$B85)=1,1,0))</f>
        <v/>
      </c>
    </row>
    <row r="86">
      <c r="A86" s="6" t="n"/>
      <c r="B86" s="6" t="n"/>
      <c r="C86" s="6" t="n"/>
      <c r="D86" s="6" t="n"/>
      <c r="E86" s="6" t="n"/>
      <c r="F86" s="9">
        <f>IF(OR($D86="",$E86=""),"",$E86-$D86)</f>
        <v/>
      </c>
      <c r="G86" s="6" t="n"/>
      <c r="H86" s="6" t="n"/>
      <c r="I86" s="6" t="n"/>
      <c r="J86" s="9">
        <f>IF(OR(NOT(ISNUMBER($H86)),NOT(ISNUMBER($I86)),$H86=0),"",$I86/$H86)</f>
        <v/>
      </c>
      <c r="K86" s="6" t="n"/>
      <c r="L86" s="8" t="n"/>
      <c r="M86" s="7" t="n"/>
      <c r="N86" s="7" t="n"/>
      <c r="O86" s="9">
        <f>IF(NOT(ISNUMBER($M86)),"",IF($L86="Fine earth / fine-earth volume",$M86*(1-IF(ISNUMBER($K86),$K86,0)/100),$M86))</f>
        <v/>
      </c>
      <c r="P86" s="9">
        <f>IF(OR(NOT(ISNUMBER($O86)),NOT(ISNUMBER($N86)),NOT(ISNUMBER($F86))),"",$O86*($N86/100)*$F86*10)</f>
        <v/>
      </c>
      <c r="Q86" s="9">
        <f>IF(OR(NOT(ISNUMBER($D86)),NOT(ISNUMBER($E86))),"",MAX(0,MIN($E86,SOIL_REPORTING_DEPTH_CM)-MIN($D86,SOIL_REPORTING_DEPTH_CM)))</f>
        <v/>
      </c>
      <c r="R86" s="9">
        <f>IF(OR(NOT(ISNUMBER($O86)),NOT(ISNUMBER($N86)),NOT(ISNUMBER($Q86))),"",$O86*($N86/100)*$Q86*10)</f>
        <v/>
      </c>
      <c r="S86" s="11">
        <f>IF(AND($A86="",$B86="",$D86=""),"",IF(AND($A86&lt;&gt;"",COUNTIF('1. Plot &amp; Site Log'!$A$5:$A$64,$A86)=0),"Plot ID not in the Plot &amp; Site Log. ","")&amp;IF(AND(ISNUMBER($D86),ISNUMBER($E86),$E86&lt;=$D86),"Bottom depth is not below top depth. ","")&amp;IF($L86="Not confirmed","Bulk-density basis not confirmed with the lab — the coarse-fragment correction may be wrong or doubled. ","")&amp;IF(AND(ISNUMBER($M86),OR($M86&lt;QC_BD_MIN,$M86&gt;QC_BD_MAX)),"Bulk density outside the plausible range for a mineral grassland soil. ","")&amp;IF(AND(ISNUMBER($N86),$N86&gt;QC_CARBON_PCT_MAX),"Organic carbon above the QC ceiling — check units, and whether this is an organic horizon. ","")&amp;IF(AND(ISNUMBER($J86),$J86&lt;QC_RECOVERY_MIN),"Recovered less than the QC minimum of the depth driven — the increments may not sit where you think. Do NOT stretch them back out. ","")&amp;IF(AND(ISNUMBER($K86),$K86&gt;0,$L86="Fine earth / total volume"),"Coarse fragments recorded and the lab basis already accounts for them — no further correction applied, which is correct. ",""))</f>
        <v/>
      </c>
      <c r="T86" s="6" t="n"/>
      <c r="U86" s="9">
        <f>IF($B86="",0,IF(COUNTIFS($B$5:$B86,$B86)=1,1,0))</f>
        <v/>
      </c>
    </row>
    <row r="87">
      <c r="A87" s="6" t="n"/>
      <c r="B87" s="6" t="n"/>
      <c r="C87" s="6" t="n"/>
      <c r="D87" s="6" t="n"/>
      <c r="E87" s="6" t="n"/>
      <c r="F87" s="9">
        <f>IF(OR($D87="",$E87=""),"",$E87-$D87)</f>
        <v/>
      </c>
      <c r="G87" s="6" t="n"/>
      <c r="H87" s="6" t="n"/>
      <c r="I87" s="6" t="n"/>
      <c r="J87" s="9">
        <f>IF(OR(NOT(ISNUMBER($H87)),NOT(ISNUMBER($I87)),$H87=0),"",$I87/$H87)</f>
        <v/>
      </c>
      <c r="K87" s="6" t="n"/>
      <c r="L87" s="8" t="n"/>
      <c r="M87" s="7" t="n"/>
      <c r="N87" s="7" t="n"/>
      <c r="O87" s="9">
        <f>IF(NOT(ISNUMBER($M87)),"",IF($L87="Fine earth / fine-earth volume",$M87*(1-IF(ISNUMBER($K87),$K87,0)/100),$M87))</f>
        <v/>
      </c>
      <c r="P87" s="9">
        <f>IF(OR(NOT(ISNUMBER($O87)),NOT(ISNUMBER($N87)),NOT(ISNUMBER($F87))),"",$O87*($N87/100)*$F87*10)</f>
        <v/>
      </c>
      <c r="Q87" s="9">
        <f>IF(OR(NOT(ISNUMBER($D87)),NOT(ISNUMBER($E87))),"",MAX(0,MIN($E87,SOIL_REPORTING_DEPTH_CM)-MIN($D87,SOIL_REPORTING_DEPTH_CM)))</f>
        <v/>
      </c>
      <c r="R87" s="9">
        <f>IF(OR(NOT(ISNUMBER($O87)),NOT(ISNUMBER($N87)),NOT(ISNUMBER($Q87))),"",$O87*($N87/100)*$Q87*10)</f>
        <v/>
      </c>
      <c r="S87" s="11">
        <f>IF(AND($A87="",$B87="",$D87=""),"",IF(AND($A87&lt;&gt;"",COUNTIF('1. Plot &amp; Site Log'!$A$5:$A$64,$A87)=0),"Plot ID not in the Plot &amp; Site Log. ","")&amp;IF(AND(ISNUMBER($D87),ISNUMBER($E87),$E87&lt;=$D87),"Bottom depth is not below top depth. ","")&amp;IF($L87="Not confirmed","Bulk-density basis not confirmed with the lab — the coarse-fragment correction may be wrong or doubled. ","")&amp;IF(AND(ISNUMBER($M87),OR($M87&lt;QC_BD_MIN,$M87&gt;QC_BD_MAX)),"Bulk density outside the plausible range for a mineral grassland soil. ","")&amp;IF(AND(ISNUMBER($N87),$N87&gt;QC_CARBON_PCT_MAX),"Organic carbon above the QC ceiling — check units, and whether this is an organic horizon. ","")&amp;IF(AND(ISNUMBER($J87),$J87&lt;QC_RECOVERY_MIN),"Recovered less than the QC minimum of the depth driven — the increments may not sit where you think. Do NOT stretch them back out. ","")&amp;IF(AND(ISNUMBER($K87),$K87&gt;0,$L87="Fine earth / total volume"),"Coarse fragments recorded and the lab basis already accounts for them — no further correction applied, which is correct. ",""))</f>
        <v/>
      </c>
      <c r="T87" s="6" t="n"/>
      <c r="U87" s="9">
        <f>IF($B87="",0,IF(COUNTIFS($B$5:$B87,$B87)=1,1,0))</f>
        <v/>
      </c>
    </row>
    <row r="88">
      <c r="A88" s="6" t="n"/>
      <c r="B88" s="6" t="n"/>
      <c r="C88" s="6" t="n"/>
      <c r="D88" s="6" t="n"/>
      <c r="E88" s="6" t="n"/>
      <c r="F88" s="9">
        <f>IF(OR($D88="",$E88=""),"",$E88-$D88)</f>
        <v/>
      </c>
      <c r="G88" s="6" t="n"/>
      <c r="H88" s="6" t="n"/>
      <c r="I88" s="6" t="n"/>
      <c r="J88" s="9">
        <f>IF(OR(NOT(ISNUMBER($H88)),NOT(ISNUMBER($I88)),$H88=0),"",$I88/$H88)</f>
        <v/>
      </c>
      <c r="K88" s="6" t="n"/>
      <c r="L88" s="8" t="n"/>
      <c r="M88" s="7" t="n"/>
      <c r="N88" s="7" t="n"/>
      <c r="O88" s="9">
        <f>IF(NOT(ISNUMBER($M88)),"",IF($L88="Fine earth / fine-earth volume",$M88*(1-IF(ISNUMBER($K88),$K88,0)/100),$M88))</f>
        <v/>
      </c>
      <c r="P88" s="9">
        <f>IF(OR(NOT(ISNUMBER($O88)),NOT(ISNUMBER($N88)),NOT(ISNUMBER($F88))),"",$O88*($N88/100)*$F88*10)</f>
        <v/>
      </c>
      <c r="Q88" s="9">
        <f>IF(OR(NOT(ISNUMBER($D88)),NOT(ISNUMBER($E88))),"",MAX(0,MIN($E88,SOIL_REPORTING_DEPTH_CM)-MIN($D88,SOIL_REPORTING_DEPTH_CM)))</f>
        <v/>
      </c>
      <c r="R88" s="9">
        <f>IF(OR(NOT(ISNUMBER($O88)),NOT(ISNUMBER($N88)),NOT(ISNUMBER($Q88))),"",$O88*($N88/100)*$Q88*10)</f>
        <v/>
      </c>
      <c r="S88" s="11">
        <f>IF(AND($A88="",$B88="",$D88=""),"",IF(AND($A88&lt;&gt;"",COUNTIF('1. Plot &amp; Site Log'!$A$5:$A$64,$A88)=0),"Plot ID not in the Plot &amp; Site Log. ","")&amp;IF(AND(ISNUMBER($D88),ISNUMBER($E88),$E88&lt;=$D88),"Bottom depth is not below top depth. ","")&amp;IF($L88="Not confirmed","Bulk-density basis not confirmed with the lab — the coarse-fragment correction may be wrong or doubled. ","")&amp;IF(AND(ISNUMBER($M88),OR($M88&lt;QC_BD_MIN,$M88&gt;QC_BD_MAX)),"Bulk density outside the plausible range for a mineral grassland soil. ","")&amp;IF(AND(ISNUMBER($N88),$N88&gt;QC_CARBON_PCT_MAX),"Organic carbon above the QC ceiling — check units, and whether this is an organic horizon. ","")&amp;IF(AND(ISNUMBER($J88),$J88&lt;QC_RECOVERY_MIN),"Recovered less than the QC minimum of the depth driven — the increments may not sit where you think. Do NOT stretch them back out. ","")&amp;IF(AND(ISNUMBER($K88),$K88&gt;0,$L88="Fine earth / total volume"),"Coarse fragments recorded and the lab basis already accounts for them — no further correction applied, which is correct. ",""))</f>
        <v/>
      </c>
      <c r="T88" s="6" t="n"/>
      <c r="U88" s="9">
        <f>IF($B88="",0,IF(COUNTIFS($B$5:$B88,$B88)=1,1,0))</f>
        <v/>
      </c>
    </row>
    <row r="89">
      <c r="A89" s="6" t="n"/>
      <c r="B89" s="6" t="n"/>
      <c r="C89" s="6" t="n"/>
      <c r="D89" s="6" t="n"/>
      <c r="E89" s="6" t="n"/>
      <c r="F89" s="9">
        <f>IF(OR($D89="",$E89=""),"",$E89-$D89)</f>
        <v/>
      </c>
      <c r="G89" s="6" t="n"/>
      <c r="H89" s="6" t="n"/>
      <c r="I89" s="6" t="n"/>
      <c r="J89" s="9">
        <f>IF(OR(NOT(ISNUMBER($H89)),NOT(ISNUMBER($I89)),$H89=0),"",$I89/$H89)</f>
        <v/>
      </c>
      <c r="K89" s="6" t="n"/>
      <c r="L89" s="8" t="n"/>
      <c r="M89" s="7" t="n"/>
      <c r="N89" s="7" t="n"/>
      <c r="O89" s="9">
        <f>IF(NOT(ISNUMBER($M89)),"",IF($L89="Fine earth / fine-earth volume",$M89*(1-IF(ISNUMBER($K89),$K89,0)/100),$M89))</f>
        <v/>
      </c>
      <c r="P89" s="9">
        <f>IF(OR(NOT(ISNUMBER($O89)),NOT(ISNUMBER($N89)),NOT(ISNUMBER($F89))),"",$O89*($N89/100)*$F89*10)</f>
        <v/>
      </c>
      <c r="Q89" s="9">
        <f>IF(OR(NOT(ISNUMBER($D89)),NOT(ISNUMBER($E89))),"",MAX(0,MIN($E89,SOIL_REPORTING_DEPTH_CM)-MIN($D89,SOIL_REPORTING_DEPTH_CM)))</f>
        <v/>
      </c>
      <c r="R89" s="9">
        <f>IF(OR(NOT(ISNUMBER($O89)),NOT(ISNUMBER($N89)),NOT(ISNUMBER($Q89))),"",$O89*($N89/100)*$Q89*10)</f>
        <v/>
      </c>
      <c r="S89" s="11">
        <f>IF(AND($A89="",$B89="",$D89=""),"",IF(AND($A89&lt;&gt;"",COUNTIF('1. Plot &amp; Site Log'!$A$5:$A$64,$A89)=0),"Plot ID not in the Plot &amp; Site Log. ","")&amp;IF(AND(ISNUMBER($D89),ISNUMBER($E89),$E89&lt;=$D89),"Bottom depth is not below top depth. ","")&amp;IF($L89="Not confirmed","Bulk-density basis not confirmed with the lab — the coarse-fragment correction may be wrong or doubled. ","")&amp;IF(AND(ISNUMBER($M89),OR($M89&lt;QC_BD_MIN,$M89&gt;QC_BD_MAX)),"Bulk density outside the plausible range for a mineral grassland soil. ","")&amp;IF(AND(ISNUMBER($N89),$N89&gt;QC_CARBON_PCT_MAX),"Organic carbon above the QC ceiling — check units, and whether this is an organic horizon. ","")&amp;IF(AND(ISNUMBER($J89),$J89&lt;QC_RECOVERY_MIN),"Recovered less than the QC minimum of the depth driven — the increments may not sit where you think. Do NOT stretch them back out. ","")&amp;IF(AND(ISNUMBER($K89),$K89&gt;0,$L89="Fine earth / total volume"),"Coarse fragments recorded and the lab basis already accounts for them — no further correction applied, which is correct. ",""))</f>
        <v/>
      </c>
      <c r="T89" s="6" t="n"/>
      <c r="U89" s="9">
        <f>IF($B89="",0,IF(COUNTIFS($B$5:$B89,$B89)=1,1,0))</f>
        <v/>
      </c>
    </row>
    <row r="90">
      <c r="A90" s="6" t="n"/>
      <c r="B90" s="6" t="n"/>
      <c r="C90" s="6" t="n"/>
      <c r="D90" s="6" t="n"/>
      <c r="E90" s="6" t="n"/>
      <c r="F90" s="9">
        <f>IF(OR($D90="",$E90=""),"",$E90-$D90)</f>
        <v/>
      </c>
      <c r="G90" s="6" t="n"/>
      <c r="H90" s="6" t="n"/>
      <c r="I90" s="6" t="n"/>
      <c r="J90" s="9">
        <f>IF(OR(NOT(ISNUMBER($H90)),NOT(ISNUMBER($I90)),$H90=0),"",$I90/$H90)</f>
        <v/>
      </c>
      <c r="K90" s="6" t="n"/>
      <c r="L90" s="8" t="n"/>
      <c r="M90" s="7" t="n"/>
      <c r="N90" s="7" t="n"/>
      <c r="O90" s="9">
        <f>IF(NOT(ISNUMBER($M90)),"",IF($L90="Fine earth / fine-earth volume",$M90*(1-IF(ISNUMBER($K90),$K90,0)/100),$M90))</f>
        <v/>
      </c>
      <c r="P90" s="9">
        <f>IF(OR(NOT(ISNUMBER($O90)),NOT(ISNUMBER($N90)),NOT(ISNUMBER($F90))),"",$O90*($N90/100)*$F90*10)</f>
        <v/>
      </c>
      <c r="Q90" s="9">
        <f>IF(OR(NOT(ISNUMBER($D90)),NOT(ISNUMBER($E90))),"",MAX(0,MIN($E90,SOIL_REPORTING_DEPTH_CM)-MIN($D90,SOIL_REPORTING_DEPTH_CM)))</f>
        <v/>
      </c>
      <c r="R90" s="9">
        <f>IF(OR(NOT(ISNUMBER($O90)),NOT(ISNUMBER($N90)),NOT(ISNUMBER($Q90))),"",$O90*($N90/100)*$Q90*10)</f>
        <v/>
      </c>
      <c r="S90" s="11">
        <f>IF(AND($A90="",$B90="",$D90=""),"",IF(AND($A90&lt;&gt;"",COUNTIF('1. Plot &amp; Site Log'!$A$5:$A$64,$A90)=0),"Plot ID not in the Plot &amp; Site Log. ","")&amp;IF(AND(ISNUMBER($D90),ISNUMBER($E90),$E90&lt;=$D90),"Bottom depth is not below top depth. ","")&amp;IF($L90="Not confirmed","Bulk-density basis not confirmed with the lab — the coarse-fragment correction may be wrong or doubled. ","")&amp;IF(AND(ISNUMBER($M90),OR($M90&lt;QC_BD_MIN,$M90&gt;QC_BD_MAX)),"Bulk density outside the plausible range for a mineral grassland soil. ","")&amp;IF(AND(ISNUMBER($N90),$N90&gt;QC_CARBON_PCT_MAX),"Organic carbon above the QC ceiling — check units, and whether this is an organic horizon. ","")&amp;IF(AND(ISNUMBER($J90),$J90&lt;QC_RECOVERY_MIN),"Recovered less than the QC minimum of the depth driven — the increments may not sit where you think. Do NOT stretch them back out. ","")&amp;IF(AND(ISNUMBER($K90),$K90&gt;0,$L90="Fine earth / total volume"),"Coarse fragments recorded and the lab basis already accounts for them — no further correction applied, which is correct. ",""))</f>
        <v/>
      </c>
      <c r="T90" s="6" t="n"/>
      <c r="U90" s="9">
        <f>IF($B90="",0,IF(COUNTIFS($B$5:$B90,$B90)=1,1,0))</f>
        <v/>
      </c>
    </row>
    <row r="91">
      <c r="A91" s="6" t="n"/>
      <c r="B91" s="6" t="n"/>
      <c r="C91" s="6" t="n"/>
      <c r="D91" s="6" t="n"/>
      <c r="E91" s="6" t="n"/>
      <c r="F91" s="9">
        <f>IF(OR($D91="",$E91=""),"",$E91-$D91)</f>
        <v/>
      </c>
      <c r="G91" s="6" t="n"/>
      <c r="H91" s="6" t="n"/>
      <c r="I91" s="6" t="n"/>
      <c r="J91" s="9">
        <f>IF(OR(NOT(ISNUMBER($H91)),NOT(ISNUMBER($I91)),$H91=0),"",$I91/$H91)</f>
        <v/>
      </c>
      <c r="K91" s="6" t="n"/>
      <c r="L91" s="8" t="n"/>
      <c r="M91" s="7" t="n"/>
      <c r="N91" s="7" t="n"/>
      <c r="O91" s="9">
        <f>IF(NOT(ISNUMBER($M91)),"",IF($L91="Fine earth / fine-earth volume",$M91*(1-IF(ISNUMBER($K91),$K91,0)/100),$M91))</f>
        <v/>
      </c>
      <c r="P91" s="9">
        <f>IF(OR(NOT(ISNUMBER($O91)),NOT(ISNUMBER($N91)),NOT(ISNUMBER($F91))),"",$O91*($N91/100)*$F91*10)</f>
        <v/>
      </c>
      <c r="Q91" s="9">
        <f>IF(OR(NOT(ISNUMBER($D91)),NOT(ISNUMBER($E91))),"",MAX(0,MIN($E91,SOIL_REPORTING_DEPTH_CM)-MIN($D91,SOIL_REPORTING_DEPTH_CM)))</f>
        <v/>
      </c>
      <c r="R91" s="9">
        <f>IF(OR(NOT(ISNUMBER($O91)),NOT(ISNUMBER($N91)),NOT(ISNUMBER($Q91))),"",$O91*($N91/100)*$Q91*10)</f>
        <v/>
      </c>
      <c r="S91" s="11">
        <f>IF(AND($A91="",$B91="",$D91=""),"",IF(AND($A91&lt;&gt;"",COUNTIF('1. Plot &amp; Site Log'!$A$5:$A$64,$A91)=0),"Plot ID not in the Plot &amp; Site Log. ","")&amp;IF(AND(ISNUMBER($D91),ISNUMBER($E91),$E91&lt;=$D91),"Bottom depth is not below top depth. ","")&amp;IF($L91="Not confirmed","Bulk-density basis not confirmed with the lab — the coarse-fragment correction may be wrong or doubled. ","")&amp;IF(AND(ISNUMBER($M91),OR($M91&lt;QC_BD_MIN,$M91&gt;QC_BD_MAX)),"Bulk density outside the plausible range for a mineral grassland soil. ","")&amp;IF(AND(ISNUMBER($N91),$N91&gt;QC_CARBON_PCT_MAX),"Organic carbon above the QC ceiling — check units, and whether this is an organic horizon. ","")&amp;IF(AND(ISNUMBER($J91),$J91&lt;QC_RECOVERY_MIN),"Recovered less than the QC minimum of the depth driven — the increments may not sit where you think. Do NOT stretch them back out. ","")&amp;IF(AND(ISNUMBER($K91),$K91&gt;0,$L91="Fine earth / total volume"),"Coarse fragments recorded and the lab basis already accounts for them — no further correction applied, which is correct. ",""))</f>
        <v/>
      </c>
      <c r="T91" s="6" t="n"/>
      <c r="U91" s="9">
        <f>IF($B91="",0,IF(COUNTIFS($B$5:$B91,$B91)=1,1,0))</f>
        <v/>
      </c>
    </row>
    <row r="92">
      <c r="A92" s="6" t="n"/>
      <c r="B92" s="6" t="n"/>
      <c r="C92" s="6" t="n"/>
      <c r="D92" s="6" t="n"/>
      <c r="E92" s="6" t="n"/>
      <c r="F92" s="9">
        <f>IF(OR($D92="",$E92=""),"",$E92-$D92)</f>
        <v/>
      </c>
      <c r="G92" s="6" t="n"/>
      <c r="H92" s="6" t="n"/>
      <c r="I92" s="6" t="n"/>
      <c r="J92" s="9">
        <f>IF(OR(NOT(ISNUMBER($H92)),NOT(ISNUMBER($I92)),$H92=0),"",$I92/$H92)</f>
        <v/>
      </c>
      <c r="K92" s="6" t="n"/>
      <c r="L92" s="8" t="n"/>
      <c r="M92" s="7" t="n"/>
      <c r="N92" s="7" t="n"/>
      <c r="O92" s="9">
        <f>IF(NOT(ISNUMBER($M92)),"",IF($L92="Fine earth / fine-earth volume",$M92*(1-IF(ISNUMBER($K92),$K92,0)/100),$M92))</f>
        <v/>
      </c>
      <c r="P92" s="9">
        <f>IF(OR(NOT(ISNUMBER($O92)),NOT(ISNUMBER($N92)),NOT(ISNUMBER($F92))),"",$O92*($N92/100)*$F92*10)</f>
        <v/>
      </c>
      <c r="Q92" s="9">
        <f>IF(OR(NOT(ISNUMBER($D92)),NOT(ISNUMBER($E92))),"",MAX(0,MIN($E92,SOIL_REPORTING_DEPTH_CM)-MIN($D92,SOIL_REPORTING_DEPTH_CM)))</f>
        <v/>
      </c>
      <c r="R92" s="9">
        <f>IF(OR(NOT(ISNUMBER($O92)),NOT(ISNUMBER($N92)),NOT(ISNUMBER($Q92))),"",$O92*($N92/100)*$Q92*10)</f>
        <v/>
      </c>
      <c r="S92" s="11">
        <f>IF(AND($A92="",$B92="",$D92=""),"",IF(AND($A92&lt;&gt;"",COUNTIF('1. Plot &amp; Site Log'!$A$5:$A$64,$A92)=0),"Plot ID not in the Plot &amp; Site Log. ","")&amp;IF(AND(ISNUMBER($D92),ISNUMBER($E92),$E92&lt;=$D92),"Bottom depth is not below top depth. ","")&amp;IF($L92="Not confirmed","Bulk-density basis not confirmed with the lab — the coarse-fragment correction may be wrong or doubled. ","")&amp;IF(AND(ISNUMBER($M92),OR($M92&lt;QC_BD_MIN,$M92&gt;QC_BD_MAX)),"Bulk density outside the plausible range for a mineral grassland soil. ","")&amp;IF(AND(ISNUMBER($N92),$N92&gt;QC_CARBON_PCT_MAX),"Organic carbon above the QC ceiling — check units, and whether this is an organic horizon. ","")&amp;IF(AND(ISNUMBER($J92),$J92&lt;QC_RECOVERY_MIN),"Recovered less than the QC minimum of the depth driven — the increments may not sit where you think. Do NOT stretch them back out. ","")&amp;IF(AND(ISNUMBER($K92),$K92&gt;0,$L92="Fine earth / total volume"),"Coarse fragments recorded and the lab basis already accounts for them — no further correction applied, which is correct. ",""))</f>
        <v/>
      </c>
      <c r="T92" s="6" t="n"/>
      <c r="U92" s="9">
        <f>IF($B92="",0,IF(COUNTIFS($B$5:$B92,$B92)=1,1,0))</f>
        <v/>
      </c>
    </row>
    <row r="93">
      <c r="A93" s="6" t="n"/>
      <c r="B93" s="6" t="n"/>
      <c r="C93" s="6" t="n"/>
      <c r="D93" s="6" t="n"/>
      <c r="E93" s="6" t="n"/>
      <c r="F93" s="9">
        <f>IF(OR($D93="",$E93=""),"",$E93-$D93)</f>
        <v/>
      </c>
      <c r="G93" s="6" t="n"/>
      <c r="H93" s="6" t="n"/>
      <c r="I93" s="6" t="n"/>
      <c r="J93" s="9">
        <f>IF(OR(NOT(ISNUMBER($H93)),NOT(ISNUMBER($I93)),$H93=0),"",$I93/$H93)</f>
        <v/>
      </c>
      <c r="K93" s="6" t="n"/>
      <c r="L93" s="8" t="n"/>
      <c r="M93" s="7" t="n"/>
      <c r="N93" s="7" t="n"/>
      <c r="O93" s="9">
        <f>IF(NOT(ISNUMBER($M93)),"",IF($L93="Fine earth / fine-earth volume",$M93*(1-IF(ISNUMBER($K93),$K93,0)/100),$M93))</f>
        <v/>
      </c>
      <c r="P93" s="9">
        <f>IF(OR(NOT(ISNUMBER($O93)),NOT(ISNUMBER($N93)),NOT(ISNUMBER($F93))),"",$O93*($N93/100)*$F93*10)</f>
        <v/>
      </c>
      <c r="Q93" s="9">
        <f>IF(OR(NOT(ISNUMBER($D93)),NOT(ISNUMBER($E93))),"",MAX(0,MIN($E93,SOIL_REPORTING_DEPTH_CM)-MIN($D93,SOIL_REPORTING_DEPTH_CM)))</f>
        <v/>
      </c>
      <c r="R93" s="9">
        <f>IF(OR(NOT(ISNUMBER($O93)),NOT(ISNUMBER($N93)),NOT(ISNUMBER($Q93))),"",$O93*($N93/100)*$Q93*10)</f>
        <v/>
      </c>
      <c r="S93" s="11">
        <f>IF(AND($A93="",$B93="",$D93=""),"",IF(AND($A93&lt;&gt;"",COUNTIF('1. Plot &amp; Site Log'!$A$5:$A$64,$A93)=0),"Plot ID not in the Plot &amp; Site Log. ","")&amp;IF(AND(ISNUMBER($D93),ISNUMBER($E93),$E93&lt;=$D93),"Bottom depth is not below top depth. ","")&amp;IF($L93="Not confirmed","Bulk-density basis not confirmed with the lab — the coarse-fragment correction may be wrong or doubled. ","")&amp;IF(AND(ISNUMBER($M93),OR($M93&lt;QC_BD_MIN,$M93&gt;QC_BD_MAX)),"Bulk density outside the plausible range for a mineral grassland soil. ","")&amp;IF(AND(ISNUMBER($N93),$N93&gt;QC_CARBON_PCT_MAX),"Organic carbon above the QC ceiling — check units, and whether this is an organic horizon. ","")&amp;IF(AND(ISNUMBER($J93),$J93&lt;QC_RECOVERY_MIN),"Recovered less than the QC minimum of the depth driven — the increments may not sit where you think. Do NOT stretch them back out. ","")&amp;IF(AND(ISNUMBER($K93),$K93&gt;0,$L93="Fine earth / total volume"),"Coarse fragments recorded and the lab basis already accounts for them — no further correction applied, which is correct. ",""))</f>
        <v/>
      </c>
      <c r="T93" s="6" t="n"/>
      <c r="U93" s="9">
        <f>IF($B93="",0,IF(COUNTIFS($B$5:$B93,$B93)=1,1,0))</f>
        <v/>
      </c>
    </row>
    <row r="94">
      <c r="A94" s="6" t="n"/>
      <c r="B94" s="6" t="n"/>
      <c r="C94" s="6" t="n"/>
      <c r="D94" s="6" t="n"/>
      <c r="E94" s="6" t="n"/>
      <c r="F94" s="9">
        <f>IF(OR($D94="",$E94=""),"",$E94-$D94)</f>
        <v/>
      </c>
      <c r="G94" s="6" t="n"/>
      <c r="H94" s="6" t="n"/>
      <c r="I94" s="6" t="n"/>
      <c r="J94" s="9">
        <f>IF(OR(NOT(ISNUMBER($H94)),NOT(ISNUMBER($I94)),$H94=0),"",$I94/$H94)</f>
        <v/>
      </c>
      <c r="K94" s="6" t="n"/>
      <c r="L94" s="8" t="n"/>
      <c r="M94" s="7" t="n"/>
      <c r="N94" s="7" t="n"/>
      <c r="O94" s="9">
        <f>IF(NOT(ISNUMBER($M94)),"",IF($L94="Fine earth / fine-earth volume",$M94*(1-IF(ISNUMBER($K94),$K94,0)/100),$M94))</f>
        <v/>
      </c>
      <c r="P94" s="9">
        <f>IF(OR(NOT(ISNUMBER($O94)),NOT(ISNUMBER($N94)),NOT(ISNUMBER($F94))),"",$O94*($N94/100)*$F94*10)</f>
        <v/>
      </c>
      <c r="Q94" s="9">
        <f>IF(OR(NOT(ISNUMBER($D94)),NOT(ISNUMBER($E94))),"",MAX(0,MIN($E94,SOIL_REPORTING_DEPTH_CM)-MIN($D94,SOIL_REPORTING_DEPTH_CM)))</f>
        <v/>
      </c>
      <c r="R94" s="9">
        <f>IF(OR(NOT(ISNUMBER($O94)),NOT(ISNUMBER($N94)),NOT(ISNUMBER($Q94))),"",$O94*($N94/100)*$Q94*10)</f>
        <v/>
      </c>
      <c r="S94" s="11">
        <f>IF(AND($A94="",$B94="",$D94=""),"",IF(AND($A94&lt;&gt;"",COUNTIF('1. Plot &amp; Site Log'!$A$5:$A$64,$A94)=0),"Plot ID not in the Plot &amp; Site Log. ","")&amp;IF(AND(ISNUMBER($D94),ISNUMBER($E94),$E94&lt;=$D94),"Bottom depth is not below top depth. ","")&amp;IF($L94="Not confirmed","Bulk-density basis not confirmed with the lab — the coarse-fragment correction may be wrong or doubled. ","")&amp;IF(AND(ISNUMBER($M94),OR($M94&lt;QC_BD_MIN,$M94&gt;QC_BD_MAX)),"Bulk density outside the plausible range for a mineral grassland soil. ","")&amp;IF(AND(ISNUMBER($N94),$N94&gt;QC_CARBON_PCT_MAX),"Organic carbon above the QC ceiling — check units, and whether this is an organic horizon. ","")&amp;IF(AND(ISNUMBER($J94),$J94&lt;QC_RECOVERY_MIN),"Recovered less than the QC minimum of the depth driven — the increments may not sit where you think. Do NOT stretch them back out. ","")&amp;IF(AND(ISNUMBER($K94),$K94&gt;0,$L94="Fine earth / total volume"),"Coarse fragments recorded and the lab basis already accounts for them — no further correction applied, which is correct. ",""))</f>
        <v/>
      </c>
      <c r="T94" s="6" t="n"/>
      <c r="U94" s="9">
        <f>IF($B94="",0,IF(COUNTIFS($B$5:$B94,$B94)=1,1,0))</f>
        <v/>
      </c>
    </row>
    <row r="95">
      <c r="A95" s="6" t="n"/>
      <c r="B95" s="6" t="n"/>
      <c r="C95" s="6" t="n"/>
      <c r="D95" s="6" t="n"/>
      <c r="E95" s="6" t="n"/>
      <c r="F95" s="9">
        <f>IF(OR($D95="",$E95=""),"",$E95-$D95)</f>
        <v/>
      </c>
      <c r="G95" s="6" t="n"/>
      <c r="H95" s="6" t="n"/>
      <c r="I95" s="6" t="n"/>
      <c r="J95" s="9">
        <f>IF(OR(NOT(ISNUMBER($H95)),NOT(ISNUMBER($I95)),$H95=0),"",$I95/$H95)</f>
        <v/>
      </c>
      <c r="K95" s="6" t="n"/>
      <c r="L95" s="8" t="n"/>
      <c r="M95" s="7" t="n"/>
      <c r="N95" s="7" t="n"/>
      <c r="O95" s="9">
        <f>IF(NOT(ISNUMBER($M95)),"",IF($L95="Fine earth / fine-earth volume",$M95*(1-IF(ISNUMBER($K95),$K95,0)/100),$M95))</f>
        <v/>
      </c>
      <c r="P95" s="9">
        <f>IF(OR(NOT(ISNUMBER($O95)),NOT(ISNUMBER($N95)),NOT(ISNUMBER($F95))),"",$O95*($N95/100)*$F95*10)</f>
        <v/>
      </c>
      <c r="Q95" s="9">
        <f>IF(OR(NOT(ISNUMBER($D95)),NOT(ISNUMBER($E95))),"",MAX(0,MIN($E95,SOIL_REPORTING_DEPTH_CM)-MIN($D95,SOIL_REPORTING_DEPTH_CM)))</f>
        <v/>
      </c>
      <c r="R95" s="9">
        <f>IF(OR(NOT(ISNUMBER($O95)),NOT(ISNUMBER($N95)),NOT(ISNUMBER($Q95))),"",$O95*($N95/100)*$Q95*10)</f>
        <v/>
      </c>
      <c r="S95" s="11">
        <f>IF(AND($A95="",$B95="",$D95=""),"",IF(AND($A95&lt;&gt;"",COUNTIF('1. Plot &amp; Site Log'!$A$5:$A$64,$A95)=0),"Plot ID not in the Plot &amp; Site Log. ","")&amp;IF(AND(ISNUMBER($D95),ISNUMBER($E95),$E95&lt;=$D95),"Bottom depth is not below top depth. ","")&amp;IF($L95="Not confirmed","Bulk-density basis not confirmed with the lab — the coarse-fragment correction may be wrong or doubled. ","")&amp;IF(AND(ISNUMBER($M95),OR($M95&lt;QC_BD_MIN,$M95&gt;QC_BD_MAX)),"Bulk density outside the plausible range for a mineral grassland soil. ","")&amp;IF(AND(ISNUMBER($N95),$N95&gt;QC_CARBON_PCT_MAX),"Organic carbon above the QC ceiling — check units, and whether this is an organic horizon. ","")&amp;IF(AND(ISNUMBER($J95),$J95&lt;QC_RECOVERY_MIN),"Recovered less than the QC minimum of the depth driven — the increments may not sit where you think. Do NOT stretch them back out. ","")&amp;IF(AND(ISNUMBER($K95),$K95&gt;0,$L95="Fine earth / total volume"),"Coarse fragments recorded and the lab basis already accounts for them — no further correction applied, which is correct. ",""))</f>
        <v/>
      </c>
      <c r="T95" s="6" t="n"/>
      <c r="U95" s="9">
        <f>IF($B95="",0,IF(COUNTIFS($B$5:$B95,$B95)=1,1,0))</f>
        <v/>
      </c>
    </row>
    <row r="96">
      <c r="A96" s="6" t="n"/>
      <c r="B96" s="6" t="n"/>
      <c r="C96" s="6" t="n"/>
      <c r="D96" s="6" t="n"/>
      <c r="E96" s="6" t="n"/>
      <c r="F96" s="9">
        <f>IF(OR($D96="",$E96=""),"",$E96-$D96)</f>
        <v/>
      </c>
      <c r="G96" s="6" t="n"/>
      <c r="H96" s="6" t="n"/>
      <c r="I96" s="6" t="n"/>
      <c r="J96" s="9">
        <f>IF(OR(NOT(ISNUMBER($H96)),NOT(ISNUMBER($I96)),$H96=0),"",$I96/$H96)</f>
        <v/>
      </c>
      <c r="K96" s="6" t="n"/>
      <c r="L96" s="8" t="n"/>
      <c r="M96" s="7" t="n"/>
      <c r="N96" s="7" t="n"/>
      <c r="O96" s="9">
        <f>IF(NOT(ISNUMBER($M96)),"",IF($L96="Fine earth / fine-earth volume",$M96*(1-IF(ISNUMBER($K96),$K96,0)/100),$M96))</f>
        <v/>
      </c>
      <c r="P96" s="9">
        <f>IF(OR(NOT(ISNUMBER($O96)),NOT(ISNUMBER($N96)),NOT(ISNUMBER($F96))),"",$O96*($N96/100)*$F96*10)</f>
        <v/>
      </c>
      <c r="Q96" s="9">
        <f>IF(OR(NOT(ISNUMBER($D96)),NOT(ISNUMBER($E96))),"",MAX(0,MIN($E96,SOIL_REPORTING_DEPTH_CM)-MIN($D96,SOIL_REPORTING_DEPTH_CM)))</f>
        <v/>
      </c>
      <c r="R96" s="9">
        <f>IF(OR(NOT(ISNUMBER($O96)),NOT(ISNUMBER($N96)),NOT(ISNUMBER($Q96))),"",$O96*($N96/100)*$Q96*10)</f>
        <v/>
      </c>
      <c r="S96" s="11">
        <f>IF(AND($A96="",$B96="",$D96=""),"",IF(AND($A96&lt;&gt;"",COUNTIF('1. Plot &amp; Site Log'!$A$5:$A$64,$A96)=0),"Plot ID not in the Plot &amp; Site Log. ","")&amp;IF(AND(ISNUMBER($D96),ISNUMBER($E96),$E96&lt;=$D96),"Bottom depth is not below top depth. ","")&amp;IF($L96="Not confirmed","Bulk-density basis not confirmed with the lab — the coarse-fragment correction may be wrong or doubled. ","")&amp;IF(AND(ISNUMBER($M96),OR($M96&lt;QC_BD_MIN,$M96&gt;QC_BD_MAX)),"Bulk density outside the plausible range for a mineral grassland soil. ","")&amp;IF(AND(ISNUMBER($N96),$N96&gt;QC_CARBON_PCT_MAX),"Organic carbon above the QC ceiling — check units, and whether this is an organic horizon. ","")&amp;IF(AND(ISNUMBER($J96),$J96&lt;QC_RECOVERY_MIN),"Recovered less than the QC minimum of the depth driven — the increments may not sit where you think. Do NOT stretch them back out. ","")&amp;IF(AND(ISNUMBER($K96),$K96&gt;0,$L96="Fine earth / total volume"),"Coarse fragments recorded and the lab basis already accounts for them — no further correction applied, which is correct. ",""))</f>
        <v/>
      </c>
      <c r="T96" s="6" t="n"/>
      <c r="U96" s="9">
        <f>IF($B96="",0,IF(COUNTIFS($B$5:$B96,$B96)=1,1,0))</f>
        <v/>
      </c>
    </row>
    <row r="97">
      <c r="A97" s="6" t="n"/>
      <c r="B97" s="6" t="n"/>
      <c r="C97" s="6" t="n"/>
      <c r="D97" s="6" t="n"/>
      <c r="E97" s="6" t="n"/>
      <c r="F97" s="9">
        <f>IF(OR($D97="",$E97=""),"",$E97-$D97)</f>
        <v/>
      </c>
      <c r="G97" s="6" t="n"/>
      <c r="H97" s="6" t="n"/>
      <c r="I97" s="6" t="n"/>
      <c r="J97" s="9">
        <f>IF(OR(NOT(ISNUMBER($H97)),NOT(ISNUMBER($I97)),$H97=0),"",$I97/$H97)</f>
        <v/>
      </c>
      <c r="K97" s="6" t="n"/>
      <c r="L97" s="8" t="n"/>
      <c r="M97" s="7" t="n"/>
      <c r="N97" s="7" t="n"/>
      <c r="O97" s="9">
        <f>IF(NOT(ISNUMBER($M97)),"",IF($L97="Fine earth / fine-earth volume",$M97*(1-IF(ISNUMBER($K97),$K97,0)/100),$M97))</f>
        <v/>
      </c>
      <c r="P97" s="9">
        <f>IF(OR(NOT(ISNUMBER($O97)),NOT(ISNUMBER($N97)),NOT(ISNUMBER($F97))),"",$O97*($N97/100)*$F97*10)</f>
        <v/>
      </c>
      <c r="Q97" s="9">
        <f>IF(OR(NOT(ISNUMBER($D97)),NOT(ISNUMBER($E97))),"",MAX(0,MIN($E97,SOIL_REPORTING_DEPTH_CM)-MIN($D97,SOIL_REPORTING_DEPTH_CM)))</f>
        <v/>
      </c>
      <c r="R97" s="9">
        <f>IF(OR(NOT(ISNUMBER($O97)),NOT(ISNUMBER($N97)),NOT(ISNUMBER($Q97))),"",$O97*($N97/100)*$Q97*10)</f>
        <v/>
      </c>
      <c r="S97" s="11">
        <f>IF(AND($A97="",$B97="",$D97=""),"",IF(AND($A97&lt;&gt;"",COUNTIF('1. Plot &amp; Site Log'!$A$5:$A$64,$A97)=0),"Plot ID not in the Plot &amp; Site Log. ","")&amp;IF(AND(ISNUMBER($D97),ISNUMBER($E97),$E97&lt;=$D97),"Bottom depth is not below top depth. ","")&amp;IF($L97="Not confirmed","Bulk-density basis not confirmed with the lab — the coarse-fragment correction may be wrong or doubled. ","")&amp;IF(AND(ISNUMBER($M97),OR($M97&lt;QC_BD_MIN,$M97&gt;QC_BD_MAX)),"Bulk density outside the plausible range for a mineral grassland soil. ","")&amp;IF(AND(ISNUMBER($N97),$N97&gt;QC_CARBON_PCT_MAX),"Organic carbon above the QC ceiling — check units, and whether this is an organic horizon. ","")&amp;IF(AND(ISNUMBER($J97),$J97&lt;QC_RECOVERY_MIN),"Recovered less than the QC minimum of the depth driven — the increments may not sit where you think. Do NOT stretch them back out. ","")&amp;IF(AND(ISNUMBER($K97),$K97&gt;0,$L97="Fine earth / total volume"),"Coarse fragments recorded and the lab basis already accounts for them — no further correction applied, which is correct. ",""))</f>
        <v/>
      </c>
      <c r="T97" s="6" t="n"/>
      <c r="U97" s="9">
        <f>IF($B97="",0,IF(COUNTIFS($B$5:$B97,$B97)=1,1,0))</f>
        <v/>
      </c>
    </row>
    <row r="98">
      <c r="A98" s="6" t="n"/>
      <c r="B98" s="6" t="n"/>
      <c r="C98" s="6" t="n"/>
      <c r="D98" s="6" t="n"/>
      <c r="E98" s="6" t="n"/>
      <c r="F98" s="9">
        <f>IF(OR($D98="",$E98=""),"",$E98-$D98)</f>
        <v/>
      </c>
      <c r="G98" s="6" t="n"/>
      <c r="H98" s="6" t="n"/>
      <c r="I98" s="6" t="n"/>
      <c r="J98" s="9">
        <f>IF(OR(NOT(ISNUMBER($H98)),NOT(ISNUMBER($I98)),$H98=0),"",$I98/$H98)</f>
        <v/>
      </c>
      <c r="K98" s="6" t="n"/>
      <c r="L98" s="8" t="n"/>
      <c r="M98" s="7" t="n"/>
      <c r="N98" s="7" t="n"/>
      <c r="O98" s="9">
        <f>IF(NOT(ISNUMBER($M98)),"",IF($L98="Fine earth / fine-earth volume",$M98*(1-IF(ISNUMBER($K98),$K98,0)/100),$M98))</f>
        <v/>
      </c>
      <c r="P98" s="9">
        <f>IF(OR(NOT(ISNUMBER($O98)),NOT(ISNUMBER($N98)),NOT(ISNUMBER($F98))),"",$O98*($N98/100)*$F98*10)</f>
        <v/>
      </c>
      <c r="Q98" s="9">
        <f>IF(OR(NOT(ISNUMBER($D98)),NOT(ISNUMBER($E98))),"",MAX(0,MIN($E98,SOIL_REPORTING_DEPTH_CM)-MIN($D98,SOIL_REPORTING_DEPTH_CM)))</f>
        <v/>
      </c>
      <c r="R98" s="9">
        <f>IF(OR(NOT(ISNUMBER($O98)),NOT(ISNUMBER($N98)),NOT(ISNUMBER($Q98))),"",$O98*($N98/100)*$Q98*10)</f>
        <v/>
      </c>
      <c r="S98" s="11">
        <f>IF(AND($A98="",$B98="",$D98=""),"",IF(AND($A98&lt;&gt;"",COUNTIF('1. Plot &amp; Site Log'!$A$5:$A$64,$A98)=0),"Plot ID not in the Plot &amp; Site Log. ","")&amp;IF(AND(ISNUMBER($D98),ISNUMBER($E98),$E98&lt;=$D98),"Bottom depth is not below top depth. ","")&amp;IF($L98="Not confirmed","Bulk-density basis not confirmed with the lab — the coarse-fragment correction may be wrong or doubled. ","")&amp;IF(AND(ISNUMBER($M98),OR($M98&lt;QC_BD_MIN,$M98&gt;QC_BD_MAX)),"Bulk density outside the plausible range for a mineral grassland soil. ","")&amp;IF(AND(ISNUMBER($N98),$N98&gt;QC_CARBON_PCT_MAX),"Organic carbon above the QC ceiling — check units, and whether this is an organic horizon. ","")&amp;IF(AND(ISNUMBER($J98),$J98&lt;QC_RECOVERY_MIN),"Recovered less than the QC minimum of the depth driven — the increments may not sit where you think. Do NOT stretch them back out. ","")&amp;IF(AND(ISNUMBER($K98),$K98&gt;0,$L98="Fine earth / total volume"),"Coarse fragments recorded and the lab basis already accounts for them — no further correction applied, which is correct. ",""))</f>
        <v/>
      </c>
      <c r="T98" s="6" t="n"/>
      <c r="U98" s="9">
        <f>IF($B98="",0,IF(COUNTIFS($B$5:$B98,$B98)=1,1,0))</f>
        <v/>
      </c>
    </row>
    <row r="99">
      <c r="A99" s="6" t="n"/>
      <c r="B99" s="6" t="n"/>
      <c r="C99" s="6" t="n"/>
      <c r="D99" s="6" t="n"/>
      <c r="E99" s="6" t="n"/>
      <c r="F99" s="9">
        <f>IF(OR($D99="",$E99=""),"",$E99-$D99)</f>
        <v/>
      </c>
      <c r="G99" s="6" t="n"/>
      <c r="H99" s="6" t="n"/>
      <c r="I99" s="6" t="n"/>
      <c r="J99" s="9">
        <f>IF(OR(NOT(ISNUMBER($H99)),NOT(ISNUMBER($I99)),$H99=0),"",$I99/$H99)</f>
        <v/>
      </c>
      <c r="K99" s="6" t="n"/>
      <c r="L99" s="8" t="n"/>
      <c r="M99" s="7" t="n"/>
      <c r="N99" s="7" t="n"/>
      <c r="O99" s="9">
        <f>IF(NOT(ISNUMBER($M99)),"",IF($L99="Fine earth / fine-earth volume",$M99*(1-IF(ISNUMBER($K99),$K99,0)/100),$M99))</f>
        <v/>
      </c>
      <c r="P99" s="9">
        <f>IF(OR(NOT(ISNUMBER($O99)),NOT(ISNUMBER($N99)),NOT(ISNUMBER($F99))),"",$O99*($N99/100)*$F99*10)</f>
        <v/>
      </c>
      <c r="Q99" s="9">
        <f>IF(OR(NOT(ISNUMBER($D99)),NOT(ISNUMBER($E99))),"",MAX(0,MIN($E99,SOIL_REPORTING_DEPTH_CM)-MIN($D99,SOIL_REPORTING_DEPTH_CM)))</f>
        <v/>
      </c>
      <c r="R99" s="9">
        <f>IF(OR(NOT(ISNUMBER($O99)),NOT(ISNUMBER($N99)),NOT(ISNUMBER($Q99))),"",$O99*($N99/100)*$Q99*10)</f>
        <v/>
      </c>
      <c r="S99" s="11">
        <f>IF(AND($A99="",$B99="",$D99=""),"",IF(AND($A99&lt;&gt;"",COUNTIF('1. Plot &amp; Site Log'!$A$5:$A$64,$A99)=0),"Plot ID not in the Plot &amp; Site Log. ","")&amp;IF(AND(ISNUMBER($D99),ISNUMBER($E99),$E99&lt;=$D99),"Bottom depth is not below top depth. ","")&amp;IF($L99="Not confirmed","Bulk-density basis not confirmed with the lab — the coarse-fragment correction may be wrong or doubled. ","")&amp;IF(AND(ISNUMBER($M99),OR($M99&lt;QC_BD_MIN,$M99&gt;QC_BD_MAX)),"Bulk density outside the plausible range for a mineral grassland soil. ","")&amp;IF(AND(ISNUMBER($N99),$N99&gt;QC_CARBON_PCT_MAX),"Organic carbon above the QC ceiling — check units, and whether this is an organic horizon. ","")&amp;IF(AND(ISNUMBER($J99),$J99&lt;QC_RECOVERY_MIN),"Recovered less than the QC minimum of the depth driven — the increments may not sit where you think. Do NOT stretch them back out. ","")&amp;IF(AND(ISNUMBER($K99),$K99&gt;0,$L99="Fine earth / total volume"),"Coarse fragments recorded and the lab basis already accounts for them — no further correction applied, which is correct. ",""))</f>
        <v/>
      </c>
      <c r="T99" s="6" t="n"/>
      <c r="U99" s="9">
        <f>IF($B99="",0,IF(COUNTIFS($B$5:$B99,$B99)=1,1,0))</f>
        <v/>
      </c>
    </row>
    <row r="100">
      <c r="A100" s="6" t="n"/>
      <c r="B100" s="6" t="n"/>
      <c r="C100" s="6" t="n"/>
      <c r="D100" s="6" t="n"/>
      <c r="E100" s="6" t="n"/>
      <c r="F100" s="9">
        <f>IF(OR($D100="",$E100=""),"",$E100-$D100)</f>
        <v/>
      </c>
      <c r="G100" s="6" t="n"/>
      <c r="H100" s="6" t="n"/>
      <c r="I100" s="6" t="n"/>
      <c r="J100" s="9">
        <f>IF(OR(NOT(ISNUMBER($H100)),NOT(ISNUMBER($I100)),$H100=0),"",$I100/$H100)</f>
        <v/>
      </c>
      <c r="K100" s="6" t="n"/>
      <c r="L100" s="8" t="n"/>
      <c r="M100" s="7" t="n"/>
      <c r="N100" s="7" t="n"/>
      <c r="O100" s="9">
        <f>IF(NOT(ISNUMBER($M100)),"",IF($L100="Fine earth / fine-earth volume",$M100*(1-IF(ISNUMBER($K100),$K100,0)/100),$M100))</f>
        <v/>
      </c>
      <c r="P100" s="9">
        <f>IF(OR(NOT(ISNUMBER($O100)),NOT(ISNUMBER($N100)),NOT(ISNUMBER($F100))),"",$O100*($N100/100)*$F100*10)</f>
        <v/>
      </c>
      <c r="Q100" s="9">
        <f>IF(OR(NOT(ISNUMBER($D100)),NOT(ISNUMBER($E100))),"",MAX(0,MIN($E100,SOIL_REPORTING_DEPTH_CM)-MIN($D100,SOIL_REPORTING_DEPTH_CM)))</f>
        <v/>
      </c>
      <c r="R100" s="9">
        <f>IF(OR(NOT(ISNUMBER($O100)),NOT(ISNUMBER($N100)),NOT(ISNUMBER($Q100))),"",$O100*($N100/100)*$Q100*10)</f>
        <v/>
      </c>
      <c r="S100" s="11">
        <f>IF(AND($A100="",$B100="",$D100=""),"",IF(AND($A100&lt;&gt;"",COUNTIF('1. Plot &amp; Site Log'!$A$5:$A$64,$A100)=0),"Plot ID not in the Plot &amp; Site Log. ","")&amp;IF(AND(ISNUMBER($D100),ISNUMBER($E100),$E100&lt;=$D100),"Bottom depth is not below top depth. ","")&amp;IF($L100="Not confirmed","Bulk-density basis not confirmed with the lab — the coarse-fragment correction may be wrong or doubled. ","")&amp;IF(AND(ISNUMBER($M100),OR($M100&lt;QC_BD_MIN,$M100&gt;QC_BD_MAX)),"Bulk density outside the plausible range for a mineral grassland soil. ","")&amp;IF(AND(ISNUMBER($N100),$N100&gt;QC_CARBON_PCT_MAX),"Organic carbon above the QC ceiling — check units, and whether this is an organic horizon. ","")&amp;IF(AND(ISNUMBER($J100),$J100&lt;QC_RECOVERY_MIN),"Recovered less than the QC minimum of the depth driven — the increments may not sit where you think. Do NOT stretch them back out. ","")&amp;IF(AND(ISNUMBER($K100),$K100&gt;0,$L100="Fine earth / total volume"),"Coarse fragments recorded and the lab basis already accounts for them — no further correction applied, which is correct. ",""))</f>
        <v/>
      </c>
      <c r="T100" s="6" t="n"/>
      <c r="U100" s="9">
        <f>IF($B100="",0,IF(COUNTIFS($B$5:$B100,$B100)=1,1,0))</f>
        <v/>
      </c>
    </row>
    <row r="101">
      <c r="A101" s="6" t="n"/>
      <c r="B101" s="6" t="n"/>
      <c r="C101" s="6" t="n"/>
      <c r="D101" s="6" t="n"/>
      <c r="E101" s="6" t="n"/>
      <c r="F101" s="9">
        <f>IF(OR($D101="",$E101=""),"",$E101-$D101)</f>
        <v/>
      </c>
      <c r="G101" s="6" t="n"/>
      <c r="H101" s="6" t="n"/>
      <c r="I101" s="6" t="n"/>
      <c r="J101" s="9">
        <f>IF(OR(NOT(ISNUMBER($H101)),NOT(ISNUMBER($I101)),$H101=0),"",$I101/$H101)</f>
        <v/>
      </c>
      <c r="K101" s="6" t="n"/>
      <c r="L101" s="8" t="n"/>
      <c r="M101" s="7" t="n"/>
      <c r="N101" s="7" t="n"/>
      <c r="O101" s="9">
        <f>IF(NOT(ISNUMBER($M101)),"",IF($L101="Fine earth / fine-earth volume",$M101*(1-IF(ISNUMBER($K101),$K101,0)/100),$M101))</f>
        <v/>
      </c>
      <c r="P101" s="9">
        <f>IF(OR(NOT(ISNUMBER($O101)),NOT(ISNUMBER($N101)),NOT(ISNUMBER($F101))),"",$O101*($N101/100)*$F101*10)</f>
        <v/>
      </c>
      <c r="Q101" s="9">
        <f>IF(OR(NOT(ISNUMBER($D101)),NOT(ISNUMBER($E101))),"",MAX(0,MIN($E101,SOIL_REPORTING_DEPTH_CM)-MIN($D101,SOIL_REPORTING_DEPTH_CM)))</f>
        <v/>
      </c>
      <c r="R101" s="9">
        <f>IF(OR(NOT(ISNUMBER($O101)),NOT(ISNUMBER($N101)),NOT(ISNUMBER($Q101))),"",$O101*($N101/100)*$Q101*10)</f>
        <v/>
      </c>
      <c r="S101" s="11">
        <f>IF(AND($A101="",$B101="",$D101=""),"",IF(AND($A101&lt;&gt;"",COUNTIF('1. Plot &amp; Site Log'!$A$5:$A$64,$A101)=0),"Plot ID not in the Plot &amp; Site Log. ","")&amp;IF(AND(ISNUMBER($D101),ISNUMBER($E101),$E101&lt;=$D101),"Bottom depth is not below top depth. ","")&amp;IF($L101="Not confirmed","Bulk-density basis not confirmed with the lab — the coarse-fragment correction may be wrong or doubled. ","")&amp;IF(AND(ISNUMBER($M101),OR($M101&lt;QC_BD_MIN,$M101&gt;QC_BD_MAX)),"Bulk density outside the plausible range for a mineral grassland soil. ","")&amp;IF(AND(ISNUMBER($N101),$N101&gt;QC_CARBON_PCT_MAX),"Organic carbon above the QC ceiling — check units, and whether this is an organic horizon. ","")&amp;IF(AND(ISNUMBER($J101),$J101&lt;QC_RECOVERY_MIN),"Recovered less than the QC minimum of the depth driven — the increments may not sit where you think. Do NOT stretch them back out. ","")&amp;IF(AND(ISNUMBER($K101),$K101&gt;0,$L101="Fine earth / total volume"),"Coarse fragments recorded and the lab basis already accounts for them — no further correction applied, which is correct. ",""))</f>
        <v/>
      </c>
      <c r="T101" s="6" t="n"/>
      <c r="U101" s="9">
        <f>IF($B101="",0,IF(COUNTIFS($B$5:$B101,$B101)=1,1,0))</f>
        <v/>
      </c>
    </row>
    <row r="102">
      <c r="A102" s="6" t="n"/>
      <c r="B102" s="6" t="n"/>
      <c r="C102" s="6" t="n"/>
      <c r="D102" s="6" t="n"/>
      <c r="E102" s="6" t="n"/>
      <c r="F102" s="9">
        <f>IF(OR($D102="",$E102=""),"",$E102-$D102)</f>
        <v/>
      </c>
      <c r="G102" s="6" t="n"/>
      <c r="H102" s="6" t="n"/>
      <c r="I102" s="6" t="n"/>
      <c r="J102" s="9">
        <f>IF(OR(NOT(ISNUMBER($H102)),NOT(ISNUMBER($I102)),$H102=0),"",$I102/$H102)</f>
        <v/>
      </c>
      <c r="K102" s="6" t="n"/>
      <c r="L102" s="8" t="n"/>
      <c r="M102" s="7" t="n"/>
      <c r="N102" s="7" t="n"/>
      <c r="O102" s="9">
        <f>IF(NOT(ISNUMBER($M102)),"",IF($L102="Fine earth / fine-earth volume",$M102*(1-IF(ISNUMBER($K102),$K102,0)/100),$M102))</f>
        <v/>
      </c>
      <c r="P102" s="9">
        <f>IF(OR(NOT(ISNUMBER($O102)),NOT(ISNUMBER($N102)),NOT(ISNUMBER($F102))),"",$O102*($N102/100)*$F102*10)</f>
        <v/>
      </c>
      <c r="Q102" s="9">
        <f>IF(OR(NOT(ISNUMBER($D102)),NOT(ISNUMBER($E102))),"",MAX(0,MIN($E102,SOIL_REPORTING_DEPTH_CM)-MIN($D102,SOIL_REPORTING_DEPTH_CM)))</f>
        <v/>
      </c>
      <c r="R102" s="9">
        <f>IF(OR(NOT(ISNUMBER($O102)),NOT(ISNUMBER($N102)),NOT(ISNUMBER($Q102))),"",$O102*($N102/100)*$Q102*10)</f>
        <v/>
      </c>
      <c r="S102" s="11">
        <f>IF(AND($A102="",$B102="",$D102=""),"",IF(AND($A102&lt;&gt;"",COUNTIF('1. Plot &amp; Site Log'!$A$5:$A$64,$A102)=0),"Plot ID not in the Plot &amp; Site Log. ","")&amp;IF(AND(ISNUMBER($D102),ISNUMBER($E102),$E102&lt;=$D102),"Bottom depth is not below top depth. ","")&amp;IF($L102="Not confirmed","Bulk-density basis not confirmed with the lab — the coarse-fragment correction may be wrong or doubled. ","")&amp;IF(AND(ISNUMBER($M102),OR($M102&lt;QC_BD_MIN,$M102&gt;QC_BD_MAX)),"Bulk density outside the plausible range for a mineral grassland soil. ","")&amp;IF(AND(ISNUMBER($N102),$N102&gt;QC_CARBON_PCT_MAX),"Organic carbon above the QC ceiling — check units, and whether this is an organic horizon. ","")&amp;IF(AND(ISNUMBER($J102),$J102&lt;QC_RECOVERY_MIN),"Recovered less than the QC minimum of the depth driven — the increments may not sit where you think. Do NOT stretch them back out. ","")&amp;IF(AND(ISNUMBER($K102),$K102&gt;0,$L102="Fine earth / total volume"),"Coarse fragments recorded and the lab basis already accounts for them — no further correction applied, which is correct. ",""))</f>
        <v/>
      </c>
      <c r="T102" s="6" t="n"/>
      <c r="U102" s="9">
        <f>IF($B102="",0,IF(COUNTIFS($B$5:$B102,$B102)=1,1,0))</f>
        <v/>
      </c>
    </row>
    <row r="103">
      <c r="A103" s="6" t="n"/>
      <c r="B103" s="6" t="n"/>
      <c r="C103" s="6" t="n"/>
      <c r="D103" s="6" t="n"/>
      <c r="E103" s="6" t="n"/>
      <c r="F103" s="9">
        <f>IF(OR($D103="",$E103=""),"",$E103-$D103)</f>
        <v/>
      </c>
      <c r="G103" s="6" t="n"/>
      <c r="H103" s="6" t="n"/>
      <c r="I103" s="6" t="n"/>
      <c r="J103" s="9">
        <f>IF(OR(NOT(ISNUMBER($H103)),NOT(ISNUMBER($I103)),$H103=0),"",$I103/$H103)</f>
        <v/>
      </c>
      <c r="K103" s="6" t="n"/>
      <c r="L103" s="8" t="n"/>
      <c r="M103" s="7" t="n"/>
      <c r="N103" s="7" t="n"/>
      <c r="O103" s="9">
        <f>IF(NOT(ISNUMBER($M103)),"",IF($L103="Fine earth / fine-earth volume",$M103*(1-IF(ISNUMBER($K103),$K103,0)/100),$M103))</f>
        <v/>
      </c>
      <c r="P103" s="9">
        <f>IF(OR(NOT(ISNUMBER($O103)),NOT(ISNUMBER($N103)),NOT(ISNUMBER($F103))),"",$O103*($N103/100)*$F103*10)</f>
        <v/>
      </c>
      <c r="Q103" s="9">
        <f>IF(OR(NOT(ISNUMBER($D103)),NOT(ISNUMBER($E103))),"",MAX(0,MIN($E103,SOIL_REPORTING_DEPTH_CM)-MIN($D103,SOIL_REPORTING_DEPTH_CM)))</f>
        <v/>
      </c>
      <c r="R103" s="9">
        <f>IF(OR(NOT(ISNUMBER($O103)),NOT(ISNUMBER($N103)),NOT(ISNUMBER($Q103))),"",$O103*($N103/100)*$Q103*10)</f>
        <v/>
      </c>
      <c r="S103" s="11">
        <f>IF(AND($A103="",$B103="",$D103=""),"",IF(AND($A103&lt;&gt;"",COUNTIF('1. Plot &amp; Site Log'!$A$5:$A$64,$A103)=0),"Plot ID not in the Plot &amp; Site Log. ","")&amp;IF(AND(ISNUMBER($D103),ISNUMBER($E103),$E103&lt;=$D103),"Bottom depth is not below top depth. ","")&amp;IF($L103="Not confirmed","Bulk-density basis not confirmed with the lab — the coarse-fragment correction may be wrong or doubled. ","")&amp;IF(AND(ISNUMBER($M103),OR($M103&lt;QC_BD_MIN,$M103&gt;QC_BD_MAX)),"Bulk density outside the plausible range for a mineral grassland soil. ","")&amp;IF(AND(ISNUMBER($N103),$N103&gt;QC_CARBON_PCT_MAX),"Organic carbon above the QC ceiling — check units, and whether this is an organic horizon. ","")&amp;IF(AND(ISNUMBER($J103),$J103&lt;QC_RECOVERY_MIN),"Recovered less than the QC minimum of the depth driven — the increments may not sit where you think. Do NOT stretch them back out. ","")&amp;IF(AND(ISNUMBER($K103),$K103&gt;0,$L103="Fine earth / total volume"),"Coarse fragments recorded and the lab basis already accounts for them — no further correction applied, which is correct. ",""))</f>
        <v/>
      </c>
      <c r="T103" s="6" t="n"/>
      <c r="U103" s="9">
        <f>IF($B103="",0,IF(COUNTIFS($B$5:$B103,$B103)=1,1,0))</f>
        <v/>
      </c>
    </row>
    <row r="104">
      <c r="A104" s="6" t="n"/>
      <c r="B104" s="6" t="n"/>
      <c r="C104" s="6" t="n"/>
      <c r="D104" s="6" t="n"/>
      <c r="E104" s="6" t="n"/>
      <c r="F104" s="9">
        <f>IF(OR($D104="",$E104=""),"",$E104-$D104)</f>
        <v/>
      </c>
      <c r="G104" s="6" t="n"/>
      <c r="H104" s="6" t="n"/>
      <c r="I104" s="6" t="n"/>
      <c r="J104" s="9">
        <f>IF(OR(NOT(ISNUMBER($H104)),NOT(ISNUMBER($I104)),$H104=0),"",$I104/$H104)</f>
        <v/>
      </c>
      <c r="K104" s="6" t="n"/>
      <c r="L104" s="8" t="n"/>
      <c r="M104" s="7" t="n"/>
      <c r="N104" s="7" t="n"/>
      <c r="O104" s="9">
        <f>IF(NOT(ISNUMBER($M104)),"",IF($L104="Fine earth / fine-earth volume",$M104*(1-IF(ISNUMBER($K104),$K104,0)/100),$M104))</f>
        <v/>
      </c>
      <c r="P104" s="9">
        <f>IF(OR(NOT(ISNUMBER($O104)),NOT(ISNUMBER($N104)),NOT(ISNUMBER($F104))),"",$O104*($N104/100)*$F104*10)</f>
        <v/>
      </c>
      <c r="Q104" s="9">
        <f>IF(OR(NOT(ISNUMBER($D104)),NOT(ISNUMBER($E104))),"",MAX(0,MIN($E104,SOIL_REPORTING_DEPTH_CM)-MIN($D104,SOIL_REPORTING_DEPTH_CM)))</f>
        <v/>
      </c>
      <c r="R104" s="9">
        <f>IF(OR(NOT(ISNUMBER($O104)),NOT(ISNUMBER($N104)),NOT(ISNUMBER($Q104))),"",$O104*($N104/100)*$Q104*10)</f>
        <v/>
      </c>
      <c r="S104" s="11">
        <f>IF(AND($A104="",$B104="",$D104=""),"",IF(AND($A104&lt;&gt;"",COUNTIF('1. Plot &amp; Site Log'!$A$5:$A$64,$A104)=0),"Plot ID not in the Plot &amp; Site Log. ","")&amp;IF(AND(ISNUMBER($D104),ISNUMBER($E104),$E104&lt;=$D104),"Bottom depth is not below top depth. ","")&amp;IF($L104="Not confirmed","Bulk-density basis not confirmed with the lab — the coarse-fragment correction may be wrong or doubled. ","")&amp;IF(AND(ISNUMBER($M104),OR($M104&lt;QC_BD_MIN,$M104&gt;QC_BD_MAX)),"Bulk density outside the plausible range for a mineral grassland soil. ","")&amp;IF(AND(ISNUMBER($N104),$N104&gt;QC_CARBON_PCT_MAX),"Organic carbon above the QC ceiling — check units, and whether this is an organic horizon. ","")&amp;IF(AND(ISNUMBER($J104),$J104&lt;QC_RECOVERY_MIN),"Recovered less than the QC minimum of the depth driven — the increments may not sit where you think. Do NOT stretch them back out. ","")&amp;IF(AND(ISNUMBER($K104),$K104&gt;0,$L104="Fine earth / total volume"),"Coarse fragments recorded and the lab basis already accounts for them — no further correction applied, which is correct. ",""))</f>
        <v/>
      </c>
      <c r="T104" s="6" t="n"/>
      <c r="U104" s="9">
        <f>IF($B104="",0,IF(COUNTIFS($B$5:$B104,$B104)=1,1,0))</f>
        <v/>
      </c>
    </row>
    <row r="105">
      <c r="A105" s="6" t="n"/>
      <c r="B105" s="6" t="n"/>
      <c r="C105" s="6" t="n"/>
      <c r="D105" s="6" t="n"/>
      <c r="E105" s="6" t="n"/>
      <c r="F105" s="9">
        <f>IF(OR($D105="",$E105=""),"",$E105-$D105)</f>
        <v/>
      </c>
      <c r="G105" s="6" t="n"/>
      <c r="H105" s="6" t="n"/>
      <c r="I105" s="6" t="n"/>
      <c r="J105" s="9">
        <f>IF(OR(NOT(ISNUMBER($H105)),NOT(ISNUMBER($I105)),$H105=0),"",$I105/$H105)</f>
        <v/>
      </c>
      <c r="K105" s="6" t="n"/>
      <c r="L105" s="8" t="n"/>
      <c r="M105" s="7" t="n"/>
      <c r="N105" s="7" t="n"/>
      <c r="O105" s="9">
        <f>IF(NOT(ISNUMBER($M105)),"",IF($L105="Fine earth / fine-earth volume",$M105*(1-IF(ISNUMBER($K105),$K105,0)/100),$M105))</f>
        <v/>
      </c>
      <c r="P105" s="9">
        <f>IF(OR(NOT(ISNUMBER($O105)),NOT(ISNUMBER($N105)),NOT(ISNUMBER($F105))),"",$O105*($N105/100)*$F105*10)</f>
        <v/>
      </c>
      <c r="Q105" s="9">
        <f>IF(OR(NOT(ISNUMBER($D105)),NOT(ISNUMBER($E105))),"",MAX(0,MIN($E105,SOIL_REPORTING_DEPTH_CM)-MIN($D105,SOIL_REPORTING_DEPTH_CM)))</f>
        <v/>
      </c>
      <c r="R105" s="9">
        <f>IF(OR(NOT(ISNUMBER($O105)),NOT(ISNUMBER($N105)),NOT(ISNUMBER($Q105))),"",$O105*($N105/100)*$Q105*10)</f>
        <v/>
      </c>
      <c r="S105" s="11">
        <f>IF(AND($A105="",$B105="",$D105=""),"",IF(AND($A105&lt;&gt;"",COUNTIF('1. Plot &amp; Site Log'!$A$5:$A$64,$A105)=0),"Plot ID not in the Plot &amp; Site Log. ","")&amp;IF(AND(ISNUMBER($D105),ISNUMBER($E105),$E105&lt;=$D105),"Bottom depth is not below top depth. ","")&amp;IF($L105="Not confirmed","Bulk-density basis not confirmed with the lab — the coarse-fragment correction may be wrong or doubled. ","")&amp;IF(AND(ISNUMBER($M105),OR($M105&lt;QC_BD_MIN,$M105&gt;QC_BD_MAX)),"Bulk density outside the plausible range for a mineral grassland soil. ","")&amp;IF(AND(ISNUMBER($N105),$N105&gt;QC_CARBON_PCT_MAX),"Organic carbon above the QC ceiling — check units, and whether this is an organic horizon. ","")&amp;IF(AND(ISNUMBER($J105),$J105&lt;QC_RECOVERY_MIN),"Recovered less than the QC minimum of the depth driven — the increments may not sit where you think. Do NOT stretch them back out. ","")&amp;IF(AND(ISNUMBER($K105),$K105&gt;0,$L105="Fine earth / total volume"),"Coarse fragments recorded and the lab basis already accounts for them — no further correction applied, which is correct. ",""))</f>
        <v/>
      </c>
      <c r="T105" s="6" t="n"/>
      <c r="U105" s="9">
        <f>IF($B105="",0,IF(COUNTIFS($B$5:$B105,$B105)=1,1,0))</f>
        <v/>
      </c>
    </row>
    <row r="106">
      <c r="A106" s="6" t="n"/>
      <c r="B106" s="6" t="n"/>
      <c r="C106" s="6" t="n"/>
      <c r="D106" s="6" t="n"/>
      <c r="E106" s="6" t="n"/>
      <c r="F106" s="9">
        <f>IF(OR($D106="",$E106=""),"",$E106-$D106)</f>
        <v/>
      </c>
      <c r="G106" s="6" t="n"/>
      <c r="H106" s="6" t="n"/>
      <c r="I106" s="6" t="n"/>
      <c r="J106" s="9">
        <f>IF(OR(NOT(ISNUMBER($H106)),NOT(ISNUMBER($I106)),$H106=0),"",$I106/$H106)</f>
        <v/>
      </c>
      <c r="K106" s="6" t="n"/>
      <c r="L106" s="8" t="n"/>
      <c r="M106" s="7" t="n"/>
      <c r="N106" s="7" t="n"/>
      <c r="O106" s="9">
        <f>IF(NOT(ISNUMBER($M106)),"",IF($L106="Fine earth / fine-earth volume",$M106*(1-IF(ISNUMBER($K106),$K106,0)/100),$M106))</f>
        <v/>
      </c>
      <c r="P106" s="9">
        <f>IF(OR(NOT(ISNUMBER($O106)),NOT(ISNUMBER($N106)),NOT(ISNUMBER($F106))),"",$O106*($N106/100)*$F106*10)</f>
        <v/>
      </c>
      <c r="Q106" s="9">
        <f>IF(OR(NOT(ISNUMBER($D106)),NOT(ISNUMBER($E106))),"",MAX(0,MIN($E106,SOIL_REPORTING_DEPTH_CM)-MIN($D106,SOIL_REPORTING_DEPTH_CM)))</f>
        <v/>
      </c>
      <c r="R106" s="9">
        <f>IF(OR(NOT(ISNUMBER($O106)),NOT(ISNUMBER($N106)),NOT(ISNUMBER($Q106))),"",$O106*($N106/100)*$Q106*10)</f>
        <v/>
      </c>
      <c r="S106" s="11">
        <f>IF(AND($A106="",$B106="",$D106=""),"",IF(AND($A106&lt;&gt;"",COUNTIF('1. Plot &amp; Site Log'!$A$5:$A$64,$A106)=0),"Plot ID not in the Plot &amp; Site Log. ","")&amp;IF(AND(ISNUMBER($D106),ISNUMBER($E106),$E106&lt;=$D106),"Bottom depth is not below top depth. ","")&amp;IF($L106="Not confirmed","Bulk-density basis not confirmed with the lab — the coarse-fragment correction may be wrong or doubled. ","")&amp;IF(AND(ISNUMBER($M106),OR($M106&lt;QC_BD_MIN,$M106&gt;QC_BD_MAX)),"Bulk density outside the plausible range for a mineral grassland soil. ","")&amp;IF(AND(ISNUMBER($N106),$N106&gt;QC_CARBON_PCT_MAX),"Organic carbon above the QC ceiling — check units, and whether this is an organic horizon. ","")&amp;IF(AND(ISNUMBER($J106),$J106&lt;QC_RECOVERY_MIN),"Recovered less than the QC minimum of the depth driven — the increments may not sit where you think. Do NOT stretch them back out. ","")&amp;IF(AND(ISNUMBER($K106),$K106&gt;0,$L106="Fine earth / total volume"),"Coarse fragments recorded and the lab basis already accounts for them — no further correction applied, which is correct. ",""))</f>
        <v/>
      </c>
      <c r="T106" s="6" t="n"/>
      <c r="U106" s="9">
        <f>IF($B106="",0,IF(COUNTIFS($B$5:$B106,$B106)=1,1,0))</f>
        <v/>
      </c>
    </row>
    <row r="107">
      <c r="A107" s="6" t="n"/>
      <c r="B107" s="6" t="n"/>
      <c r="C107" s="6" t="n"/>
      <c r="D107" s="6" t="n"/>
      <c r="E107" s="6" t="n"/>
      <c r="F107" s="9">
        <f>IF(OR($D107="",$E107=""),"",$E107-$D107)</f>
        <v/>
      </c>
      <c r="G107" s="6" t="n"/>
      <c r="H107" s="6" t="n"/>
      <c r="I107" s="6" t="n"/>
      <c r="J107" s="9">
        <f>IF(OR(NOT(ISNUMBER($H107)),NOT(ISNUMBER($I107)),$H107=0),"",$I107/$H107)</f>
        <v/>
      </c>
      <c r="K107" s="6" t="n"/>
      <c r="L107" s="8" t="n"/>
      <c r="M107" s="7" t="n"/>
      <c r="N107" s="7" t="n"/>
      <c r="O107" s="9">
        <f>IF(NOT(ISNUMBER($M107)),"",IF($L107="Fine earth / fine-earth volume",$M107*(1-IF(ISNUMBER($K107),$K107,0)/100),$M107))</f>
        <v/>
      </c>
      <c r="P107" s="9">
        <f>IF(OR(NOT(ISNUMBER($O107)),NOT(ISNUMBER($N107)),NOT(ISNUMBER($F107))),"",$O107*($N107/100)*$F107*10)</f>
        <v/>
      </c>
      <c r="Q107" s="9">
        <f>IF(OR(NOT(ISNUMBER($D107)),NOT(ISNUMBER($E107))),"",MAX(0,MIN($E107,SOIL_REPORTING_DEPTH_CM)-MIN($D107,SOIL_REPORTING_DEPTH_CM)))</f>
        <v/>
      </c>
      <c r="R107" s="9">
        <f>IF(OR(NOT(ISNUMBER($O107)),NOT(ISNUMBER($N107)),NOT(ISNUMBER($Q107))),"",$O107*($N107/100)*$Q107*10)</f>
        <v/>
      </c>
      <c r="S107" s="11">
        <f>IF(AND($A107="",$B107="",$D107=""),"",IF(AND($A107&lt;&gt;"",COUNTIF('1. Plot &amp; Site Log'!$A$5:$A$64,$A107)=0),"Plot ID not in the Plot &amp; Site Log. ","")&amp;IF(AND(ISNUMBER($D107),ISNUMBER($E107),$E107&lt;=$D107),"Bottom depth is not below top depth. ","")&amp;IF($L107="Not confirmed","Bulk-density basis not confirmed with the lab — the coarse-fragment correction may be wrong or doubled. ","")&amp;IF(AND(ISNUMBER($M107),OR($M107&lt;QC_BD_MIN,$M107&gt;QC_BD_MAX)),"Bulk density outside the plausible range for a mineral grassland soil. ","")&amp;IF(AND(ISNUMBER($N107),$N107&gt;QC_CARBON_PCT_MAX),"Organic carbon above the QC ceiling — check units, and whether this is an organic horizon. ","")&amp;IF(AND(ISNUMBER($J107),$J107&lt;QC_RECOVERY_MIN),"Recovered less than the QC minimum of the depth driven — the increments may not sit where you think. Do NOT stretch them back out. ","")&amp;IF(AND(ISNUMBER($K107),$K107&gt;0,$L107="Fine earth / total volume"),"Coarse fragments recorded and the lab basis already accounts for them — no further correction applied, which is correct. ",""))</f>
        <v/>
      </c>
      <c r="T107" s="6" t="n"/>
      <c r="U107" s="9">
        <f>IF($B107="",0,IF(COUNTIFS($B$5:$B107,$B107)=1,1,0))</f>
        <v/>
      </c>
    </row>
    <row r="108">
      <c r="A108" s="6" t="n"/>
      <c r="B108" s="6" t="n"/>
      <c r="C108" s="6" t="n"/>
      <c r="D108" s="6" t="n"/>
      <c r="E108" s="6" t="n"/>
      <c r="F108" s="9">
        <f>IF(OR($D108="",$E108=""),"",$E108-$D108)</f>
        <v/>
      </c>
      <c r="G108" s="6" t="n"/>
      <c r="H108" s="6" t="n"/>
      <c r="I108" s="6" t="n"/>
      <c r="J108" s="9">
        <f>IF(OR(NOT(ISNUMBER($H108)),NOT(ISNUMBER($I108)),$H108=0),"",$I108/$H108)</f>
        <v/>
      </c>
      <c r="K108" s="6" t="n"/>
      <c r="L108" s="8" t="n"/>
      <c r="M108" s="7" t="n"/>
      <c r="N108" s="7" t="n"/>
      <c r="O108" s="9">
        <f>IF(NOT(ISNUMBER($M108)),"",IF($L108="Fine earth / fine-earth volume",$M108*(1-IF(ISNUMBER($K108),$K108,0)/100),$M108))</f>
        <v/>
      </c>
      <c r="P108" s="9">
        <f>IF(OR(NOT(ISNUMBER($O108)),NOT(ISNUMBER($N108)),NOT(ISNUMBER($F108))),"",$O108*($N108/100)*$F108*10)</f>
        <v/>
      </c>
      <c r="Q108" s="9">
        <f>IF(OR(NOT(ISNUMBER($D108)),NOT(ISNUMBER($E108))),"",MAX(0,MIN($E108,SOIL_REPORTING_DEPTH_CM)-MIN($D108,SOIL_REPORTING_DEPTH_CM)))</f>
        <v/>
      </c>
      <c r="R108" s="9">
        <f>IF(OR(NOT(ISNUMBER($O108)),NOT(ISNUMBER($N108)),NOT(ISNUMBER($Q108))),"",$O108*($N108/100)*$Q108*10)</f>
        <v/>
      </c>
      <c r="S108" s="11">
        <f>IF(AND($A108="",$B108="",$D108=""),"",IF(AND($A108&lt;&gt;"",COUNTIF('1. Plot &amp; Site Log'!$A$5:$A$64,$A108)=0),"Plot ID not in the Plot &amp; Site Log. ","")&amp;IF(AND(ISNUMBER($D108),ISNUMBER($E108),$E108&lt;=$D108),"Bottom depth is not below top depth. ","")&amp;IF($L108="Not confirmed","Bulk-density basis not confirmed with the lab — the coarse-fragment correction may be wrong or doubled. ","")&amp;IF(AND(ISNUMBER($M108),OR($M108&lt;QC_BD_MIN,$M108&gt;QC_BD_MAX)),"Bulk density outside the plausible range for a mineral grassland soil. ","")&amp;IF(AND(ISNUMBER($N108),$N108&gt;QC_CARBON_PCT_MAX),"Organic carbon above the QC ceiling — check units, and whether this is an organic horizon. ","")&amp;IF(AND(ISNUMBER($J108),$J108&lt;QC_RECOVERY_MIN),"Recovered less than the QC minimum of the depth driven — the increments may not sit where you think. Do NOT stretch them back out. ","")&amp;IF(AND(ISNUMBER($K108),$K108&gt;0,$L108="Fine earth / total volume"),"Coarse fragments recorded and the lab basis already accounts for them — no further correction applied, which is correct. ",""))</f>
        <v/>
      </c>
      <c r="T108" s="6" t="n"/>
      <c r="U108" s="9">
        <f>IF($B108="",0,IF(COUNTIFS($B$5:$B108,$B108)=1,1,0))</f>
        <v/>
      </c>
    </row>
    <row r="109">
      <c r="A109" s="6" t="n"/>
      <c r="B109" s="6" t="n"/>
      <c r="C109" s="6" t="n"/>
      <c r="D109" s="6" t="n"/>
      <c r="E109" s="6" t="n"/>
      <c r="F109" s="9">
        <f>IF(OR($D109="",$E109=""),"",$E109-$D109)</f>
        <v/>
      </c>
      <c r="G109" s="6" t="n"/>
      <c r="H109" s="6" t="n"/>
      <c r="I109" s="6" t="n"/>
      <c r="J109" s="9">
        <f>IF(OR(NOT(ISNUMBER($H109)),NOT(ISNUMBER($I109)),$H109=0),"",$I109/$H109)</f>
        <v/>
      </c>
      <c r="K109" s="6" t="n"/>
      <c r="L109" s="8" t="n"/>
      <c r="M109" s="7" t="n"/>
      <c r="N109" s="7" t="n"/>
      <c r="O109" s="9">
        <f>IF(NOT(ISNUMBER($M109)),"",IF($L109="Fine earth / fine-earth volume",$M109*(1-IF(ISNUMBER($K109),$K109,0)/100),$M109))</f>
        <v/>
      </c>
      <c r="P109" s="9">
        <f>IF(OR(NOT(ISNUMBER($O109)),NOT(ISNUMBER($N109)),NOT(ISNUMBER($F109))),"",$O109*($N109/100)*$F109*10)</f>
        <v/>
      </c>
      <c r="Q109" s="9">
        <f>IF(OR(NOT(ISNUMBER($D109)),NOT(ISNUMBER($E109))),"",MAX(0,MIN($E109,SOIL_REPORTING_DEPTH_CM)-MIN($D109,SOIL_REPORTING_DEPTH_CM)))</f>
        <v/>
      </c>
      <c r="R109" s="9">
        <f>IF(OR(NOT(ISNUMBER($O109)),NOT(ISNUMBER($N109)),NOT(ISNUMBER($Q109))),"",$O109*($N109/100)*$Q109*10)</f>
        <v/>
      </c>
      <c r="S109" s="11">
        <f>IF(AND($A109="",$B109="",$D109=""),"",IF(AND($A109&lt;&gt;"",COUNTIF('1. Plot &amp; Site Log'!$A$5:$A$64,$A109)=0),"Plot ID not in the Plot &amp; Site Log. ","")&amp;IF(AND(ISNUMBER($D109),ISNUMBER($E109),$E109&lt;=$D109),"Bottom depth is not below top depth. ","")&amp;IF($L109="Not confirmed","Bulk-density basis not confirmed with the lab — the coarse-fragment correction may be wrong or doubled. ","")&amp;IF(AND(ISNUMBER($M109),OR($M109&lt;QC_BD_MIN,$M109&gt;QC_BD_MAX)),"Bulk density outside the plausible range for a mineral grassland soil. ","")&amp;IF(AND(ISNUMBER($N109),$N109&gt;QC_CARBON_PCT_MAX),"Organic carbon above the QC ceiling — check units, and whether this is an organic horizon. ","")&amp;IF(AND(ISNUMBER($J109),$J109&lt;QC_RECOVERY_MIN),"Recovered less than the QC minimum of the depth driven — the increments may not sit where you think. Do NOT stretch them back out. ","")&amp;IF(AND(ISNUMBER($K109),$K109&gt;0,$L109="Fine earth / total volume"),"Coarse fragments recorded and the lab basis already accounts for them — no further correction applied, which is correct. ",""))</f>
        <v/>
      </c>
      <c r="T109" s="6" t="n"/>
      <c r="U109" s="9">
        <f>IF($B109="",0,IF(COUNTIFS($B$5:$B109,$B109)=1,1,0))</f>
        <v/>
      </c>
    </row>
    <row r="110">
      <c r="A110" s="6" t="n"/>
      <c r="B110" s="6" t="n"/>
      <c r="C110" s="6" t="n"/>
      <c r="D110" s="6" t="n"/>
      <c r="E110" s="6" t="n"/>
      <c r="F110" s="9">
        <f>IF(OR($D110="",$E110=""),"",$E110-$D110)</f>
        <v/>
      </c>
      <c r="G110" s="6" t="n"/>
      <c r="H110" s="6" t="n"/>
      <c r="I110" s="6" t="n"/>
      <c r="J110" s="9">
        <f>IF(OR(NOT(ISNUMBER($H110)),NOT(ISNUMBER($I110)),$H110=0),"",$I110/$H110)</f>
        <v/>
      </c>
      <c r="K110" s="6" t="n"/>
      <c r="L110" s="8" t="n"/>
      <c r="M110" s="7" t="n"/>
      <c r="N110" s="7" t="n"/>
      <c r="O110" s="9">
        <f>IF(NOT(ISNUMBER($M110)),"",IF($L110="Fine earth / fine-earth volume",$M110*(1-IF(ISNUMBER($K110),$K110,0)/100),$M110))</f>
        <v/>
      </c>
      <c r="P110" s="9">
        <f>IF(OR(NOT(ISNUMBER($O110)),NOT(ISNUMBER($N110)),NOT(ISNUMBER($F110))),"",$O110*($N110/100)*$F110*10)</f>
        <v/>
      </c>
      <c r="Q110" s="9">
        <f>IF(OR(NOT(ISNUMBER($D110)),NOT(ISNUMBER($E110))),"",MAX(0,MIN($E110,SOIL_REPORTING_DEPTH_CM)-MIN($D110,SOIL_REPORTING_DEPTH_CM)))</f>
        <v/>
      </c>
      <c r="R110" s="9">
        <f>IF(OR(NOT(ISNUMBER($O110)),NOT(ISNUMBER($N110)),NOT(ISNUMBER($Q110))),"",$O110*($N110/100)*$Q110*10)</f>
        <v/>
      </c>
      <c r="S110" s="11">
        <f>IF(AND($A110="",$B110="",$D110=""),"",IF(AND($A110&lt;&gt;"",COUNTIF('1. Plot &amp; Site Log'!$A$5:$A$64,$A110)=0),"Plot ID not in the Plot &amp; Site Log. ","")&amp;IF(AND(ISNUMBER($D110),ISNUMBER($E110),$E110&lt;=$D110),"Bottom depth is not below top depth. ","")&amp;IF($L110="Not confirmed","Bulk-density basis not confirmed with the lab — the coarse-fragment correction may be wrong or doubled. ","")&amp;IF(AND(ISNUMBER($M110),OR($M110&lt;QC_BD_MIN,$M110&gt;QC_BD_MAX)),"Bulk density outside the plausible range for a mineral grassland soil. ","")&amp;IF(AND(ISNUMBER($N110),$N110&gt;QC_CARBON_PCT_MAX),"Organic carbon above the QC ceiling — check units, and whether this is an organic horizon. ","")&amp;IF(AND(ISNUMBER($J110),$J110&lt;QC_RECOVERY_MIN),"Recovered less than the QC minimum of the depth driven — the increments may not sit where you think. Do NOT stretch them back out. ","")&amp;IF(AND(ISNUMBER($K110),$K110&gt;0,$L110="Fine earth / total volume"),"Coarse fragments recorded and the lab basis already accounts for them — no further correction applied, which is correct. ",""))</f>
        <v/>
      </c>
      <c r="T110" s="6" t="n"/>
      <c r="U110" s="9">
        <f>IF($B110="",0,IF(COUNTIFS($B$5:$B110,$B110)=1,1,0))</f>
        <v/>
      </c>
    </row>
    <row r="111">
      <c r="A111" s="6" t="n"/>
      <c r="B111" s="6" t="n"/>
      <c r="C111" s="6" t="n"/>
      <c r="D111" s="6" t="n"/>
      <c r="E111" s="6" t="n"/>
      <c r="F111" s="9">
        <f>IF(OR($D111="",$E111=""),"",$E111-$D111)</f>
        <v/>
      </c>
      <c r="G111" s="6" t="n"/>
      <c r="H111" s="6" t="n"/>
      <c r="I111" s="6" t="n"/>
      <c r="J111" s="9">
        <f>IF(OR(NOT(ISNUMBER($H111)),NOT(ISNUMBER($I111)),$H111=0),"",$I111/$H111)</f>
        <v/>
      </c>
      <c r="K111" s="6" t="n"/>
      <c r="L111" s="8" t="n"/>
      <c r="M111" s="7" t="n"/>
      <c r="N111" s="7" t="n"/>
      <c r="O111" s="9">
        <f>IF(NOT(ISNUMBER($M111)),"",IF($L111="Fine earth / fine-earth volume",$M111*(1-IF(ISNUMBER($K111),$K111,0)/100),$M111))</f>
        <v/>
      </c>
      <c r="P111" s="9">
        <f>IF(OR(NOT(ISNUMBER($O111)),NOT(ISNUMBER($N111)),NOT(ISNUMBER($F111))),"",$O111*($N111/100)*$F111*10)</f>
        <v/>
      </c>
      <c r="Q111" s="9">
        <f>IF(OR(NOT(ISNUMBER($D111)),NOT(ISNUMBER($E111))),"",MAX(0,MIN($E111,SOIL_REPORTING_DEPTH_CM)-MIN($D111,SOIL_REPORTING_DEPTH_CM)))</f>
        <v/>
      </c>
      <c r="R111" s="9">
        <f>IF(OR(NOT(ISNUMBER($O111)),NOT(ISNUMBER($N111)),NOT(ISNUMBER($Q111))),"",$O111*($N111/100)*$Q111*10)</f>
        <v/>
      </c>
      <c r="S111" s="11">
        <f>IF(AND($A111="",$B111="",$D111=""),"",IF(AND($A111&lt;&gt;"",COUNTIF('1. Plot &amp; Site Log'!$A$5:$A$64,$A111)=0),"Plot ID not in the Plot &amp; Site Log. ","")&amp;IF(AND(ISNUMBER($D111),ISNUMBER($E111),$E111&lt;=$D111),"Bottom depth is not below top depth. ","")&amp;IF($L111="Not confirmed","Bulk-density basis not confirmed with the lab — the coarse-fragment correction may be wrong or doubled. ","")&amp;IF(AND(ISNUMBER($M111),OR($M111&lt;QC_BD_MIN,$M111&gt;QC_BD_MAX)),"Bulk density outside the plausible range for a mineral grassland soil. ","")&amp;IF(AND(ISNUMBER($N111),$N111&gt;QC_CARBON_PCT_MAX),"Organic carbon above the QC ceiling — check units, and whether this is an organic horizon. ","")&amp;IF(AND(ISNUMBER($J111),$J111&lt;QC_RECOVERY_MIN),"Recovered less than the QC minimum of the depth driven — the increments may not sit where you think. Do NOT stretch them back out. ","")&amp;IF(AND(ISNUMBER($K111),$K111&gt;0,$L111="Fine earth / total volume"),"Coarse fragments recorded and the lab basis already accounts for them — no further correction applied, which is correct. ",""))</f>
        <v/>
      </c>
      <c r="T111" s="6" t="n"/>
      <c r="U111" s="9">
        <f>IF($B111="",0,IF(COUNTIFS($B$5:$B111,$B111)=1,1,0))</f>
        <v/>
      </c>
    </row>
    <row r="112">
      <c r="A112" s="6" t="n"/>
      <c r="B112" s="6" t="n"/>
      <c r="C112" s="6" t="n"/>
      <c r="D112" s="6" t="n"/>
      <c r="E112" s="6" t="n"/>
      <c r="F112" s="9">
        <f>IF(OR($D112="",$E112=""),"",$E112-$D112)</f>
        <v/>
      </c>
      <c r="G112" s="6" t="n"/>
      <c r="H112" s="6" t="n"/>
      <c r="I112" s="6" t="n"/>
      <c r="J112" s="9">
        <f>IF(OR(NOT(ISNUMBER($H112)),NOT(ISNUMBER($I112)),$H112=0),"",$I112/$H112)</f>
        <v/>
      </c>
      <c r="K112" s="6" t="n"/>
      <c r="L112" s="8" t="n"/>
      <c r="M112" s="7" t="n"/>
      <c r="N112" s="7" t="n"/>
      <c r="O112" s="9">
        <f>IF(NOT(ISNUMBER($M112)),"",IF($L112="Fine earth / fine-earth volume",$M112*(1-IF(ISNUMBER($K112),$K112,0)/100),$M112))</f>
        <v/>
      </c>
      <c r="P112" s="9">
        <f>IF(OR(NOT(ISNUMBER($O112)),NOT(ISNUMBER($N112)),NOT(ISNUMBER($F112))),"",$O112*($N112/100)*$F112*10)</f>
        <v/>
      </c>
      <c r="Q112" s="9">
        <f>IF(OR(NOT(ISNUMBER($D112)),NOT(ISNUMBER($E112))),"",MAX(0,MIN($E112,SOIL_REPORTING_DEPTH_CM)-MIN($D112,SOIL_REPORTING_DEPTH_CM)))</f>
        <v/>
      </c>
      <c r="R112" s="9">
        <f>IF(OR(NOT(ISNUMBER($O112)),NOT(ISNUMBER($N112)),NOT(ISNUMBER($Q112))),"",$O112*($N112/100)*$Q112*10)</f>
        <v/>
      </c>
      <c r="S112" s="11">
        <f>IF(AND($A112="",$B112="",$D112=""),"",IF(AND($A112&lt;&gt;"",COUNTIF('1. Plot &amp; Site Log'!$A$5:$A$64,$A112)=0),"Plot ID not in the Plot &amp; Site Log. ","")&amp;IF(AND(ISNUMBER($D112),ISNUMBER($E112),$E112&lt;=$D112),"Bottom depth is not below top depth. ","")&amp;IF($L112="Not confirmed","Bulk-density basis not confirmed with the lab — the coarse-fragment correction may be wrong or doubled. ","")&amp;IF(AND(ISNUMBER($M112),OR($M112&lt;QC_BD_MIN,$M112&gt;QC_BD_MAX)),"Bulk density outside the plausible range for a mineral grassland soil. ","")&amp;IF(AND(ISNUMBER($N112),$N112&gt;QC_CARBON_PCT_MAX),"Organic carbon above the QC ceiling — check units, and whether this is an organic horizon. ","")&amp;IF(AND(ISNUMBER($J112),$J112&lt;QC_RECOVERY_MIN),"Recovered less than the QC minimum of the depth driven — the increments may not sit where you think. Do NOT stretch them back out. ","")&amp;IF(AND(ISNUMBER($K112),$K112&gt;0,$L112="Fine earth / total volume"),"Coarse fragments recorded and the lab basis already accounts for them — no further correction applied, which is correct. ",""))</f>
        <v/>
      </c>
      <c r="T112" s="6" t="n"/>
      <c r="U112" s="9">
        <f>IF($B112="",0,IF(COUNTIFS($B$5:$B112,$B112)=1,1,0))</f>
        <v/>
      </c>
    </row>
    <row r="113">
      <c r="A113" s="6" t="n"/>
      <c r="B113" s="6" t="n"/>
      <c r="C113" s="6" t="n"/>
      <c r="D113" s="6" t="n"/>
      <c r="E113" s="6" t="n"/>
      <c r="F113" s="9">
        <f>IF(OR($D113="",$E113=""),"",$E113-$D113)</f>
        <v/>
      </c>
      <c r="G113" s="6" t="n"/>
      <c r="H113" s="6" t="n"/>
      <c r="I113" s="6" t="n"/>
      <c r="J113" s="9">
        <f>IF(OR(NOT(ISNUMBER($H113)),NOT(ISNUMBER($I113)),$H113=0),"",$I113/$H113)</f>
        <v/>
      </c>
      <c r="K113" s="6" t="n"/>
      <c r="L113" s="8" t="n"/>
      <c r="M113" s="7" t="n"/>
      <c r="N113" s="7" t="n"/>
      <c r="O113" s="9">
        <f>IF(NOT(ISNUMBER($M113)),"",IF($L113="Fine earth / fine-earth volume",$M113*(1-IF(ISNUMBER($K113),$K113,0)/100),$M113))</f>
        <v/>
      </c>
      <c r="P113" s="9">
        <f>IF(OR(NOT(ISNUMBER($O113)),NOT(ISNUMBER($N113)),NOT(ISNUMBER($F113))),"",$O113*($N113/100)*$F113*10)</f>
        <v/>
      </c>
      <c r="Q113" s="9">
        <f>IF(OR(NOT(ISNUMBER($D113)),NOT(ISNUMBER($E113))),"",MAX(0,MIN($E113,SOIL_REPORTING_DEPTH_CM)-MIN($D113,SOIL_REPORTING_DEPTH_CM)))</f>
        <v/>
      </c>
      <c r="R113" s="9">
        <f>IF(OR(NOT(ISNUMBER($O113)),NOT(ISNUMBER($N113)),NOT(ISNUMBER($Q113))),"",$O113*($N113/100)*$Q113*10)</f>
        <v/>
      </c>
      <c r="S113" s="11">
        <f>IF(AND($A113="",$B113="",$D113=""),"",IF(AND($A113&lt;&gt;"",COUNTIF('1. Plot &amp; Site Log'!$A$5:$A$64,$A113)=0),"Plot ID not in the Plot &amp; Site Log. ","")&amp;IF(AND(ISNUMBER($D113),ISNUMBER($E113),$E113&lt;=$D113),"Bottom depth is not below top depth. ","")&amp;IF($L113="Not confirmed","Bulk-density basis not confirmed with the lab — the coarse-fragment correction may be wrong or doubled. ","")&amp;IF(AND(ISNUMBER($M113),OR($M113&lt;QC_BD_MIN,$M113&gt;QC_BD_MAX)),"Bulk density outside the plausible range for a mineral grassland soil. ","")&amp;IF(AND(ISNUMBER($N113),$N113&gt;QC_CARBON_PCT_MAX),"Organic carbon above the QC ceiling — check units, and whether this is an organic horizon. ","")&amp;IF(AND(ISNUMBER($J113),$J113&lt;QC_RECOVERY_MIN),"Recovered less than the QC minimum of the depth driven — the increments may not sit where you think. Do NOT stretch them back out. ","")&amp;IF(AND(ISNUMBER($K113),$K113&gt;0,$L113="Fine earth / total volume"),"Coarse fragments recorded and the lab basis already accounts for them — no further correction applied, which is correct. ",""))</f>
        <v/>
      </c>
      <c r="T113" s="6" t="n"/>
      <c r="U113" s="9">
        <f>IF($B113="",0,IF(COUNTIFS($B$5:$B113,$B113)=1,1,0))</f>
        <v/>
      </c>
    </row>
    <row r="114">
      <c r="A114" s="6" t="n"/>
      <c r="B114" s="6" t="n"/>
      <c r="C114" s="6" t="n"/>
      <c r="D114" s="6" t="n"/>
      <c r="E114" s="6" t="n"/>
      <c r="F114" s="9">
        <f>IF(OR($D114="",$E114=""),"",$E114-$D114)</f>
        <v/>
      </c>
      <c r="G114" s="6" t="n"/>
      <c r="H114" s="6" t="n"/>
      <c r="I114" s="6" t="n"/>
      <c r="J114" s="9">
        <f>IF(OR(NOT(ISNUMBER($H114)),NOT(ISNUMBER($I114)),$H114=0),"",$I114/$H114)</f>
        <v/>
      </c>
      <c r="K114" s="6" t="n"/>
      <c r="L114" s="8" t="n"/>
      <c r="M114" s="7" t="n"/>
      <c r="N114" s="7" t="n"/>
      <c r="O114" s="9">
        <f>IF(NOT(ISNUMBER($M114)),"",IF($L114="Fine earth / fine-earth volume",$M114*(1-IF(ISNUMBER($K114),$K114,0)/100),$M114))</f>
        <v/>
      </c>
      <c r="P114" s="9">
        <f>IF(OR(NOT(ISNUMBER($O114)),NOT(ISNUMBER($N114)),NOT(ISNUMBER($F114))),"",$O114*($N114/100)*$F114*10)</f>
        <v/>
      </c>
      <c r="Q114" s="9">
        <f>IF(OR(NOT(ISNUMBER($D114)),NOT(ISNUMBER($E114))),"",MAX(0,MIN($E114,SOIL_REPORTING_DEPTH_CM)-MIN($D114,SOIL_REPORTING_DEPTH_CM)))</f>
        <v/>
      </c>
      <c r="R114" s="9">
        <f>IF(OR(NOT(ISNUMBER($O114)),NOT(ISNUMBER($N114)),NOT(ISNUMBER($Q114))),"",$O114*($N114/100)*$Q114*10)</f>
        <v/>
      </c>
      <c r="S114" s="11">
        <f>IF(AND($A114="",$B114="",$D114=""),"",IF(AND($A114&lt;&gt;"",COUNTIF('1. Plot &amp; Site Log'!$A$5:$A$64,$A114)=0),"Plot ID not in the Plot &amp; Site Log. ","")&amp;IF(AND(ISNUMBER($D114),ISNUMBER($E114),$E114&lt;=$D114),"Bottom depth is not below top depth. ","")&amp;IF($L114="Not confirmed","Bulk-density basis not confirmed with the lab — the coarse-fragment correction may be wrong or doubled. ","")&amp;IF(AND(ISNUMBER($M114),OR($M114&lt;QC_BD_MIN,$M114&gt;QC_BD_MAX)),"Bulk density outside the plausible range for a mineral grassland soil. ","")&amp;IF(AND(ISNUMBER($N114),$N114&gt;QC_CARBON_PCT_MAX),"Organic carbon above the QC ceiling — check units, and whether this is an organic horizon. ","")&amp;IF(AND(ISNUMBER($J114),$J114&lt;QC_RECOVERY_MIN),"Recovered less than the QC minimum of the depth driven — the increments may not sit where you think. Do NOT stretch them back out. ","")&amp;IF(AND(ISNUMBER($K114),$K114&gt;0,$L114="Fine earth / total volume"),"Coarse fragments recorded and the lab basis already accounts for them — no further correction applied, which is correct. ",""))</f>
        <v/>
      </c>
      <c r="T114" s="6" t="n"/>
      <c r="U114" s="9">
        <f>IF($B114="",0,IF(COUNTIFS($B$5:$B114,$B114)=1,1,0))</f>
        <v/>
      </c>
    </row>
    <row r="115">
      <c r="A115" s="6" t="n"/>
      <c r="B115" s="6" t="n"/>
      <c r="C115" s="6" t="n"/>
      <c r="D115" s="6" t="n"/>
      <c r="E115" s="6" t="n"/>
      <c r="F115" s="9">
        <f>IF(OR($D115="",$E115=""),"",$E115-$D115)</f>
        <v/>
      </c>
      <c r="G115" s="6" t="n"/>
      <c r="H115" s="6" t="n"/>
      <c r="I115" s="6" t="n"/>
      <c r="J115" s="9">
        <f>IF(OR(NOT(ISNUMBER($H115)),NOT(ISNUMBER($I115)),$H115=0),"",$I115/$H115)</f>
        <v/>
      </c>
      <c r="K115" s="6" t="n"/>
      <c r="L115" s="8" t="n"/>
      <c r="M115" s="7" t="n"/>
      <c r="N115" s="7" t="n"/>
      <c r="O115" s="9">
        <f>IF(NOT(ISNUMBER($M115)),"",IF($L115="Fine earth / fine-earth volume",$M115*(1-IF(ISNUMBER($K115),$K115,0)/100),$M115))</f>
        <v/>
      </c>
      <c r="P115" s="9">
        <f>IF(OR(NOT(ISNUMBER($O115)),NOT(ISNUMBER($N115)),NOT(ISNUMBER($F115))),"",$O115*($N115/100)*$F115*10)</f>
        <v/>
      </c>
      <c r="Q115" s="9">
        <f>IF(OR(NOT(ISNUMBER($D115)),NOT(ISNUMBER($E115))),"",MAX(0,MIN($E115,SOIL_REPORTING_DEPTH_CM)-MIN($D115,SOIL_REPORTING_DEPTH_CM)))</f>
        <v/>
      </c>
      <c r="R115" s="9">
        <f>IF(OR(NOT(ISNUMBER($O115)),NOT(ISNUMBER($N115)),NOT(ISNUMBER($Q115))),"",$O115*($N115/100)*$Q115*10)</f>
        <v/>
      </c>
      <c r="S115" s="11">
        <f>IF(AND($A115="",$B115="",$D115=""),"",IF(AND($A115&lt;&gt;"",COUNTIF('1. Plot &amp; Site Log'!$A$5:$A$64,$A115)=0),"Plot ID not in the Plot &amp; Site Log. ","")&amp;IF(AND(ISNUMBER($D115),ISNUMBER($E115),$E115&lt;=$D115),"Bottom depth is not below top depth. ","")&amp;IF($L115="Not confirmed","Bulk-density basis not confirmed with the lab — the coarse-fragment correction may be wrong or doubled. ","")&amp;IF(AND(ISNUMBER($M115),OR($M115&lt;QC_BD_MIN,$M115&gt;QC_BD_MAX)),"Bulk density outside the plausible range for a mineral grassland soil. ","")&amp;IF(AND(ISNUMBER($N115),$N115&gt;QC_CARBON_PCT_MAX),"Organic carbon above the QC ceiling — check units, and whether this is an organic horizon. ","")&amp;IF(AND(ISNUMBER($J115),$J115&lt;QC_RECOVERY_MIN),"Recovered less than the QC minimum of the depth driven — the increments may not sit where you think. Do NOT stretch them back out. ","")&amp;IF(AND(ISNUMBER($K115),$K115&gt;0,$L115="Fine earth / total volume"),"Coarse fragments recorded and the lab basis already accounts for them — no further correction applied, which is correct. ",""))</f>
        <v/>
      </c>
      <c r="T115" s="6" t="n"/>
      <c r="U115" s="9">
        <f>IF($B115="",0,IF(COUNTIFS($B$5:$B115,$B115)=1,1,0))</f>
        <v/>
      </c>
    </row>
    <row r="116">
      <c r="A116" s="6" t="n"/>
      <c r="B116" s="6" t="n"/>
      <c r="C116" s="6" t="n"/>
      <c r="D116" s="6" t="n"/>
      <c r="E116" s="6" t="n"/>
      <c r="F116" s="9">
        <f>IF(OR($D116="",$E116=""),"",$E116-$D116)</f>
        <v/>
      </c>
      <c r="G116" s="6" t="n"/>
      <c r="H116" s="6" t="n"/>
      <c r="I116" s="6" t="n"/>
      <c r="J116" s="9">
        <f>IF(OR(NOT(ISNUMBER($H116)),NOT(ISNUMBER($I116)),$H116=0),"",$I116/$H116)</f>
        <v/>
      </c>
      <c r="K116" s="6" t="n"/>
      <c r="L116" s="8" t="n"/>
      <c r="M116" s="7" t="n"/>
      <c r="N116" s="7" t="n"/>
      <c r="O116" s="9">
        <f>IF(NOT(ISNUMBER($M116)),"",IF($L116="Fine earth / fine-earth volume",$M116*(1-IF(ISNUMBER($K116),$K116,0)/100),$M116))</f>
        <v/>
      </c>
      <c r="P116" s="9">
        <f>IF(OR(NOT(ISNUMBER($O116)),NOT(ISNUMBER($N116)),NOT(ISNUMBER($F116))),"",$O116*($N116/100)*$F116*10)</f>
        <v/>
      </c>
      <c r="Q116" s="9">
        <f>IF(OR(NOT(ISNUMBER($D116)),NOT(ISNUMBER($E116))),"",MAX(0,MIN($E116,SOIL_REPORTING_DEPTH_CM)-MIN($D116,SOIL_REPORTING_DEPTH_CM)))</f>
        <v/>
      </c>
      <c r="R116" s="9">
        <f>IF(OR(NOT(ISNUMBER($O116)),NOT(ISNUMBER($N116)),NOT(ISNUMBER($Q116))),"",$O116*($N116/100)*$Q116*10)</f>
        <v/>
      </c>
      <c r="S116" s="11">
        <f>IF(AND($A116="",$B116="",$D116=""),"",IF(AND($A116&lt;&gt;"",COUNTIF('1. Plot &amp; Site Log'!$A$5:$A$64,$A116)=0),"Plot ID not in the Plot &amp; Site Log. ","")&amp;IF(AND(ISNUMBER($D116),ISNUMBER($E116),$E116&lt;=$D116),"Bottom depth is not below top depth. ","")&amp;IF($L116="Not confirmed","Bulk-density basis not confirmed with the lab — the coarse-fragment correction may be wrong or doubled. ","")&amp;IF(AND(ISNUMBER($M116),OR($M116&lt;QC_BD_MIN,$M116&gt;QC_BD_MAX)),"Bulk density outside the plausible range for a mineral grassland soil. ","")&amp;IF(AND(ISNUMBER($N116),$N116&gt;QC_CARBON_PCT_MAX),"Organic carbon above the QC ceiling — check units, and whether this is an organic horizon. ","")&amp;IF(AND(ISNUMBER($J116),$J116&lt;QC_RECOVERY_MIN),"Recovered less than the QC minimum of the depth driven — the increments may not sit where you think. Do NOT stretch them back out. ","")&amp;IF(AND(ISNUMBER($K116),$K116&gt;0,$L116="Fine earth / total volume"),"Coarse fragments recorded and the lab basis already accounts for them — no further correction applied, which is correct. ",""))</f>
        <v/>
      </c>
      <c r="T116" s="6" t="n"/>
      <c r="U116" s="9">
        <f>IF($B116="",0,IF(COUNTIFS($B$5:$B116,$B116)=1,1,0))</f>
        <v/>
      </c>
    </row>
    <row r="117">
      <c r="A117" s="6" t="n"/>
      <c r="B117" s="6" t="n"/>
      <c r="C117" s="6" t="n"/>
      <c r="D117" s="6" t="n"/>
      <c r="E117" s="6" t="n"/>
      <c r="F117" s="9">
        <f>IF(OR($D117="",$E117=""),"",$E117-$D117)</f>
        <v/>
      </c>
      <c r="G117" s="6" t="n"/>
      <c r="H117" s="6" t="n"/>
      <c r="I117" s="6" t="n"/>
      <c r="J117" s="9">
        <f>IF(OR(NOT(ISNUMBER($H117)),NOT(ISNUMBER($I117)),$H117=0),"",$I117/$H117)</f>
        <v/>
      </c>
      <c r="K117" s="6" t="n"/>
      <c r="L117" s="8" t="n"/>
      <c r="M117" s="7" t="n"/>
      <c r="N117" s="7" t="n"/>
      <c r="O117" s="9">
        <f>IF(NOT(ISNUMBER($M117)),"",IF($L117="Fine earth / fine-earth volume",$M117*(1-IF(ISNUMBER($K117),$K117,0)/100),$M117))</f>
        <v/>
      </c>
      <c r="P117" s="9">
        <f>IF(OR(NOT(ISNUMBER($O117)),NOT(ISNUMBER($N117)),NOT(ISNUMBER($F117))),"",$O117*($N117/100)*$F117*10)</f>
        <v/>
      </c>
      <c r="Q117" s="9">
        <f>IF(OR(NOT(ISNUMBER($D117)),NOT(ISNUMBER($E117))),"",MAX(0,MIN($E117,SOIL_REPORTING_DEPTH_CM)-MIN($D117,SOIL_REPORTING_DEPTH_CM)))</f>
        <v/>
      </c>
      <c r="R117" s="9">
        <f>IF(OR(NOT(ISNUMBER($O117)),NOT(ISNUMBER($N117)),NOT(ISNUMBER($Q117))),"",$O117*($N117/100)*$Q117*10)</f>
        <v/>
      </c>
      <c r="S117" s="11">
        <f>IF(AND($A117="",$B117="",$D117=""),"",IF(AND($A117&lt;&gt;"",COUNTIF('1. Plot &amp; Site Log'!$A$5:$A$64,$A117)=0),"Plot ID not in the Plot &amp; Site Log. ","")&amp;IF(AND(ISNUMBER($D117),ISNUMBER($E117),$E117&lt;=$D117),"Bottom depth is not below top depth. ","")&amp;IF($L117="Not confirmed","Bulk-density basis not confirmed with the lab — the coarse-fragment correction may be wrong or doubled. ","")&amp;IF(AND(ISNUMBER($M117),OR($M117&lt;QC_BD_MIN,$M117&gt;QC_BD_MAX)),"Bulk density outside the plausible range for a mineral grassland soil. ","")&amp;IF(AND(ISNUMBER($N117),$N117&gt;QC_CARBON_PCT_MAX),"Organic carbon above the QC ceiling — check units, and whether this is an organic horizon. ","")&amp;IF(AND(ISNUMBER($J117),$J117&lt;QC_RECOVERY_MIN),"Recovered less than the QC minimum of the depth driven — the increments may not sit where you think. Do NOT stretch them back out. ","")&amp;IF(AND(ISNUMBER($K117),$K117&gt;0,$L117="Fine earth / total volume"),"Coarse fragments recorded and the lab basis already accounts for them — no further correction applied, which is correct. ",""))</f>
        <v/>
      </c>
      <c r="T117" s="6" t="n"/>
      <c r="U117" s="9">
        <f>IF($B117="",0,IF(COUNTIFS($B$5:$B117,$B117)=1,1,0))</f>
        <v/>
      </c>
    </row>
    <row r="118">
      <c r="A118" s="6" t="n"/>
      <c r="B118" s="6" t="n"/>
      <c r="C118" s="6" t="n"/>
      <c r="D118" s="6" t="n"/>
      <c r="E118" s="6" t="n"/>
      <c r="F118" s="9">
        <f>IF(OR($D118="",$E118=""),"",$E118-$D118)</f>
        <v/>
      </c>
      <c r="G118" s="6" t="n"/>
      <c r="H118" s="6" t="n"/>
      <c r="I118" s="6" t="n"/>
      <c r="J118" s="9">
        <f>IF(OR(NOT(ISNUMBER($H118)),NOT(ISNUMBER($I118)),$H118=0),"",$I118/$H118)</f>
        <v/>
      </c>
      <c r="K118" s="6" t="n"/>
      <c r="L118" s="8" t="n"/>
      <c r="M118" s="7" t="n"/>
      <c r="N118" s="7" t="n"/>
      <c r="O118" s="9">
        <f>IF(NOT(ISNUMBER($M118)),"",IF($L118="Fine earth / fine-earth volume",$M118*(1-IF(ISNUMBER($K118),$K118,0)/100),$M118))</f>
        <v/>
      </c>
      <c r="P118" s="9">
        <f>IF(OR(NOT(ISNUMBER($O118)),NOT(ISNUMBER($N118)),NOT(ISNUMBER($F118))),"",$O118*($N118/100)*$F118*10)</f>
        <v/>
      </c>
      <c r="Q118" s="9">
        <f>IF(OR(NOT(ISNUMBER($D118)),NOT(ISNUMBER($E118))),"",MAX(0,MIN($E118,SOIL_REPORTING_DEPTH_CM)-MIN($D118,SOIL_REPORTING_DEPTH_CM)))</f>
        <v/>
      </c>
      <c r="R118" s="9">
        <f>IF(OR(NOT(ISNUMBER($O118)),NOT(ISNUMBER($N118)),NOT(ISNUMBER($Q118))),"",$O118*($N118/100)*$Q118*10)</f>
        <v/>
      </c>
      <c r="S118" s="11">
        <f>IF(AND($A118="",$B118="",$D118=""),"",IF(AND($A118&lt;&gt;"",COUNTIF('1. Plot &amp; Site Log'!$A$5:$A$64,$A118)=0),"Plot ID not in the Plot &amp; Site Log. ","")&amp;IF(AND(ISNUMBER($D118),ISNUMBER($E118),$E118&lt;=$D118),"Bottom depth is not below top depth. ","")&amp;IF($L118="Not confirmed","Bulk-density basis not confirmed with the lab — the coarse-fragment correction may be wrong or doubled. ","")&amp;IF(AND(ISNUMBER($M118),OR($M118&lt;QC_BD_MIN,$M118&gt;QC_BD_MAX)),"Bulk density outside the plausible range for a mineral grassland soil. ","")&amp;IF(AND(ISNUMBER($N118),$N118&gt;QC_CARBON_PCT_MAX),"Organic carbon above the QC ceiling — check units, and whether this is an organic horizon. ","")&amp;IF(AND(ISNUMBER($J118),$J118&lt;QC_RECOVERY_MIN),"Recovered less than the QC minimum of the depth driven — the increments may not sit where you think. Do NOT stretch them back out. ","")&amp;IF(AND(ISNUMBER($K118),$K118&gt;0,$L118="Fine earth / total volume"),"Coarse fragments recorded and the lab basis already accounts for them — no further correction applied, which is correct. ",""))</f>
        <v/>
      </c>
      <c r="T118" s="6" t="n"/>
      <c r="U118" s="9">
        <f>IF($B118="",0,IF(COUNTIFS($B$5:$B118,$B118)=1,1,0))</f>
        <v/>
      </c>
    </row>
    <row r="119">
      <c r="A119" s="6" t="n"/>
      <c r="B119" s="6" t="n"/>
      <c r="C119" s="6" t="n"/>
      <c r="D119" s="6" t="n"/>
      <c r="E119" s="6" t="n"/>
      <c r="F119" s="9">
        <f>IF(OR($D119="",$E119=""),"",$E119-$D119)</f>
        <v/>
      </c>
      <c r="G119" s="6" t="n"/>
      <c r="H119" s="6" t="n"/>
      <c r="I119" s="6" t="n"/>
      <c r="J119" s="9">
        <f>IF(OR(NOT(ISNUMBER($H119)),NOT(ISNUMBER($I119)),$H119=0),"",$I119/$H119)</f>
        <v/>
      </c>
      <c r="K119" s="6" t="n"/>
      <c r="L119" s="8" t="n"/>
      <c r="M119" s="7" t="n"/>
      <c r="N119" s="7" t="n"/>
      <c r="O119" s="9">
        <f>IF(NOT(ISNUMBER($M119)),"",IF($L119="Fine earth / fine-earth volume",$M119*(1-IF(ISNUMBER($K119),$K119,0)/100),$M119))</f>
        <v/>
      </c>
      <c r="P119" s="9">
        <f>IF(OR(NOT(ISNUMBER($O119)),NOT(ISNUMBER($N119)),NOT(ISNUMBER($F119))),"",$O119*($N119/100)*$F119*10)</f>
        <v/>
      </c>
      <c r="Q119" s="9">
        <f>IF(OR(NOT(ISNUMBER($D119)),NOT(ISNUMBER($E119))),"",MAX(0,MIN($E119,SOIL_REPORTING_DEPTH_CM)-MIN($D119,SOIL_REPORTING_DEPTH_CM)))</f>
        <v/>
      </c>
      <c r="R119" s="9">
        <f>IF(OR(NOT(ISNUMBER($O119)),NOT(ISNUMBER($N119)),NOT(ISNUMBER($Q119))),"",$O119*($N119/100)*$Q119*10)</f>
        <v/>
      </c>
      <c r="S119" s="11">
        <f>IF(AND($A119="",$B119="",$D119=""),"",IF(AND($A119&lt;&gt;"",COUNTIF('1. Plot &amp; Site Log'!$A$5:$A$64,$A119)=0),"Plot ID not in the Plot &amp; Site Log. ","")&amp;IF(AND(ISNUMBER($D119),ISNUMBER($E119),$E119&lt;=$D119),"Bottom depth is not below top depth. ","")&amp;IF($L119="Not confirmed","Bulk-density basis not confirmed with the lab — the coarse-fragment correction may be wrong or doubled. ","")&amp;IF(AND(ISNUMBER($M119),OR($M119&lt;QC_BD_MIN,$M119&gt;QC_BD_MAX)),"Bulk density outside the plausible range for a mineral grassland soil. ","")&amp;IF(AND(ISNUMBER($N119),$N119&gt;QC_CARBON_PCT_MAX),"Organic carbon above the QC ceiling — check units, and whether this is an organic horizon. ","")&amp;IF(AND(ISNUMBER($J119),$J119&lt;QC_RECOVERY_MIN),"Recovered less than the QC minimum of the depth driven — the increments may not sit where you think. Do NOT stretch them back out. ","")&amp;IF(AND(ISNUMBER($K119),$K119&gt;0,$L119="Fine earth / total volume"),"Coarse fragments recorded and the lab basis already accounts for them — no further correction applied, which is correct. ",""))</f>
        <v/>
      </c>
      <c r="T119" s="6" t="n"/>
      <c r="U119" s="9">
        <f>IF($B119="",0,IF(COUNTIFS($B$5:$B119,$B119)=1,1,0))</f>
        <v/>
      </c>
    </row>
    <row r="120">
      <c r="A120" s="6" t="n"/>
      <c r="B120" s="6" t="n"/>
      <c r="C120" s="6" t="n"/>
      <c r="D120" s="6" t="n"/>
      <c r="E120" s="6" t="n"/>
      <c r="F120" s="9">
        <f>IF(OR($D120="",$E120=""),"",$E120-$D120)</f>
        <v/>
      </c>
      <c r="G120" s="6" t="n"/>
      <c r="H120" s="6" t="n"/>
      <c r="I120" s="6" t="n"/>
      <c r="J120" s="9">
        <f>IF(OR(NOT(ISNUMBER($H120)),NOT(ISNUMBER($I120)),$H120=0),"",$I120/$H120)</f>
        <v/>
      </c>
      <c r="K120" s="6" t="n"/>
      <c r="L120" s="8" t="n"/>
      <c r="M120" s="7" t="n"/>
      <c r="N120" s="7" t="n"/>
      <c r="O120" s="9">
        <f>IF(NOT(ISNUMBER($M120)),"",IF($L120="Fine earth / fine-earth volume",$M120*(1-IF(ISNUMBER($K120),$K120,0)/100),$M120))</f>
        <v/>
      </c>
      <c r="P120" s="9">
        <f>IF(OR(NOT(ISNUMBER($O120)),NOT(ISNUMBER($N120)),NOT(ISNUMBER($F120))),"",$O120*($N120/100)*$F120*10)</f>
        <v/>
      </c>
      <c r="Q120" s="9">
        <f>IF(OR(NOT(ISNUMBER($D120)),NOT(ISNUMBER($E120))),"",MAX(0,MIN($E120,SOIL_REPORTING_DEPTH_CM)-MIN($D120,SOIL_REPORTING_DEPTH_CM)))</f>
        <v/>
      </c>
      <c r="R120" s="9">
        <f>IF(OR(NOT(ISNUMBER($O120)),NOT(ISNUMBER($N120)),NOT(ISNUMBER($Q120))),"",$O120*($N120/100)*$Q120*10)</f>
        <v/>
      </c>
      <c r="S120" s="11">
        <f>IF(AND($A120="",$B120="",$D120=""),"",IF(AND($A120&lt;&gt;"",COUNTIF('1. Plot &amp; Site Log'!$A$5:$A$64,$A120)=0),"Plot ID not in the Plot &amp; Site Log. ","")&amp;IF(AND(ISNUMBER($D120),ISNUMBER($E120),$E120&lt;=$D120),"Bottom depth is not below top depth. ","")&amp;IF($L120="Not confirmed","Bulk-density basis not confirmed with the lab — the coarse-fragment correction may be wrong or doubled. ","")&amp;IF(AND(ISNUMBER($M120),OR($M120&lt;QC_BD_MIN,$M120&gt;QC_BD_MAX)),"Bulk density outside the plausible range for a mineral grassland soil. ","")&amp;IF(AND(ISNUMBER($N120),$N120&gt;QC_CARBON_PCT_MAX),"Organic carbon above the QC ceiling — check units, and whether this is an organic horizon. ","")&amp;IF(AND(ISNUMBER($J120),$J120&lt;QC_RECOVERY_MIN),"Recovered less than the QC minimum of the depth driven — the increments may not sit where you think. Do NOT stretch them back out. ","")&amp;IF(AND(ISNUMBER($K120),$K120&gt;0,$L120="Fine earth / total volume"),"Coarse fragments recorded and the lab basis already accounts for them — no further correction applied, which is correct. ",""))</f>
        <v/>
      </c>
      <c r="T120" s="6" t="n"/>
      <c r="U120" s="9">
        <f>IF($B120="",0,IF(COUNTIFS($B$5:$B120,$B120)=1,1,0))</f>
        <v/>
      </c>
    </row>
    <row r="121">
      <c r="A121" s="6" t="n"/>
      <c r="B121" s="6" t="n"/>
      <c r="C121" s="6" t="n"/>
      <c r="D121" s="6" t="n"/>
      <c r="E121" s="6" t="n"/>
      <c r="F121" s="9">
        <f>IF(OR($D121="",$E121=""),"",$E121-$D121)</f>
        <v/>
      </c>
      <c r="G121" s="6" t="n"/>
      <c r="H121" s="6" t="n"/>
      <c r="I121" s="6" t="n"/>
      <c r="J121" s="9">
        <f>IF(OR(NOT(ISNUMBER($H121)),NOT(ISNUMBER($I121)),$H121=0),"",$I121/$H121)</f>
        <v/>
      </c>
      <c r="K121" s="6" t="n"/>
      <c r="L121" s="8" t="n"/>
      <c r="M121" s="7" t="n"/>
      <c r="N121" s="7" t="n"/>
      <c r="O121" s="9">
        <f>IF(NOT(ISNUMBER($M121)),"",IF($L121="Fine earth / fine-earth volume",$M121*(1-IF(ISNUMBER($K121),$K121,0)/100),$M121))</f>
        <v/>
      </c>
      <c r="P121" s="9">
        <f>IF(OR(NOT(ISNUMBER($O121)),NOT(ISNUMBER($N121)),NOT(ISNUMBER($F121))),"",$O121*($N121/100)*$F121*10)</f>
        <v/>
      </c>
      <c r="Q121" s="9">
        <f>IF(OR(NOT(ISNUMBER($D121)),NOT(ISNUMBER($E121))),"",MAX(0,MIN($E121,SOIL_REPORTING_DEPTH_CM)-MIN($D121,SOIL_REPORTING_DEPTH_CM)))</f>
        <v/>
      </c>
      <c r="R121" s="9">
        <f>IF(OR(NOT(ISNUMBER($O121)),NOT(ISNUMBER($N121)),NOT(ISNUMBER($Q121))),"",$O121*($N121/100)*$Q121*10)</f>
        <v/>
      </c>
      <c r="S121" s="11">
        <f>IF(AND($A121="",$B121="",$D121=""),"",IF(AND($A121&lt;&gt;"",COUNTIF('1. Plot &amp; Site Log'!$A$5:$A$64,$A121)=0),"Plot ID not in the Plot &amp; Site Log. ","")&amp;IF(AND(ISNUMBER($D121),ISNUMBER($E121),$E121&lt;=$D121),"Bottom depth is not below top depth. ","")&amp;IF($L121="Not confirmed","Bulk-density basis not confirmed with the lab — the coarse-fragment correction may be wrong or doubled. ","")&amp;IF(AND(ISNUMBER($M121),OR($M121&lt;QC_BD_MIN,$M121&gt;QC_BD_MAX)),"Bulk density outside the plausible range for a mineral grassland soil. ","")&amp;IF(AND(ISNUMBER($N121),$N121&gt;QC_CARBON_PCT_MAX),"Organic carbon above the QC ceiling — check units, and whether this is an organic horizon. ","")&amp;IF(AND(ISNUMBER($J121),$J121&lt;QC_RECOVERY_MIN),"Recovered less than the QC minimum of the depth driven — the increments may not sit where you think. Do NOT stretch them back out. ","")&amp;IF(AND(ISNUMBER($K121),$K121&gt;0,$L121="Fine earth / total volume"),"Coarse fragments recorded and the lab basis already accounts for them — no further correction applied, which is correct. ",""))</f>
        <v/>
      </c>
      <c r="T121" s="6" t="n"/>
      <c r="U121" s="9">
        <f>IF($B121="",0,IF(COUNTIFS($B$5:$B121,$B121)=1,1,0))</f>
        <v/>
      </c>
    </row>
    <row r="122">
      <c r="A122" s="6" t="n"/>
      <c r="B122" s="6" t="n"/>
      <c r="C122" s="6" t="n"/>
      <c r="D122" s="6" t="n"/>
      <c r="E122" s="6" t="n"/>
      <c r="F122" s="9">
        <f>IF(OR($D122="",$E122=""),"",$E122-$D122)</f>
        <v/>
      </c>
      <c r="G122" s="6" t="n"/>
      <c r="H122" s="6" t="n"/>
      <c r="I122" s="6" t="n"/>
      <c r="J122" s="9">
        <f>IF(OR(NOT(ISNUMBER($H122)),NOT(ISNUMBER($I122)),$H122=0),"",$I122/$H122)</f>
        <v/>
      </c>
      <c r="K122" s="6" t="n"/>
      <c r="L122" s="8" t="n"/>
      <c r="M122" s="7" t="n"/>
      <c r="N122" s="7" t="n"/>
      <c r="O122" s="9">
        <f>IF(NOT(ISNUMBER($M122)),"",IF($L122="Fine earth / fine-earth volume",$M122*(1-IF(ISNUMBER($K122),$K122,0)/100),$M122))</f>
        <v/>
      </c>
      <c r="P122" s="9">
        <f>IF(OR(NOT(ISNUMBER($O122)),NOT(ISNUMBER($N122)),NOT(ISNUMBER($F122))),"",$O122*($N122/100)*$F122*10)</f>
        <v/>
      </c>
      <c r="Q122" s="9">
        <f>IF(OR(NOT(ISNUMBER($D122)),NOT(ISNUMBER($E122))),"",MAX(0,MIN($E122,SOIL_REPORTING_DEPTH_CM)-MIN($D122,SOIL_REPORTING_DEPTH_CM)))</f>
        <v/>
      </c>
      <c r="R122" s="9">
        <f>IF(OR(NOT(ISNUMBER($O122)),NOT(ISNUMBER($N122)),NOT(ISNUMBER($Q122))),"",$O122*($N122/100)*$Q122*10)</f>
        <v/>
      </c>
      <c r="S122" s="11">
        <f>IF(AND($A122="",$B122="",$D122=""),"",IF(AND($A122&lt;&gt;"",COUNTIF('1. Plot &amp; Site Log'!$A$5:$A$64,$A122)=0),"Plot ID not in the Plot &amp; Site Log. ","")&amp;IF(AND(ISNUMBER($D122),ISNUMBER($E122),$E122&lt;=$D122),"Bottom depth is not below top depth. ","")&amp;IF($L122="Not confirmed","Bulk-density basis not confirmed with the lab — the coarse-fragment correction may be wrong or doubled. ","")&amp;IF(AND(ISNUMBER($M122),OR($M122&lt;QC_BD_MIN,$M122&gt;QC_BD_MAX)),"Bulk density outside the plausible range for a mineral grassland soil. ","")&amp;IF(AND(ISNUMBER($N122),$N122&gt;QC_CARBON_PCT_MAX),"Organic carbon above the QC ceiling — check units, and whether this is an organic horizon. ","")&amp;IF(AND(ISNUMBER($J122),$J122&lt;QC_RECOVERY_MIN),"Recovered less than the QC minimum of the depth driven — the increments may not sit where you think. Do NOT stretch them back out. ","")&amp;IF(AND(ISNUMBER($K122),$K122&gt;0,$L122="Fine earth / total volume"),"Coarse fragments recorded and the lab basis already accounts for them — no further correction applied, which is correct. ",""))</f>
        <v/>
      </c>
      <c r="T122" s="6" t="n"/>
      <c r="U122" s="9">
        <f>IF($B122="",0,IF(COUNTIFS($B$5:$B122,$B122)=1,1,0))</f>
        <v/>
      </c>
    </row>
    <row r="123">
      <c r="A123" s="6" t="n"/>
      <c r="B123" s="6" t="n"/>
      <c r="C123" s="6" t="n"/>
      <c r="D123" s="6" t="n"/>
      <c r="E123" s="6" t="n"/>
      <c r="F123" s="9">
        <f>IF(OR($D123="",$E123=""),"",$E123-$D123)</f>
        <v/>
      </c>
      <c r="G123" s="6" t="n"/>
      <c r="H123" s="6" t="n"/>
      <c r="I123" s="6" t="n"/>
      <c r="J123" s="9">
        <f>IF(OR(NOT(ISNUMBER($H123)),NOT(ISNUMBER($I123)),$H123=0),"",$I123/$H123)</f>
        <v/>
      </c>
      <c r="K123" s="6" t="n"/>
      <c r="L123" s="8" t="n"/>
      <c r="M123" s="7" t="n"/>
      <c r="N123" s="7" t="n"/>
      <c r="O123" s="9">
        <f>IF(NOT(ISNUMBER($M123)),"",IF($L123="Fine earth / fine-earth volume",$M123*(1-IF(ISNUMBER($K123),$K123,0)/100),$M123))</f>
        <v/>
      </c>
      <c r="P123" s="9">
        <f>IF(OR(NOT(ISNUMBER($O123)),NOT(ISNUMBER($N123)),NOT(ISNUMBER($F123))),"",$O123*($N123/100)*$F123*10)</f>
        <v/>
      </c>
      <c r="Q123" s="9">
        <f>IF(OR(NOT(ISNUMBER($D123)),NOT(ISNUMBER($E123))),"",MAX(0,MIN($E123,SOIL_REPORTING_DEPTH_CM)-MIN($D123,SOIL_REPORTING_DEPTH_CM)))</f>
        <v/>
      </c>
      <c r="R123" s="9">
        <f>IF(OR(NOT(ISNUMBER($O123)),NOT(ISNUMBER($N123)),NOT(ISNUMBER($Q123))),"",$O123*($N123/100)*$Q123*10)</f>
        <v/>
      </c>
      <c r="S123" s="11">
        <f>IF(AND($A123="",$B123="",$D123=""),"",IF(AND($A123&lt;&gt;"",COUNTIF('1. Plot &amp; Site Log'!$A$5:$A$64,$A123)=0),"Plot ID not in the Plot &amp; Site Log. ","")&amp;IF(AND(ISNUMBER($D123),ISNUMBER($E123),$E123&lt;=$D123),"Bottom depth is not below top depth. ","")&amp;IF($L123="Not confirmed","Bulk-density basis not confirmed with the lab — the coarse-fragment correction may be wrong or doubled. ","")&amp;IF(AND(ISNUMBER($M123),OR($M123&lt;QC_BD_MIN,$M123&gt;QC_BD_MAX)),"Bulk density outside the plausible range for a mineral grassland soil. ","")&amp;IF(AND(ISNUMBER($N123),$N123&gt;QC_CARBON_PCT_MAX),"Organic carbon above the QC ceiling — check units, and whether this is an organic horizon. ","")&amp;IF(AND(ISNUMBER($J123),$J123&lt;QC_RECOVERY_MIN),"Recovered less than the QC minimum of the depth driven — the increments may not sit where you think. Do NOT stretch them back out. ","")&amp;IF(AND(ISNUMBER($K123),$K123&gt;0,$L123="Fine earth / total volume"),"Coarse fragments recorded and the lab basis already accounts for them — no further correction applied, which is correct. ",""))</f>
        <v/>
      </c>
      <c r="T123" s="6" t="n"/>
      <c r="U123" s="9">
        <f>IF($B123="",0,IF(COUNTIFS($B$5:$B123,$B123)=1,1,0))</f>
        <v/>
      </c>
    </row>
    <row r="124">
      <c r="A124" s="6" t="n"/>
      <c r="B124" s="6" t="n"/>
      <c r="C124" s="6" t="n"/>
      <c r="D124" s="6" t="n"/>
      <c r="E124" s="6" t="n"/>
      <c r="F124" s="9">
        <f>IF(OR($D124="",$E124=""),"",$E124-$D124)</f>
        <v/>
      </c>
      <c r="G124" s="6" t="n"/>
      <c r="H124" s="6" t="n"/>
      <c r="I124" s="6" t="n"/>
      <c r="J124" s="9">
        <f>IF(OR(NOT(ISNUMBER($H124)),NOT(ISNUMBER($I124)),$H124=0),"",$I124/$H124)</f>
        <v/>
      </c>
      <c r="K124" s="6" t="n"/>
      <c r="L124" s="8" t="n"/>
      <c r="M124" s="7" t="n"/>
      <c r="N124" s="7" t="n"/>
      <c r="O124" s="9">
        <f>IF(NOT(ISNUMBER($M124)),"",IF($L124="Fine earth / fine-earth volume",$M124*(1-IF(ISNUMBER($K124),$K124,0)/100),$M124))</f>
        <v/>
      </c>
      <c r="P124" s="9">
        <f>IF(OR(NOT(ISNUMBER($O124)),NOT(ISNUMBER($N124)),NOT(ISNUMBER($F124))),"",$O124*($N124/100)*$F124*10)</f>
        <v/>
      </c>
      <c r="Q124" s="9">
        <f>IF(OR(NOT(ISNUMBER($D124)),NOT(ISNUMBER($E124))),"",MAX(0,MIN($E124,SOIL_REPORTING_DEPTH_CM)-MIN($D124,SOIL_REPORTING_DEPTH_CM)))</f>
        <v/>
      </c>
      <c r="R124" s="9">
        <f>IF(OR(NOT(ISNUMBER($O124)),NOT(ISNUMBER($N124)),NOT(ISNUMBER($Q124))),"",$O124*($N124/100)*$Q124*10)</f>
        <v/>
      </c>
      <c r="S124" s="11">
        <f>IF(AND($A124="",$B124="",$D124=""),"",IF(AND($A124&lt;&gt;"",COUNTIF('1. Plot &amp; Site Log'!$A$5:$A$64,$A124)=0),"Plot ID not in the Plot &amp; Site Log. ","")&amp;IF(AND(ISNUMBER($D124),ISNUMBER($E124),$E124&lt;=$D124),"Bottom depth is not below top depth. ","")&amp;IF($L124="Not confirmed","Bulk-density basis not confirmed with the lab — the coarse-fragment correction may be wrong or doubled. ","")&amp;IF(AND(ISNUMBER($M124),OR($M124&lt;QC_BD_MIN,$M124&gt;QC_BD_MAX)),"Bulk density outside the plausible range for a mineral grassland soil. ","")&amp;IF(AND(ISNUMBER($N124),$N124&gt;QC_CARBON_PCT_MAX),"Organic carbon above the QC ceiling — check units, and whether this is an organic horizon. ","")&amp;IF(AND(ISNUMBER($J124),$J124&lt;QC_RECOVERY_MIN),"Recovered less than the QC minimum of the depth driven — the increments may not sit where you think. Do NOT stretch them back out. ","")&amp;IF(AND(ISNUMBER($K124),$K124&gt;0,$L124="Fine earth / total volume"),"Coarse fragments recorded and the lab basis already accounts for them — no further correction applied, which is correct. ",""))</f>
        <v/>
      </c>
      <c r="T124" s="6" t="n"/>
      <c r="U124" s="9">
        <f>IF($B124="",0,IF(COUNTIFS($B$5:$B124,$B124)=1,1,0))</f>
        <v/>
      </c>
    </row>
    <row r="125">
      <c r="A125" s="6" t="n"/>
      <c r="B125" s="6" t="n"/>
      <c r="C125" s="6" t="n"/>
      <c r="D125" s="6" t="n"/>
      <c r="E125" s="6" t="n"/>
      <c r="F125" s="9">
        <f>IF(OR($D125="",$E125=""),"",$E125-$D125)</f>
        <v/>
      </c>
      <c r="G125" s="6" t="n"/>
      <c r="H125" s="6" t="n"/>
      <c r="I125" s="6" t="n"/>
      <c r="J125" s="9">
        <f>IF(OR(NOT(ISNUMBER($H125)),NOT(ISNUMBER($I125)),$H125=0),"",$I125/$H125)</f>
        <v/>
      </c>
      <c r="K125" s="6" t="n"/>
      <c r="L125" s="8" t="n"/>
      <c r="M125" s="7" t="n"/>
      <c r="N125" s="7" t="n"/>
      <c r="O125" s="9">
        <f>IF(NOT(ISNUMBER($M125)),"",IF($L125="Fine earth / fine-earth volume",$M125*(1-IF(ISNUMBER($K125),$K125,0)/100),$M125))</f>
        <v/>
      </c>
      <c r="P125" s="9">
        <f>IF(OR(NOT(ISNUMBER($O125)),NOT(ISNUMBER($N125)),NOT(ISNUMBER($F125))),"",$O125*($N125/100)*$F125*10)</f>
        <v/>
      </c>
      <c r="Q125" s="9">
        <f>IF(OR(NOT(ISNUMBER($D125)),NOT(ISNUMBER($E125))),"",MAX(0,MIN($E125,SOIL_REPORTING_DEPTH_CM)-MIN($D125,SOIL_REPORTING_DEPTH_CM)))</f>
        <v/>
      </c>
      <c r="R125" s="9">
        <f>IF(OR(NOT(ISNUMBER($O125)),NOT(ISNUMBER($N125)),NOT(ISNUMBER($Q125))),"",$O125*($N125/100)*$Q125*10)</f>
        <v/>
      </c>
      <c r="S125" s="11">
        <f>IF(AND($A125="",$B125="",$D125=""),"",IF(AND($A125&lt;&gt;"",COUNTIF('1. Plot &amp; Site Log'!$A$5:$A$64,$A125)=0),"Plot ID not in the Plot &amp; Site Log. ","")&amp;IF(AND(ISNUMBER($D125),ISNUMBER($E125),$E125&lt;=$D125),"Bottom depth is not below top depth. ","")&amp;IF($L125="Not confirmed","Bulk-density basis not confirmed with the lab — the coarse-fragment correction may be wrong or doubled. ","")&amp;IF(AND(ISNUMBER($M125),OR($M125&lt;QC_BD_MIN,$M125&gt;QC_BD_MAX)),"Bulk density outside the plausible range for a mineral grassland soil. ","")&amp;IF(AND(ISNUMBER($N125),$N125&gt;QC_CARBON_PCT_MAX),"Organic carbon above the QC ceiling — check units, and whether this is an organic horizon. ","")&amp;IF(AND(ISNUMBER($J125),$J125&lt;QC_RECOVERY_MIN),"Recovered less than the QC minimum of the depth driven — the increments may not sit where you think. Do NOT stretch them back out. ","")&amp;IF(AND(ISNUMBER($K125),$K125&gt;0,$L125="Fine earth / total volume"),"Coarse fragments recorded and the lab basis already accounts for them — no further correction applied, which is correct. ",""))</f>
        <v/>
      </c>
      <c r="T125" s="6" t="n"/>
      <c r="U125" s="9">
        <f>IF($B125="",0,IF(COUNTIFS($B$5:$B125,$B125)=1,1,0))</f>
        <v/>
      </c>
    </row>
    <row r="126">
      <c r="A126" s="6" t="n"/>
      <c r="B126" s="6" t="n"/>
      <c r="C126" s="6" t="n"/>
      <c r="D126" s="6" t="n"/>
      <c r="E126" s="6" t="n"/>
      <c r="F126" s="9">
        <f>IF(OR($D126="",$E126=""),"",$E126-$D126)</f>
        <v/>
      </c>
      <c r="G126" s="6" t="n"/>
      <c r="H126" s="6" t="n"/>
      <c r="I126" s="6" t="n"/>
      <c r="J126" s="9">
        <f>IF(OR(NOT(ISNUMBER($H126)),NOT(ISNUMBER($I126)),$H126=0),"",$I126/$H126)</f>
        <v/>
      </c>
      <c r="K126" s="6" t="n"/>
      <c r="L126" s="8" t="n"/>
      <c r="M126" s="7" t="n"/>
      <c r="N126" s="7" t="n"/>
      <c r="O126" s="9">
        <f>IF(NOT(ISNUMBER($M126)),"",IF($L126="Fine earth / fine-earth volume",$M126*(1-IF(ISNUMBER($K126),$K126,0)/100),$M126))</f>
        <v/>
      </c>
      <c r="P126" s="9">
        <f>IF(OR(NOT(ISNUMBER($O126)),NOT(ISNUMBER($N126)),NOT(ISNUMBER($F126))),"",$O126*($N126/100)*$F126*10)</f>
        <v/>
      </c>
      <c r="Q126" s="9">
        <f>IF(OR(NOT(ISNUMBER($D126)),NOT(ISNUMBER($E126))),"",MAX(0,MIN($E126,SOIL_REPORTING_DEPTH_CM)-MIN($D126,SOIL_REPORTING_DEPTH_CM)))</f>
        <v/>
      </c>
      <c r="R126" s="9">
        <f>IF(OR(NOT(ISNUMBER($O126)),NOT(ISNUMBER($N126)),NOT(ISNUMBER($Q126))),"",$O126*($N126/100)*$Q126*10)</f>
        <v/>
      </c>
      <c r="S126" s="11">
        <f>IF(AND($A126="",$B126="",$D126=""),"",IF(AND($A126&lt;&gt;"",COUNTIF('1. Plot &amp; Site Log'!$A$5:$A$64,$A126)=0),"Plot ID not in the Plot &amp; Site Log. ","")&amp;IF(AND(ISNUMBER($D126),ISNUMBER($E126),$E126&lt;=$D126),"Bottom depth is not below top depth. ","")&amp;IF($L126="Not confirmed","Bulk-density basis not confirmed with the lab — the coarse-fragment correction may be wrong or doubled. ","")&amp;IF(AND(ISNUMBER($M126),OR($M126&lt;QC_BD_MIN,$M126&gt;QC_BD_MAX)),"Bulk density outside the plausible range for a mineral grassland soil. ","")&amp;IF(AND(ISNUMBER($N126),$N126&gt;QC_CARBON_PCT_MAX),"Organic carbon above the QC ceiling — check units, and whether this is an organic horizon. ","")&amp;IF(AND(ISNUMBER($J126),$J126&lt;QC_RECOVERY_MIN),"Recovered less than the QC minimum of the depth driven — the increments may not sit where you think. Do NOT stretch them back out. ","")&amp;IF(AND(ISNUMBER($K126),$K126&gt;0,$L126="Fine earth / total volume"),"Coarse fragments recorded and the lab basis already accounts for them — no further correction applied, which is correct. ",""))</f>
        <v/>
      </c>
      <c r="T126" s="6" t="n"/>
      <c r="U126" s="9">
        <f>IF($B126="",0,IF(COUNTIFS($B$5:$B126,$B126)=1,1,0))</f>
        <v/>
      </c>
    </row>
    <row r="127">
      <c r="A127" s="6" t="n"/>
      <c r="B127" s="6" t="n"/>
      <c r="C127" s="6" t="n"/>
      <c r="D127" s="6" t="n"/>
      <c r="E127" s="6" t="n"/>
      <c r="F127" s="9">
        <f>IF(OR($D127="",$E127=""),"",$E127-$D127)</f>
        <v/>
      </c>
      <c r="G127" s="6" t="n"/>
      <c r="H127" s="6" t="n"/>
      <c r="I127" s="6" t="n"/>
      <c r="J127" s="9">
        <f>IF(OR(NOT(ISNUMBER($H127)),NOT(ISNUMBER($I127)),$H127=0),"",$I127/$H127)</f>
        <v/>
      </c>
      <c r="K127" s="6" t="n"/>
      <c r="L127" s="8" t="n"/>
      <c r="M127" s="7" t="n"/>
      <c r="N127" s="7" t="n"/>
      <c r="O127" s="9">
        <f>IF(NOT(ISNUMBER($M127)),"",IF($L127="Fine earth / fine-earth volume",$M127*(1-IF(ISNUMBER($K127),$K127,0)/100),$M127))</f>
        <v/>
      </c>
      <c r="P127" s="9">
        <f>IF(OR(NOT(ISNUMBER($O127)),NOT(ISNUMBER($N127)),NOT(ISNUMBER($F127))),"",$O127*($N127/100)*$F127*10)</f>
        <v/>
      </c>
      <c r="Q127" s="9">
        <f>IF(OR(NOT(ISNUMBER($D127)),NOT(ISNUMBER($E127))),"",MAX(0,MIN($E127,SOIL_REPORTING_DEPTH_CM)-MIN($D127,SOIL_REPORTING_DEPTH_CM)))</f>
        <v/>
      </c>
      <c r="R127" s="9">
        <f>IF(OR(NOT(ISNUMBER($O127)),NOT(ISNUMBER($N127)),NOT(ISNUMBER($Q127))),"",$O127*($N127/100)*$Q127*10)</f>
        <v/>
      </c>
      <c r="S127" s="11">
        <f>IF(AND($A127="",$B127="",$D127=""),"",IF(AND($A127&lt;&gt;"",COUNTIF('1. Plot &amp; Site Log'!$A$5:$A$64,$A127)=0),"Plot ID not in the Plot &amp; Site Log. ","")&amp;IF(AND(ISNUMBER($D127),ISNUMBER($E127),$E127&lt;=$D127),"Bottom depth is not below top depth. ","")&amp;IF($L127="Not confirmed","Bulk-density basis not confirmed with the lab — the coarse-fragment correction may be wrong or doubled. ","")&amp;IF(AND(ISNUMBER($M127),OR($M127&lt;QC_BD_MIN,$M127&gt;QC_BD_MAX)),"Bulk density outside the plausible range for a mineral grassland soil. ","")&amp;IF(AND(ISNUMBER($N127),$N127&gt;QC_CARBON_PCT_MAX),"Organic carbon above the QC ceiling — check units, and whether this is an organic horizon. ","")&amp;IF(AND(ISNUMBER($J127),$J127&lt;QC_RECOVERY_MIN),"Recovered less than the QC minimum of the depth driven — the increments may not sit where you think. Do NOT stretch them back out. ","")&amp;IF(AND(ISNUMBER($K127),$K127&gt;0,$L127="Fine earth / total volume"),"Coarse fragments recorded and the lab basis already accounts for them — no further correction applied, which is correct. ",""))</f>
        <v/>
      </c>
      <c r="T127" s="6" t="n"/>
      <c r="U127" s="9">
        <f>IF($B127="",0,IF(COUNTIFS($B$5:$B127,$B127)=1,1,0))</f>
        <v/>
      </c>
    </row>
    <row r="128">
      <c r="A128" s="6" t="n"/>
      <c r="B128" s="6" t="n"/>
      <c r="C128" s="6" t="n"/>
      <c r="D128" s="6" t="n"/>
      <c r="E128" s="6" t="n"/>
      <c r="F128" s="9">
        <f>IF(OR($D128="",$E128=""),"",$E128-$D128)</f>
        <v/>
      </c>
      <c r="G128" s="6" t="n"/>
      <c r="H128" s="6" t="n"/>
      <c r="I128" s="6" t="n"/>
      <c r="J128" s="9">
        <f>IF(OR(NOT(ISNUMBER($H128)),NOT(ISNUMBER($I128)),$H128=0),"",$I128/$H128)</f>
        <v/>
      </c>
      <c r="K128" s="6" t="n"/>
      <c r="L128" s="8" t="n"/>
      <c r="M128" s="7" t="n"/>
      <c r="N128" s="7" t="n"/>
      <c r="O128" s="9">
        <f>IF(NOT(ISNUMBER($M128)),"",IF($L128="Fine earth / fine-earth volume",$M128*(1-IF(ISNUMBER($K128),$K128,0)/100),$M128))</f>
        <v/>
      </c>
      <c r="P128" s="9">
        <f>IF(OR(NOT(ISNUMBER($O128)),NOT(ISNUMBER($N128)),NOT(ISNUMBER($F128))),"",$O128*($N128/100)*$F128*10)</f>
        <v/>
      </c>
      <c r="Q128" s="9">
        <f>IF(OR(NOT(ISNUMBER($D128)),NOT(ISNUMBER($E128))),"",MAX(0,MIN($E128,SOIL_REPORTING_DEPTH_CM)-MIN($D128,SOIL_REPORTING_DEPTH_CM)))</f>
        <v/>
      </c>
      <c r="R128" s="9">
        <f>IF(OR(NOT(ISNUMBER($O128)),NOT(ISNUMBER($N128)),NOT(ISNUMBER($Q128))),"",$O128*($N128/100)*$Q128*10)</f>
        <v/>
      </c>
      <c r="S128" s="11">
        <f>IF(AND($A128="",$B128="",$D128=""),"",IF(AND($A128&lt;&gt;"",COUNTIF('1. Plot &amp; Site Log'!$A$5:$A$64,$A128)=0),"Plot ID not in the Plot &amp; Site Log. ","")&amp;IF(AND(ISNUMBER($D128),ISNUMBER($E128),$E128&lt;=$D128),"Bottom depth is not below top depth. ","")&amp;IF($L128="Not confirmed","Bulk-density basis not confirmed with the lab — the coarse-fragment correction may be wrong or doubled. ","")&amp;IF(AND(ISNUMBER($M128),OR($M128&lt;QC_BD_MIN,$M128&gt;QC_BD_MAX)),"Bulk density outside the plausible range for a mineral grassland soil. ","")&amp;IF(AND(ISNUMBER($N128),$N128&gt;QC_CARBON_PCT_MAX),"Organic carbon above the QC ceiling — check units, and whether this is an organic horizon. ","")&amp;IF(AND(ISNUMBER($J128),$J128&lt;QC_RECOVERY_MIN),"Recovered less than the QC minimum of the depth driven — the increments may not sit where you think. Do NOT stretch them back out. ","")&amp;IF(AND(ISNUMBER($K128),$K128&gt;0,$L128="Fine earth / total volume"),"Coarse fragments recorded and the lab basis already accounts for them — no further correction applied, which is correct. ",""))</f>
        <v/>
      </c>
      <c r="T128" s="6" t="n"/>
      <c r="U128" s="9">
        <f>IF($B128="",0,IF(COUNTIFS($B$5:$B128,$B128)=1,1,0))</f>
        <v/>
      </c>
    </row>
    <row r="129">
      <c r="A129" s="6" t="n"/>
      <c r="B129" s="6" t="n"/>
      <c r="C129" s="6" t="n"/>
      <c r="D129" s="6" t="n"/>
      <c r="E129" s="6" t="n"/>
      <c r="F129" s="9">
        <f>IF(OR($D129="",$E129=""),"",$E129-$D129)</f>
        <v/>
      </c>
      <c r="G129" s="6" t="n"/>
      <c r="H129" s="6" t="n"/>
      <c r="I129" s="6" t="n"/>
      <c r="J129" s="9">
        <f>IF(OR(NOT(ISNUMBER($H129)),NOT(ISNUMBER($I129)),$H129=0),"",$I129/$H129)</f>
        <v/>
      </c>
      <c r="K129" s="6" t="n"/>
      <c r="L129" s="8" t="n"/>
      <c r="M129" s="7" t="n"/>
      <c r="N129" s="7" t="n"/>
      <c r="O129" s="9">
        <f>IF(NOT(ISNUMBER($M129)),"",IF($L129="Fine earth / fine-earth volume",$M129*(1-IF(ISNUMBER($K129),$K129,0)/100),$M129))</f>
        <v/>
      </c>
      <c r="P129" s="9">
        <f>IF(OR(NOT(ISNUMBER($O129)),NOT(ISNUMBER($N129)),NOT(ISNUMBER($F129))),"",$O129*($N129/100)*$F129*10)</f>
        <v/>
      </c>
      <c r="Q129" s="9">
        <f>IF(OR(NOT(ISNUMBER($D129)),NOT(ISNUMBER($E129))),"",MAX(0,MIN($E129,SOIL_REPORTING_DEPTH_CM)-MIN($D129,SOIL_REPORTING_DEPTH_CM)))</f>
        <v/>
      </c>
      <c r="R129" s="9">
        <f>IF(OR(NOT(ISNUMBER($O129)),NOT(ISNUMBER($N129)),NOT(ISNUMBER($Q129))),"",$O129*($N129/100)*$Q129*10)</f>
        <v/>
      </c>
      <c r="S129" s="11">
        <f>IF(AND($A129="",$B129="",$D129=""),"",IF(AND($A129&lt;&gt;"",COUNTIF('1. Plot &amp; Site Log'!$A$5:$A$64,$A129)=0),"Plot ID not in the Plot &amp; Site Log. ","")&amp;IF(AND(ISNUMBER($D129),ISNUMBER($E129),$E129&lt;=$D129),"Bottom depth is not below top depth. ","")&amp;IF($L129="Not confirmed","Bulk-density basis not confirmed with the lab — the coarse-fragment correction may be wrong or doubled. ","")&amp;IF(AND(ISNUMBER($M129),OR($M129&lt;QC_BD_MIN,$M129&gt;QC_BD_MAX)),"Bulk density outside the plausible range for a mineral grassland soil. ","")&amp;IF(AND(ISNUMBER($N129),$N129&gt;QC_CARBON_PCT_MAX),"Organic carbon above the QC ceiling — check units, and whether this is an organic horizon. ","")&amp;IF(AND(ISNUMBER($J129),$J129&lt;QC_RECOVERY_MIN),"Recovered less than the QC minimum of the depth driven — the increments may not sit where you think. Do NOT stretch them back out. ","")&amp;IF(AND(ISNUMBER($K129),$K129&gt;0,$L129="Fine earth / total volume"),"Coarse fragments recorded and the lab basis already accounts for them — no further correction applied, which is correct. ",""))</f>
        <v/>
      </c>
      <c r="T129" s="6" t="n"/>
      <c r="U129" s="9">
        <f>IF($B129="",0,IF(COUNTIFS($B$5:$B129,$B129)=1,1,0))</f>
        <v/>
      </c>
    </row>
    <row r="130">
      <c r="A130" s="6" t="n"/>
      <c r="B130" s="6" t="n"/>
      <c r="C130" s="6" t="n"/>
      <c r="D130" s="6" t="n"/>
      <c r="E130" s="6" t="n"/>
      <c r="F130" s="9">
        <f>IF(OR($D130="",$E130=""),"",$E130-$D130)</f>
        <v/>
      </c>
      <c r="G130" s="6" t="n"/>
      <c r="H130" s="6" t="n"/>
      <c r="I130" s="6" t="n"/>
      <c r="J130" s="9">
        <f>IF(OR(NOT(ISNUMBER($H130)),NOT(ISNUMBER($I130)),$H130=0),"",$I130/$H130)</f>
        <v/>
      </c>
      <c r="K130" s="6" t="n"/>
      <c r="L130" s="8" t="n"/>
      <c r="M130" s="7" t="n"/>
      <c r="N130" s="7" t="n"/>
      <c r="O130" s="9">
        <f>IF(NOT(ISNUMBER($M130)),"",IF($L130="Fine earth / fine-earth volume",$M130*(1-IF(ISNUMBER($K130),$K130,0)/100),$M130))</f>
        <v/>
      </c>
      <c r="P130" s="9">
        <f>IF(OR(NOT(ISNUMBER($O130)),NOT(ISNUMBER($N130)),NOT(ISNUMBER($F130))),"",$O130*($N130/100)*$F130*10)</f>
        <v/>
      </c>
      <c r="Q130" s="9">
        <f>IF(OR(NOT(ISNUMBER($D130)),NOT(ISNUMBER($E130))),"",MAX(0,MIN($E130,SOIL_REPORTING_DEPTH_CM)-MIN($D130,SOIL_REPORTING_DEPTH_CM)))</f>
        <v/>
      </c>
      <c r="R130" s="9">
        <f>IF(OR(NOT(ISNUMBER($O130)),NOT(ISNUMBER($N130)),NOT(ISNUMBER($Q130))),"",$O130*($N130/100)*$Q130*10)</f>
        <v/>
      </c>
      <c r="S130" s="11">
        <f>IF(AND($A130="",$B130="",$D130=""),"",IF(AND($A130&lt;&gt;"",COUNTIF('1. Plot &amp; Site Log'!$A$5:$A$64,$A130)=0),"Plot ID not in the Plot &amp; Site Log. ","")&amp;IF(AND(ISNUMBER($D130),ISNUMBER($E130),$E130&lt;=$D130),"Bottom depth is not below top depth. ","")&amp;IF($L130="Not confirmed","Bulk-density basis not confirmed with the lab — the coarse-fragment correction may be wrong or doubled. ","")&amp;IF(AND(ISNUMBER($M130),OR($M130&lt;QC_BD_MIN,$M130&gt;QC_BD_MAX)),"Bulk density outside the plausible range for a mineral grassland soil. ","")&amp;IF(AND(ISNUMBER($N130),$N130&gt;QC_CARBON_PCT_MAX),"Organic carbon above the QC ceiling — check units, and whether this is an organic horizon. ","")&amp;IF(AND(ISNUMBER($J130),$J130&lt;QC_RECOVERY_MIN),"Recovered less than the QC minimum of the depth driven — the increments may not sit where you think. Do NOT stretch them back out. ","")&amp;IF(AND(ISNUMBER($K130),$K130&gt;0,$L130="Fine earth / total volume"),"Coarse fragments recorded and the lab basis already accounts for them — no further correction applied, which is correct. ",""))</f>
        <v/>
      </c>
      <c r="T130" s="6" t="n"/>
      <c r="U130" s="9">
        <f>IF($B130="",0,IF(COUNTIFS($B$5:$B130,$B130)=1,1,0))</f>
        <v/>
      </c>
    </row>
    <row r="131">
      <c r="A131" s="6" t="n"/>
      <c r="B131" s="6" t="n"/>
      <c r="C131" s="6" t="n"/>
      <c r="D131" s="6" t="n"/>
      <c r="E131" s="6" t="n"/>
      <c r="F131" s="9">
        <f>IF(OR($D131="",$E131=""),"",$E131-$D131)</f>
        <v/>
      </c>
      <c r="G131" s="6" t="n"/>
      <c r="H131" s="6" t="n"/>
      <c r="I131" s="6" t="n"/>
      <c r="J131" s="9">
        <f>IF(OR(NOT(ISNUMBER($H131)),NOT(ISNUMBER($I131)),$H131=0),"",$I131/$H131)</f>
        <v/>
      </c>
      <c r="K131" s="6" t="n"/>
      <c r="L131" s="8" t="n"/>
      <c r="M131" s="7" t="n"/>
      <c r="N131" s="7" t="n"/>
      <c r="O131" s="9">
        <f>IF(NOT(ISNUMBER($M131)),"",IF($L131="Fine earth / fine-earth volume",$M131*(1-IF(ISNUMBER($K131),$K131,0)/100),$M131))</f>
        <v/>
      </c>
      <c r="P131" s="9">
        <f>IF(OR(NOT(ISNUMBER($O131)),NOT(ISNUMBER($N131)),NOT(ISNUMBER($F131))),"",$O131*($N131/100)*$F131*10)</f>
        <v/>
      </c>
      <c r="Q131" s="9">
        <f>IF(OR(NOT(ISNUMBER($D131)),NOT(ISNUMBER($E131))),"",MAX(0,MIN($E131,SOIL_REPORTING_DEPTH_CM)-MIN($D131,SOIL_REPORTING_DEPTH_CM)))</f>
        <v/>
      </c>
      <c r="R131" s="9">
        <f>IF(OR(NOT(ISNUMBER($O131)),NOT(ISNUMBER($N131)),NOT(ISNUMBER($Q131))),"",$O131*($N131/100)*$Q131*10)</f>
        <v/>
      </c>
      <c r="S131" s="11">
        <f>IF(AND($A131="",$B131="",$D131=""),"",IF(AND($A131&lt;&gt;"",COUNTIF('1. Plot &amp; Site Log'!$A$5:$A$64,$A131)=0),"Plot ID not in the Plot &amp; Site Log. ","")&amp;IF(AND(ISNUMBER($D131),ISNUMBER($E131),$E131&lt;=$D131),"Bottom depth is not below top depth. ","")&amp;IF($L131="Not confirmed","Bulk-density basis not confirmed with the lab — the coarse-fragment correction may be wrong or doubled. ","")&amp;IF(AND(ISNUMBER($M131),OR($M131&lt;QC_BD_MIN,$M131&gt;QC_BD_MAX)),"Bulk density outside the plausible range for a mineral grassland soil. ","")&amp;IF(AND(ISNUMBER($N131),$N131&gt;QC_CARBON_PCT_MAX),"Organic carbon above the QC ceiling — check units, and whether this is an organic horizon. ","")&amp;IF(AND(ISNUMBER($J131),$J131&lt;QC_RECOVERY_MIN),"Recovered less than the QC minimum of the depth driven — the increments may not sit where you think. Do NOT stretch them back out. ","")&amp;IF(AND(ISNUMBER($K131),$K131&gt;0,$L131="Fine earth / total volume"),"Coarse fragments recorded and the lab basis already accounts for them — no further correction applied, which is correct. ",""))</f>
        <v/>
      </c>
      <c r="T131" s="6" t="n"/>
      <c r="U131" s="9">
        <f>IF($B131="",0,IF(COUNTIFS($B$5:$B131,$B131)=1,1,0))</f>
        <v/>
      </c>
    </row>
    <row r="132">
      <c r="A132" s="6" t="n"/>
      <c r="B132" s="6" t="n"/>
      <c r="C132" s="6" t="n"/>
      <c r="D132" s="6" t="n"/>
      <c r="E132" s="6" t="n"/>
      <c r="F132" s="9">
        <f>IF(OR($D132="",$E132=""),"",$E132-$D132)</f>
        <v/>
      </c>
      <c r="G132" s="6" t="n"/>
      <c r="H132" s="6" t="n"/>
      <c r="I132" s="6" t="n"/>
      <c r="J132" s="9">
        <f>IF(OR(NOT(ISNUMBER($H132)),NOT(ISNUMBER($I132)),$H132=0),"",$I132/$H132)</f>
        <v/>
      </c>
      <c r="K132" s="6" t="n"/>
      <c r="L132" s="8" t="n"/>
      <c r="M132" s="7" t="n"/>
      <c r="N132" s="7" t="n"/>
      <c r="O132" s="9">
        <f>IF(NOT(ISNUMBER($M132)),"",IF($L132="Fine earth / fine-earth volume",$M132*(1-IF(ISNUMBER($K132),$K132,0)/100),$M132))</f>
        <v/>
      </c>
      <c r="P132" s="9">
        <f>IF(OR(NOT(ISNUMBER($O132)),NOT(ISNUMBER($N132)),NOT(ISNUMBER($F132))),"",$O132*($N132/100)*$F132*10)</f>
        <v/>
      </c>
      <c r="Q132" s="9">
        <f>IF(OR(NOT(ISNUMBER($D132)),NOT(ISNUMBER($E132))),"",MAX(0,MIN($E132,SOIL_REPORTING_DEPTH_CM)-MIN($D132,SOIL_REPORTING_DEPTH_CM)))</f>
        <v/>
      </c>
      <c r="R132" s="9">
        <f>IF(OR(NOT(ISNUMBER($O132)),NOT(ISNUMBER($N132)),NOT(ISNUMBER($Q132))),"",$O132*($N132/100)*$Q132*10)</f>
        <v/>
      </c>
      <c r="S132" s="11">
        <f>IF(AND($A132="",$B132="",$D132=""),"",IF(AND($A132&lt;&gt;"",COUNTIF('1. Plot &amp; Site Log'!$A$5:$A$64,$A132)=0),"Plot ID not in the Plot &amp; Site Log. ","")&amp;IF(AND(ISNUMBER($D132),ISNUMBER($E132),$E132&lt;=$D132),"Bottom depth is not below top depth. ","")&amp;IF($L132="Not confirmed","Bulk-density basis not confirmed with the lab — the coarse-fragment correction may be wrong or doubled. ","")&amp;IF(AND(ISNUMBER($M132),OR($M132&lt;QC_BD_MIN,$M132&gt;QC_BD_MAX)),"Bulk density outside the plausible range for a mineral grassland soil. ","")&amp;IF(AND(ISNUMBER($N132),$N132&gt;QC_CARBON_PCT_MAX),"Organic carbon above the QC ceiling — check units, and whether this is an organic horizon. ","")&amp;IF(AND(ISNUMBER($J132),$J132&lt;QC_RECOVERY_MIN),"Recovered less than the QC minimum of the depth driven — the increments may not sit where you think. Do NOT stretch them back out. ","")&amp;IF(AND(ISNUMBER($K132),$K132&gt;0,$L132="Fine earth / total volume"),"Coarse fragments recorded and the lab basis already accounts for them — no further correction applied, which is correct. ",""))</f>
        <v/>
      </c>
      <c r="T132" s="6" t="n"/>
      <c r="U132" s="9">
        <f>IF($B132="",0,IF(COUNTIFS($B$5:$B132,$B132)=1,1,0))</f>
        <v/>
      </c>
    </row>
    <row r="133">
      <c r="A133" s="6" t="n"/>
      <c r="B133" s="6" t="n"/>
      <c r="C133" s="6" t="n"/>
      <c r="D133" s="6" t="n"/>
      <c r="E133" s="6" t="n"/>
      <c r="F133" s="9">
        <f>IF(OR($D133="",$E133=""),"",$E133-$D133)</f>
        <v/>
      </c>
      <c r="G133" s="6" t="n"/>
      <c r="H133" s="6" t="n"/>
      <c r="I133" s="6" t="n"/>
      <c r="J133" s="9">
        <f>IF(OR(NOT(ISNUMBER($H133)),NOT(ISNUMBER($I133)),$H133=0),"",$I133/$H133)</f>
        <v/>
      </c>
      <c r="K133" s="6" t="n"/>
      <c r="L133" s="8" t="n"/>
      <c r="M133" s="7" t="n"/>
      <c r="N133" s="7" t="n"/>
      <c r="O133" s="9">
        <f>IF(NOT(ISNUMBER($M133)),"",IF($L133="Fine earth / fine-earth volume",$M133*(1-IF(ISNUMBER($K133),$K133,0)/100),$M133))</f>
        <v/>
      </c>
      <c r="P133" s="9">
        <f>IF(OR(NOT(ISNUMBER($O133)),NOT(ISNUMBER($N133)),NOT(ISNUMBER($F133))),"",$O133*($N133/100)*$F133*10)</f>
        <v/>
      </c>
      <c r="Q133" s="9">
        <f>IF(OR(NOT(ISNUMBER($D133)),NOT(ISNUMBER($E133))),"",MAX(0,MIN($E133,SOIL_REPORTING_DEPTH_CM)-MIN($D133,SOIL_REPORTING_DEPTH_CM)))</f>
        <v/>
      </c>
      <c r="R133" s="9">
        <f>IF(OR(NOT(ISNUMBER($O133)),NOT(ISNUMBER($N133)),NOT(ISNUMBER($Q133))),"",$O133*($N133/100)*$Q133*10)</f>
        <v/>
      </c>
      <c r="S133" s="11">
        <f>IF(AND($A133="",$B133="",$D133=""),"",IF(AND($A133&lt;&gt;"",COUNTIF('1. Plot &amp; Site Log'!$A$5:$A$64,$A133)=0),"Plot ID not in the Plot &amp; Site Log. ","")&amp;IF(AND(ISNUMBER($D133),ISNUMBER($E133),$E133&lt;=$D133),"Bottom depth is not below top depth. ","")&amp;IF($L133="Not confirmed","Bulk-density basis not confirmed with the lab — the coarse-fragment correction may be wrong or doubled. ","")&amp;IF(AND(ISNUMBER($M133),OR($M133&lt;QC_BD_MIN,$M133&gt;QC_BD_MAX)),"Bulk density outside the plausible range for a mineral grassland soil. ","")&amp;IF(AND(ISNUMBER($N133),$N133&gt;QC_CARBON_PCT_MAX),"Organic carbon above the QC ceiling — check units, and whether this is an organic horizon. ","")&amp;IF(AND(ISNUMBER($J133),$J133&lt;QC_RECOVERY_MIN),"Recovered less than the QC minimum of the depth driven — the increments may not sit where you think. Do NOT stretch them back out. ","")&amp;IF(AND(ISNUMBER($K133),$K133&gt;0,$L133="Fine earth / total volume"),"Coarse fragments recorded and the lab basis already accounts for them — no further correction applied, which is correct. ",""))</f>
        <v/>
      </c>
      <c r="T133" s="6" t="n"/>
      <c r="U133" s="9">
        <f>IF($B133="",0,IF(COUNTIFS($B$5:$B133,$B133)=1,1,0))</f>
        <v/>
      </c>
    </row>
    <row r="134">
      <c r="A134" s="6" t="n"/>
      <c r="B134" s="6" t="n"/>
      <c r="C134" s="6" t="n"/>
      <c r="D134" s="6" t="n"/>
      <c r="E134" s="6" t="n"/>
      <c r="F134" s="9">
        <f>IF(OR($D134="",$E134=""),"",$E134-$D134)</f>
        <v/>
      </c>
      <c r="G134" s="6" t="n"/>
      <c r="H134" s="6" t="n"/>
      <c r="I134" s="6" t="n"/>
      <c r="J134" s="9">
        <f>IF(OR(NOT(ISNUMBER($H134)),NOT(ISNUMBER($I134)),$H134=0),"",$I134/$H134)</f>
        <v/>
      </c>
      <c r="K134" s="6" t="n"/>
      <c r="L134" s="8" t="n"/>
      <c r="M134" s="7" t="n"/>
      <c r="N134" s="7" t="n"/>
      <c r="O134" s="9">
        <f>IF(NOT(ISNUMBER($M134)),"",IF($L134="Fine earth / fine-earth volume",$M134*(1-IF(ISNUMBER($K134),$K134,0)/100),$M134))</f>
        <v/>
      </c>
      <c r="P134" s="9">
        <f>IF(OR(NOT(ISNUMBER($O134)),NOT(ISNUMBER($N134)),NOT(ISNUMBER($F134))),"",$O134*($N134/100)*$F134*10)</f>
        <v/>
      </c>
      <c r="Q134" s="9">
        <f>IF(OR(NOT(ISNUMBER($D134)),NOT(ISNUMBER($E134))),"",MAX(0,MIN($E134,SOIL_REPORTING_DEPTH_CM)-MIN($D134,SOIL_REPORTING_DEPTH_CM)))</f>
        <v/>
      </c>
      <c r="R134" s="9">
        <f>IF(OR(NOT(ISNUMBER($O134)),NOT(ISNUMBER($N134)),NOT(ISNUMBER($Q134))),"",$O134*($N134/100)*$Q134*10)</f>
        <v/>
      </c>
      <c r="S134" s="11">
        <f>IF(AND($A134="",$B134="",$D134=""),"",IF(AND($A134&lt;&gt;"",COUNTIF('1. Plot &amp; Site Log'!$A$5:$A$64,$A134)=0),"Plot ID not in the Plot &amp; Site Log. ","")&amp;IF(AND(ISNUMBER($D134),ISNUMBER($E134),$E134&lt;=$D134),"Bottom depth is not below top depth. ","")&amp;IF($L134="Not confirmed","Bulk-density basis not confirmed with the lab — the coarse-fragment correction may be wrong or doubled. ","")&amp;IF(AND(ISNUMBER($M134),OR($M134&lt;QC_BD_MIN,$M134&gt;QC_BD_MAX)),"Bulk density outside the plausible range for a mineral grassland soil. ","")&amp;IF(AND(ISNUMBER($N134),$N134&gt;QC_CARBON_PCT_MAX),"Organic carbon above the QC ceiling — check units, and whether this is an organic horizon. ","")&amp;IF(AND(ISNUMBER($J134),$J134&lt;QC_RECOVERY_MIN),"Recovered less than the QC minimum of the depth driven — the increments may not sit where you think. Do NOT stretch them back out. ","")&amp;IF(AND(ISNUMBER($K134),$K134&gt;0,$L134="Fine earth / total volume"),"Coarse fragments recorded and the lab basis already accounts for them — no further correction applied, which is correct. ",""))</f>
        <v/>
      </c>
      <c r="T134" s="6" t="n"/>
      <c r="U134" s="9">
        <f>IF($B134="",0,IF(COUNTIFS($B$5:$B134,$B134)=1,1,0))</f>
        <v/>
      </c>
    </row>
    <row r="135">
      <c r="A135" s="6" t="n"/>
      <c r="B135" s="6" t="n"/>
      <c r="C135" s="6" t="n"/>
      <c r="D135" s="6" t="n"/>
      <c r="E135" s="6" t="n"/>
      <c r="F135" s="9">
        <f>IF(OR($D135="",$E135=""),"",$E135-$D135)</f>
        <v/>
      </c>
      <c r="G135" s="6" t="n"/>
      <c r="H135" s="6" t="n"/>
      <c r="I135" s="6" t="n"/>
      <c r="J135" s="9">
        <f>IF(OR(NOT(ISNUMBER($H135)),NOT(ISNUMBER($I135)),$H135=0),"",$I135/$H135)</f>
        <v/>
      </c>
      <c r="K135" s="6" t="n"/>
      <c r="L135" s="8" t="n"/>
      <c r="M135" s="7" t="n"/>
      <c r="N135" s="7" t="n"/>
      <c r="O135" s="9">
        <f>IF(NOT(ISNUMBER($M135)),"",IF($L135="Fine earth / fine-earth volume",$M135*(1-IF(ISNUMBER($K135),$K135,0)/100),$M135))</f>
        <v/>
      </c>
      <c r="P135" s="9">
        <f>IF(OR(NOT(ISNUMBER($O135)),NOT(ISNUMBER($N135)),NOT(ISNUMBER($F135))),"",$O135*($N135/100)*$F135*10)</f>
        <v/>
      </c>
      <c r="Q135" s="9">
        <f>IF(OR(NOT(ISNUMBER($D135)),NOT(ISNUMBER($E135))),"",MAX(0,MIN($E135,SOIL_REPORTING_DEPTH_CM)-MIN($D135,SOIL_REPORTING_DEPTH_CM)))</f>
        <v/>
      </c>
      <c r="R135" s="9">
        <f>IF(OR(NOT(ISNUMBER($O135)),NOT(ISNUMBER($N135)),NOT(ISNUMBER($Q135))),"",$O135*($N135/100)*$Q135*10)</f>
        <v/>
      </c>
      <c r="S135" s="11">
        <f>IF(AND($A135="",$B135="",$D135=""),"",IF(AND($A135&lt;&gt;"",COUNTIF('1. Plot &amp; Site Log'!$A$5:$A$64,$A135)=0),"Plot ID not in the Plot &amp; Site Log. ","")&amp;IF(AND(ISNUMBER($D135),ISNUMBER($E135),$E135&lt;=$D135),"Bottom depth is not below top depth. ","")&amp;IF($L135="Not confirmed","Bulk-density basis not confirmed with the lab — the coarse-fragment correction may be wrong or doubled. ","")&amp;IF(AND(ISNUMBER($M135),OR($M135&lt;QC_BD_MIN,$M135&gt;QC_BD_MAX)),"Bulk density outside the plausible range for a mineral grassland soil. ","")&amp;IF(AND(ISNUMBER($N135),$N135&gt;QC_CARBON_PCT_MAX),"Organic carbon above the QC ceiling — check units, and whether this is an organic horizon. ","")&amp;IF(AND(ISNUMBER($J135),$J135&lt;QC_RECOVERY_MIN),"Recovered less than the QC minimum of the depth driven — the increments may not sit where you think. Do NOT stretch them back out. ","")&amp;IF(AND(ISNUMBER($K135),$K135&gt;0,$L135="Fine earth / total volume"),"Coarse fragments recorded and the lab basis already accounts for them — no further correction applied, which is correct. ",""))</f>
        <v/>
      </c>
      <c r="T135" s="6" t="n"/>
      <c r="U135" s="9">
        <f>IF($B135="",0,IF(COUNTIFS($B$5:$B135,$B135)=1,1,0))</f>
        <v/>
      </c>
    </row>
    <row r="136">
      <c r="A136" s="6" t="n"/>
      <c r="B136" s="6" t="n"/>
      <c r="C136" s="6" t="n"/>
      <c r="D136" s="6" t="n"/>
      <c r="E136" s="6" t="n"/>
      <c r="F136" s="9">
        <f>IF(OR($D136="",$E136=""),"",$E136-$D136)</f>
        <v/>
      </c>
      <c r="G136" s="6" t="n"/>
      <c r="H136" s="6" t="n"/>
      <c r="I136" s="6" t="n"/>
      <c r="J136" s="9">
        <f>IF(OR(NOT(ISNUMBER($H136)),NOT(ISNUMBER($I136)),$H136=0),"",$I136/$H136)</f>
        <v/>
      </c>
      <c r="K136" s="6" t="n"/>
      <c r="L136" s="8" t="n"/>
      <c r="M136" s="7" t="n"/>
      <c r="N136" s="7" t="n"/>
      <c r="O136" s="9">
        <f>IF(NOT(ISNUMBER($M136)),"",IF($L136="Fine earth / fine-earth volume",$M136*(1-IF(ISNUMBER($K136),$K136,0)/100),$M136))</f>
        <v/>
      </c>
      <c r="P136" s="9">
        <f>IF(OR(NOT(ISNUMBER($O136)),NOT(ISNUMBER($N136)),NOT(ISNUMBER($F136))),"",$O136*($N136/100)*$F136*10)</f>
        <v/>
      </c>
      <c r="Q136" s="9">
        <f>IF(OR(NOT(ISNUMBER($D136)),NOT(ISNUMBER($E136))),"",MAX(0,MIN($E136,SOIL_REPORTING_DEPTH_CM)-MIN($D136,SOIL_REPORTING_DEPTH_CM)))</f>
        <v/>
      </c>
      <c r="R136" s="9">
        <f>IF(OR(NOT(ISNUMBER($O136)),NOT(ISNUMBER($N136)),NOT(ISNUMBER($Q136))),"",$O136*($N136/100)*$Q136*10)</f>
        <v/>
      </c>
      <c r="S136" s="11">
        <f>IF(AND($A136="",$B136="",$D136=""),"",IF(AND($A136&lt;&gt;"",COUNTIF('1. Plot &amp; Site Log'!$A$5:$A$64,$A136)=0),"Plot ID not in the Plot &amp; Site Log. ","")&amp;IF(AND(ISNUMBER($D136),ISNUMBER($E136),$E136&lt;=$D136),"Bottom depth is not below top depth. ","")&amp;IF($L136="Not confirmed","Bulk-density basis not confirmed with the lab — the coarse-fragment correction may be wrong or doubled. ","")&amp;IF(AND(ISNUMBER($M136),OR($M136&lt;QC_BD_MIN,$M136&gt;QC_BD_MAX)),"Bulk density outside the plausible range for a mineral grassland soil. ","")&amp;IF(AND(ISNUMBER($N136),$N136&gt;QC_CARBON_PCT_MAX),"Organic carbon above the QC ceiling — check units, and whether this is an organic horizon. ","")&amp;IF(AND(ISNUMBER($J136),$J136&lt;QC_RECOVERY_MIN),"Recovered less than the QC minimum of the depth driven — the increments may not sit where you think. Do NOT stretch them back out. ","")&amp;IF(AND(ISNUMBER($K136),$K136&gt;0,$L136="Fine earth / total volume"),"Coarse fragments recorded and the lab basis already accounts for them — no further correction applied, which is correct. ",""))</f>
        <v/>
      </c>
      <c r="T136" s="6" t="n"/>
      <c r="U136" s="9">
        <f>IF($B136="",0,IF(COUNTIFS($B$5:$B136,$B136)=1,1,0))</f>
        <v/>
      </c>
    </row>
    <row r="137">
      <c r="A137" s="6" t="n"/>
      <c r="B137" s="6" t="n"/>
      <c r="C137" s="6" t="n"/>
      <c r="D137" s="6" t="n"/>
      <c r="E137" s="6" t="n"/>
      <c r="F137" s="9">
        <f>IF(OR($D137="",$E137=""),"",$E137-$D137)</f>
        <v/>
      </c>
      <c r="G137" s="6" t="n"/>
      <c r="H137" s="6" t="n"/>
      <c r="I137" s="6" t="n"/>
      <c r="J137" s="9">
        <f>IF(OR(NOT(ISNUMBER($H137)),NOT(ISNUMBER($I137)),$H137=0),"",$I137/$H137)</f>
        <v/>
      </c>
      <c r="K137" s="6" t="n"/>
      <c r="L137" s="8" t="n"/>
      <c r="M137" s="7" t="n"/>
      <c r="N137" s="7" t="n"/>
      <c r="O137" s="9">
        <f>IF(NOT(ISNUMBER($M137)),"",IF($L137="Fine earth / fine-earth volume",$M137*(1-IF(ISNUMBER($K137),$K137,0)/100),$M137))</f>
        <v/>
      </c>
      <c r="P137" s="9">
        <f>IF(OR(NOT(ISNUMBER($O137)),NOT(ISNUMBER($N137)),NOT(ISNUMBER($F137))),"",$O137*($N137/100)*$F137*10)</f>
        <v/>
      </c>
      <c r="Q137" s="9">
        <f>IF(OR(NOT(ISNUMBER($D137)),NOT(ISNUMBER($E137))),"",MAX(0,MIN($E137,SOIL_REPORTING_DEPTH_CM)-MIN($D137,SOIL_REPORTING_DEPTH_CM)))</f>
        <v/>
      </c>
      <c r="R137" s="9">
        <f>IF(OR(NOT(ISNUMBER($O137)),NOT(ISNUMBER($N137)),NOT(ISNUMBER($Q137))),"",$O137*($N137/100)*$Q137*10)</f>
        <v/>
      </c>
      <c r="S137" s="11">
        <f>IF(AND($A137="",$B137="",$D137=""),"",IF(AND($A137&lt;&gt;"",COUNTIF('1. Plot &amp; Site Log'!$A$5:$A$64,$A137)=0),"Plot ID not in the Plot &amp; Site Log. ","")&amp;IF(AND(ISNUMBER($D137),ISNUMBER($E137),$E137&lt;=$D137),"Bottom depth is not below top depth. ","")&amp;IF($L137="Not confirmed","Bulk-density basis not confirmed with the lab — the coarse-fragment correction may be wrong or doubled. ","")&amp;IF(AND(ISNUMBER($M137),OR($M137&lt;QC_BD_MIN,$M137&gt;QC_BD_MAX)),"Bulk density outside the plausible range for a mineral grassland soil. ","")&amp;IF(AND(ISNUMBER($N137),$N137&gt;QC_CARBON_PCT_MAX),"Organic carbon above the QC ceiling — check units, and whether this is an organic horizon. ","")&amp;IF(AND(ISNUMBER($J137),$J137&lt;QC_RECOVERY_MIN),"Recovered less than the QC minimum of the depth driven — the increments may not sit where you think. Do NOT stretch them back out. ","")&amp;IF(AND(ISNUMBER($K137),$K137&gt;0,$L137="Fine earth / total volume"),"Coarse fragments recorded and the lab basis already accounts for them — no further correction applied, which is correct. ",""))</f>
        <v/>
      </c>
      <c r="T137" s="6" t="n"/>
      <c r="U137" s="9">
        <f>IF($B137="",0,IF(COUNTIFS($B$5:$B137,$B137)=1,1,0))</f>
        <v/>
      </c>
    </row>
    <row r="138">
      <c r="A138" s="6" t="n"/>
      <c r="B138" s="6" t="n"/>
      <c r="C138" s="6" t="n"/>
      <c r="D138" s="6" t="n"/>
      <c r="E138" s="6" t="n"/>
      <c r="F138" s="9">
        <f>IF(OR($D138="",$E138=""),"",$E138-$D138)</f>
        <v/>
      </c>
      <c r="G138" s="6" t="n"/>
      <c r="H138" s="6" t="n"/>
      <c r="I138" s="6" t="n"/>
      <c r="J138" s="9">
        <f>IF(OR(NOT(ISNUMBER($H138)),NOT(ISNUMBER($I138)),$H138=0),"",$I138/$H138)</f>
        <v/>
      </c>
      <c r="K138" s="6" t="n"/>
      <c r="L138" s="8" t="n"/>
      <c r="M138" s="7" t="n"/>
      <c r="N138" s="7" t="n"/>
      <c r="O138" s="9">
        <f>IF(NOT(ISNUMBER($M138)),"",IF($L138="Fine earth / fine-earth volume",$M138*(1-IF(ISNUMBER($K138),$K138,0)/100),$M138))</f>
        <v/>
      </c>
      <c r="P138" s="9">
        <f>IF(OR(NOT(ISNUMBER($O138)),NOT(ISNUMBER($N138)),NOT(ISNUMBER($F138))),"",$O138*($N138/100)*$F138*10)</f>
        <v/>
      </c>
      <c r="Q138" s="9">
        <f>IF(OR(NOT(ISNUMBER($D138)),NOT(ISNUMBER($E138))),"",MAX(0,MIN($E138,SOIL_REPORTING_DEPTH_CM)-MIN($D138,SOIL_REPORTING_DEPTH_CM)))</f>
        <v/>
      </c>
      <c r="R138" s="9">
        <f>IF(OR(NOT(ISNUMBER($O138)),NOT(ISNUMBER($N138)),NOT(ISNUMBER($Q138))),"",$O138*($N138/100)*$Q138*10)</f>
        <v/>
      </c>
      <c r="S138" s="11">
        <f>IF(AND($A138="",$B138="",$D138=""),"",IF(AND($A138&lt;&gt;"",COUNTIF('1. Plot &amp; Site Log'!$A$5:$A$64,$A138)=0),"Plot ID not in the Plot &amp; Site Log. ","")&amp;IF(AND(ISNUMBER($D138),ISNUMBER($E138),$E138&lt;=$D138),"Bottom depth is not below top depth. ","")&amp;IF($L138="Not confirmed","Bulk-density basis not confirmed with the lab — the coarse-fragment correction may be wrong or doubled. ","")&amp;IF(AND(ISNUMBER($M138),OR($M138&lt;QC_BD_MIN,$M138&gt;QC_BD_MAX)),"Bulk density outside the plausible range for a mineral grassland soil. ","")&amp;IF(AND(ISNUMBER($N138),$N138&gt;QC_CARBON_PCT_MAX),"Organic carbon above the QC ceiling — check units, and whether this is an organic horizon. ","")&amp;IF(AND(ISNUMBER($J138),$J138&lt;QC_RECOVERY_MIN),"Recovered less than the QC minimum of the depth driven — the increments may not sit where you think. Do NOT stretch them back out. ","")&amp;IF(AND(ISNUMBER($K138),$K138&gt;0,$L138="Fine earth / total volume"),"Coarse fragments recorded and the lab basis already accounts for them — no further correction applied, which is correct. ",""))</f>
        <v/>
      </c>
      <c r="T138" s="6" t="n"/>
      <c r="U138" s="9">
        <f>IF($B138="",0,IF(COUNTIFS($B$5:$B138,$B138)=1,1,0))</f>
        <v/>
      </c>
    </row>
    <row r="139">
      <c r="A139" s="6" t="n"/>
      <c r="B139" s="6" t="n"/>
      <c r="C139" s="6" t="n"/>
      <c r="D139" s="6" t="n"/>
      <c r="E139" s="6" t="n"/>
      <c r="F139" s="9">
        <f>IF(OR($D139="",$E139=""),"",$E139-$D139)</f>
        <v/>
      </c>
      <c r="G139" s="6" t="n"/>
      <c r="H139" s="6" t="n"/>
      <c r="I139" s="6" t="n"/>
      <c r="J139" s="9">
        <f>IF(OR(NOT(ISNUMBER($H139)),NOT(ISNUMBER($I139)),$H139=0),"",$I139/$H139)</f>
        <v/>
      </c>
      <c r="K139" s="6" t="n"/>
      <c r="L139" s="8" t="n"/>
      <c r="M139" s="7" t="n"/>
      <c r="N139" s="7" t="n"/>
      <c r="O139" s="9">
        <f>IF(NOT(ISNUMBER($M139)),"",IF($L139="Fine earth / fine-earth volume",$M139*(1-IF(ISNUMBER($K139),$K139,0)/100),$M139))</f>
        <v/>
      </c>
      <c r="P139" s="9">
        <f>IF(OR(NOT(ISNUMBER($O139)),NOT(ISNUMBER($N139)),NOT(ISNUMBER($F139))),"",$O139*($N139/100)*$F139*10)</f>
        <v/>
      </c>
      <c r="Q139" s="9">
        <f>IF(OR(NOT(ISNUMBER($D139)),NOT(ISNUMBER($E139))),"",MAX(0,MIN($E139,SOIL_REPORTING_DEPTH_CM)-MIN($D139,SOIL_REPORTING_DEPTH_CM)))</f>
        <v/>
      </c>
      <c r="R139" s="9">
        <f>IF(OR(NOT(ISNUMBER($O139)),NOT(ISNUMBER($N139)),NOT(ISNUMBER($Q139))),"",$O139*($N139/100)*$Q139*10)</f>
        <v/>
      </c>
      <c r="S139" s="11">
        <f>IF(AND($A139="",$B139="",$D139=""),"",IF(AND($A139&lt;&gt;"",COUNTIF('1. Plot &amp; Site Log'!$A$5:$A$64,$A139)=0),"Plot ID not in the Plot &amp; Site Log. ","")&amp;IF(AND(ISNUMBER($D139),ISNUMBER($E139),$E139&lt;=$D139),"Bottom depth is not below top depth. ","")&amp;IF($L139="Not confirmed","Bulk-density basis not confirmed with the lab — the coarse-fragment correction may be wrong or doubled. ","")&amp;IF(AND(ISNUMBER($M139),OR($M139&lt;QC_BD_MIN,$M139&gt;QC_BD_MAX)),"Bulk density outside the plausible range for a mineral grassland soil. ","")&amp;IF(AND(ISNUMBER($N139),$N139&gt;QC_CARBON_PCT_MAX),"Organic carbon above the QC ceiling — check units, and whether this is an organic horizon. ","")&amp;IF(AND(ISNUMBER($J139),$J139&lt;QC_RECOVERY_MIN),"Recovered less than the QC minimum of the depth driven — the increments may not sit where you think. Do NOT stretch them back out. ","")&amp;IF(AND(ISNUMBER($K139),$K139&gt;0,$L139="Fine earth / total volume"),"Coarse fragments recorded and the lab basis already accounts for them — no further correction applied, which is correct. ",""))</f>
        <v/>
      </c>
      <c r="T139" s="6" t="n"/>
      <c r="U139" s="9">
        <f>IF($B139="",0,IF(COUNTIFS($B$5:$B139,$B139)=1,1,0))</f>
        <v/>
      </c>
    </row>
    <row r="140">
      <c r="A140" s="6" t="n"/>
      <c r="B140" s="6" t="n"/>
      <c r="C140" s="6" t="n"/>
      <c r="D140" s="6" t="n"/>
      <c r="E140" s="6" t="n"/>
      <c r="F140" s="9">
        <f>IF(OR($D140="",$E140=""),"",$E140-$D140)</f>
        <v/>
      </c>
      <c r="G140" s="6" t="n"/>
      <c r="H140" s="6" t="n"/>
      <c r="I140" s="6" t="n"/>
      <c r="J140" s="9">
        <f>IF(OR(NOT(ISNUMBER($H140)),NOT(ISNUMBER($I140)),$H140=0),"",$I140/$H140)</f>
        <v/>
      </c>
      <c r="K140" s="6" t="n"/>
      <c r="L140" s="8" t="n"/>
      <c r="M140" s="7" t="n"/>
      <c r="N140" s="7" t="n"/>
      <c r="O140" s="9">
        <f>IF(NOT(ISNUMBER($M140)),"",IF($L140="Fine earth / fine-earth volume",$M140*(1-IF(ISNUMBER($K140),$K140,0)/100),$M140))</f>
        <v/>
      </c>
      <c r="P140" s="9">
        <f>IF(OR(NOT(ISNUMBER($O140)),NOT(ISNUMBER($N140)),NOT(ISNUMBER($F140))),"",$O140*($N140/100)*$F140*10)</f>
        <v/>
      </c>
      <c r="Q140" s="9">
        <f>IF(OR(NOT(ISNUMBER($D140)),NOT(ISNUMBER($E140))),"",MAX(0,MIN($E140,SOIL_REPORTING_DEPTH_CM)-MIN($D140,SOIL_REPORTING_DEPTH_CM)))</f>
        <v/>
      </c>
      <c r="R140" s="9">
        <f>IF(OR(NOT(ISNUMBER($O140)),NOT(ISNUMBER($N140)),NOT(ISNUMBER($Q140))),"",$O140*($N140/100)*$Q140*10)</f>
        <v/>
      </c>
      <c r="S140" s="11">
        <f>IF(AND($A140="",$B140="",$D140=""),"",IF(AND($A140&lt;&gt;"",COUNTIF('1. Plot &amp; Site Log'!$A$5:$A$64,$A140)=0),"Plot ID not in the Plot &amp; Site Log. ","")&amp;IF(AND(ISNUMBER($D140),ISNUMBER($E140),$E140&lt;=$D140),"Bottom depth is not below top depth. ","")&amp;IF($L140="Not confirmed","Bulk-density basis not confirmed with the lab — the coarse-fragment correction may be wrong or doubled. ","")&amp;IF(AND(ISNUMBER($M140),OR($M140&lt;QC_BD_MIN,$M140&gt;QC_BD_MAX)),"Bulk density outside the plausible range for a mineral grassland soil. ","")&amp;IF(AND(ISNUMBER($N140),$N140&gt;QC_CARBON_PCT_MAX),"Organic carbon above the QC ceiling — check units, and whether this is an organic horizon. ","")&amp;IF(AND(ISNUMBER($J140),$J140&lt;QC_RECOVERY_MIN),"Recovered less than the QC minimum of the depth driven — the increments may not sit where you think. Do NOT stretch them back out. ","")&amp;IF(AND(ISNUMBER($K140),$K140&gt;0,$L140="Fine earth / total volume"),"Coarse fragments recorded and the lab basis already accounts for them — no further correction applied, which is correct. ",""))</f>
        <v/>
      </c>
      <c r="T140" s="6" t="n"/>
      <c r="U140" s="9">
        <f>IF($B140="",0,IF(COUNTIFS($B$5:$B140,$B140)=1,1,0))</f>
        <v/>
      </c>
    </row>
    <row r="141">
      <c r="A141" s="6" t="n"/>
      <c r="B141" s="6" t="n"/>
      <c r="C141" s="6" t="n"/>
      <c r="D141" s="6" t="n"/>
      <c r="E141" s="6" t="n"/>
      <c r="F141" s="9">
        <f>IF(OR($D141="",$E141=""),"",$E141-$D141)</f>
        <v/>
      </c>
      <c r="G141" s="6" t="n"/>
      <c r="H141" s="6" t="n"/>
      <c r="I141" s="6" t="n"/>
      <c r="J141" s="9">
        <f>IF(OR(NOT(ISNUMBER($H141)),NOT(ISNUMBER($I141)),$H141=0),"",$I141/$H141)</f>
        <v/>
      </c>
      <c r="K141" s="6" t="n"/>
      <c r="L141" s="8" t="n"/>
      <c r="M141" s="7" t="n"/>
      <c r="N141" s="7" t="n"/>
      <c r="O141" s="9">
        <f>IF(NOT(ISNUMBER($M141)),"",IF($L141="Fine earth / fine-earth volume",$M141*(1-IF(ISNUMBER($K141),$K141,0)/100),$M141))</f>
        <v/>
      </c>
      <c r="P141" s="9">
        <f>IF(OR(NOT(ISNUMBER($O141)),NOT(ISNUMBER($N141)),NOT(ISNUMBER($F141))),"",$O141*($N141/100)*$F141*10)</f>
        <v/>
      </c>
      <c r="Q141" s="9">
        <f>IF(OR(NOT(ISNUMBER($D141)),NOT(ISNUMBER($E141))),"",MAX(0,MIN($E141,SOIL_REPORTING_DEPTH_CM)-MIN($D141,SOIL_REPORTING_DEPTH_CM)))</f>
        <v/>
      </c>
      <c r="R141" s="9">
        <f>IF(OR(NOT(ISNUMBER($O141)),NOT(ISNUMBER($N141)),NOT(ISNUMBER($Q141))),"",$O141*($N141/100)*$Q141*10)</f>
        <v/>
      </c>
      <c r="S141" s="11">
        <f>IF(AND($A141="",$B141="",$D141=""),"",IF(AND($A141&lt;&gt;"",COUNTIF('1. Plot &amp; Site Log'!$A$5:$A$64,$A141)=0),"Plot ID not in the Plot &amp; Site Log. ","")&amp;IF(AND(ISNUMBER($D141),ISNUMBER($E141),$E141&lt;=$D141),"Bottom depth is not below top depth. ","")&amp;IF($L141="Not confirmed","Bulk-density basis not confirmed with the lab — the coarse-fragment correction may be wrong or doubled. ","")&amp;IF(AND(ISNUMBER($M141),OR($M141&lt;QC_BD_MIN,$M141&gt;QC_BD_MAX)),"Bulk density outside the plausible range for a mineral grassland soil. ","")&amp;IF(AND(ISNUMBER($N141),$N141&gt;QC_CARBON_PCT_MAX),"Organic carbon above the QC ceiling — check units, and whether this is an organic horizon. ","")&amp;IF(AND(ISNUMBER($J141),$J141&lt;QC_RECOVERY_MIN),"Recovered less than the QC minimum of the depth driven — the increments may not sit where you think. Do NOT stretch them back out. ","")&amp;IF(AND(ISNUMBER($K141),$K141&gt;0,$L141="Fine earth / total volume"),"Coarse fragments recorded and the lab basis already accounts for them — no further correction applied, which is correct. ",""))</f>
        <v/>
      </c>
      <c r="T141" s="6" t="n"/>
      <c r="U141" s="9">
        <f>IF($B141="",0,IF(COUNTIFS($B$5:$B141,$B141)=1,1,0))</f>
        <v/>
      </c>
    </row>
    <row r="142">
      <c r="A142" s="6" t="n"/>
      <c r="B142" s="6" t="n"/>
      <c r="C142" s="6" t="n"/>
      <c r="D142" s="6" t="n"/>
      <c r="E142" s="6" t="n"/>
      <c r="F142" s="9">
        <f>IF(OR($D142="",$E142=""),"",$E142-$D142)</f>
        <v/>
      </c>
      <c r="G142" s="6" t="n"/>
      <c r="H142" s="6" t="n"/>
      <c r="I142" s="6" t="n"/>
      <c r="J142" s="9">
        <f>IF(OR(NOT(ISNUMBER($H142)),NOT(ISNUMBER($I142)),$H142=0),"",$I142/$H142)</f>
        <v/>
      </c>
      <c r="K142" s="6" t="n"/>
      <c r="L142" s="8" t="n"/>
      <c r="M142" s="7" t="n"/>
      <c r="N142" s="7" t="n"/>
      <c r="O142" s="9">
        <f>IF(NOT(ISNUMBER($M142)),"",IF($L142="Fine earth / fine-earth volume",$M142*(1-IF(ISNUMBER($K142),$K142,0)/100),$M142))</f>
        <v/>
      </c>
      <c r="P142" s="9">
        <f>IF(OR(NOT(ISNUMBER($O142)),NOT(ISNUMBER($N142)),NOT(ISNUMBER($F142))),"",$O142*($N142/100)*$F142*10)</f>
        <v/>
      </c>
      <c r="Q142" s="9">
        <f>IF(OR(NOT(ISNUMBER($D142)),NOT(ISNUMBER($E142))),"",MAX(0,MIN($E142,SOIL_REPORTING_DEPTH_CM)-MIN($D142,SOIL_REPORTING_DEPTH_CM)))</f>
        <v/>
      </c>
      <c r="R142" s="9">
        <f>IF(OR(NOT(ISNUMBER($O142)),NOT(ISNUMBER($N142)),NOT(ISNUMBER($Q142))),"",$O142*($N142/100)*$Q142*10)</f>
        <v/>
      </c>
      <c r="S142" s="11">
        <f>IF(AND($A142="",$B142="",$D142=""),"",IF(AND($A142&lt;&gt;"",COUNTIF('1. Plot &amp; Site Log'!$A$5:$A$64,$A142)=0),"Plot ID not in the Plot &amp; Site Log. ","")&amp;IF(AND(ISNUMBER($D142),ISNUMBER($E142),$E142&lt;=$D142),"Bottom depth is not below top depth. ","")&amp;IF($L142="Not confirmed","Bulk-density basis not confirmed with the lab — the coarse-fragment correction may be wrong or doubled. ","")&amp;IF(AND(ISNUMBER($M142),OR($M142&lt;QC_BD_MIN,$M142&gt;QC_BD_MAX)),"Bulk density outside the plausible range for a mineral grassland soil. ","")&amp;IF(AND(ISNUMBER($N142),$N142&gt;QC_CARBON_PCT_MAX),"Organic carbon above the QC ceiling — check units, and whether this is an organic horizon. ","")&amp;IF(AND(ISNUMBER($J142),$J142&lt;QC_RECOVERY_MIN),"Recovered less than the QC minimum of the depth driven — the increments may not sit where you think. Do NOT stretch them back out. ","")&amp;IF(AND(ISNUMBER($K142),$K142&gt;0,$L142="Fine earth / total volume"),"Coarse fragments recorded and the lab basis already accounts for them — no further correction applied, which is correct. ",""))</f>
        <v/>
      </c>
      <c r="T142" s="6" t="n"/>
      <c r="U142" s="9">
        <f>IF($B142="",0,IF(COUNTIFS($B$5:$B142,$B142)=1,1,0))</f>
        <v/>
      </c>
    </row>
    <row r="143">
      <c r="A143" s="6" t="n"/>
      <c r="B143" s="6" t="n"/>
      <c r="C143" s="6" t="n"/>
      <c r="D143" s="6" t="n"/>
      <c r="E143" s="6" t="n"/>
      <c r="F143" s="9">
        <f>IF(OR($D143="",$E143=""),"",$E143-$D143)</f>
        <v/>
      </c>
      <c r="G143" s="6" t="n"/>
      <c r="H143" s="6" t="n"/>
      <c r="I143" s="6" t="n"/>
      <c r="J143" s="9">
        <f>IF(OR(NOT(ISNUMBER($H143)),NOT(ISNUMBER($I143)),$H143=0),"",$I143/$H143)</f>
        <v/>
      </c>
      <c r="K143" s="6" t="n"/>
      <c r="L143" s="8" t="n"/>
      <c r="M143" s="7" t="n"/>
      <c r="N143" s="7" t="n"/>
      <c r="O143" s="9">
        <f>IF(NOT(ISNUMBER($M143)),"",IF($L143="Fine earth / fine-earth volume",$M143*(1-IF(ISNUMBER($K143),$K143,0)/100),$M143))</f>
        <v/>
      </c>
      <c r="P143" s="9">
        <f>IF(OR(NOT(ISNUMBER($O143)),NOT(ISNUMBER($N143)),NOT(ISNUMBER($F143))),"",$O143*($N143/100)*$F143*10)</f>
        <v/>
      </c>
      <c r="Q143" s="9">
        <f>IF(OR(NOT(ISNUMBER($D143)),NOT(ISNUMBER($E143))),"",MAX(0,MIN($E143,SOIL_REPORTING_DEPTH_CM)-MIN($D143,SOIL_REPORTING_DEPTH_CM)))</f>
        <v/>
      </c>
      <c r="R143" s="9">
        <f>IF(OR(NOT(ISNUMBER($O143)),NOT(ISNUMBER($N143)),NOT(ISNUMBER($Q143))),"",$O143*($N143/100)*$Q143*10)</f>
        <v/>
      </c>
      <c r="S143" s="11">
        <f>IF(AND($A143="",$B143="",$D143=""),"",IF(AND($A143&lt;&gt;"",COUNTIF('1. Plot &amp; Site Log'!$A$5:$A$64,$A143)=0),"Plot ID not in the Plot &amp; Site Log. ","")&amp;IF(AND(ISNUMBER($D143),ISNUMBER($E143),$E143&lt;=$D143),"Bottom depth is not below top depth. ","")&amp;IF($L143="Not confirmed","Bulk-density basis not confirmed with the lab — the coarse-fragment correction may be wrong or doubled. ","")&amp;IF(AND(ISNUMBER($M143),OR($M143&lt;QC_BD_MIN,$M143&gt;QC_BD_MAX)),"Bulk density outside the plausible range for a mineral grassland soil. ","")&amp;IF(AND(ISNUMBER($N143),$N143&gt;QC_CARBON_PCT_MAX),"Organic carbon above the QC ceiling — check units, and whether this is an organic horizon. ","")&amp;IF(AND(ISNUMBER($J143),$J143&lt;QC_RECOVERY_MIN),"Recovered less than the QC minimum of the depth driven — the increments may not sit where you think. Do NOT stretch them back out. ","")&amp;IF(AND(ISNUMBER($K143),$K143&gt;0,$L143="Fine earth / total volume"),"Coarse fragments recorded and the lab basis already accounts for them — no further correction applied, which is correct. ",""))</f>
        <v/>
      </c>
      <c r="T143" s="6" t="n"/>
      <c r="U143" s="9">
        <f>IF($B143="",0,IF(COUNTIFS($B$5:$B143,$B143)=1,1,0))</f>
        <v/>
      </c>
    </row>
    <row r="144">
      <c r="A144" s="6" t="n"/>
      <c r="B144" s="6" t="n"/>
      <c r="C144" s="6" t="n"/>
      <c r="D144" s="6" t="n"/>
      <c r="E144" s="6" t="n"/>
      <c r="F144" s="9">
        <f>IF(OR($D144="",$E144=""),"",$E144-$D144)</f>
        <v/>
      </c>
      <c r="G144" s="6" t="n"/>
      <c r="H144" s="6" t="n"/>
      <c r="I144" s="6" t="n"/>
      <c r="J144" s="9">
        <f>IF(OR(NOT(ISNUMBER($H144)),NOT(ISNUMBER($I144)),$H144=0),"",$I144/$H144)</f>
        <v/>
      </c>
      <c r="K144" s="6" t="n"/>
      <c r="L144" s="8" t="n"/>
      <c r="M144" s="7" t="n"/>
      <c r="N144" s="7" t="n"/>
      <c r="O144" s="9">
        <f>IF(NOT(ISNUMBER($M144)),"",IF($L144="Fine earth / fine-earth volume",$M144*(1-IF(ISNUMBER($K144),$K144,0)/100),$M144))</f>
        <v/>
      </c>
      <c r="P144" s="9">
        <f>IF(OR(NOT(ISNUMBER($O144)),NOT(ISNUMBER($N144)),NOT(ISNUMBER($F144))),"",$O144*($N144/100)*$F144*10)</f>
        <v/>
      </c>
      <c r="Q144" s="9">
        <f>IF(OR(NOT(ISNUMBER($D144)),NOT(ISNUMBER($E144))),"",MAX(0,MIN($E144,SOIL_REPORTING_DEPTH_CM)-MIN($D144,SOIL_REPORTING_DEPTH_CM)))</f>
        <v/>
      </c>
      <c r="R144" s="9">
        <f>IF(OR(NOT(ISNUMBER($O144)),NOT(ISNUMBER($N144)),NOT(ISNUMBER($Q144))),"",$O144*($N144/100)*$Q144*10)</f>
        <v/>
      </c>
      <c r="S144" s="11">
        <f>IF(AND($A144="",$B144="",$D144=""),"",IF(AND($A144&lt;&gt;"",COUNTIF('1. Plot &amp; Site Log'!$A$5:$A$64,$A144)=0),"Plot ID not in the Plot &amp; Site Log. ","")&amp;IF(AND(ISNUMBER($D144),ISNUMBER($E144),$E144&lt;=$D144),"Bottom depth is not below top depth. ","")&amp;IF($L144="Not confirmed","Bulk-density basis not confirmed with the lab — the coarse-fragment correction may be wrong or doubled. ","")&amp;IF(AND(ISNUMBER($M144),OR($M144&lt;QC_BD_MIN,$M144&gt;QC_BD_MAX)),"Bulk density outside the plausible range for a mineral grassland soil. ","")&amp;IF(AND(ISNUMBER($N144),$N144&gt;QC_CARBON_PCT_MAX),"Organic carbon above the QC ceiling — check units, and whether this is an organic horizon. ","")&amp;IF(AND(ISNUMBER($J144),$J144&lt;QC_RECOVERY_MIN),"Recovered less than the QC minimum of the depth driven — the increments may not sit where you think. Do NOT stretch them back out. ","")&amp;IF(AND(ISNUMBER($K144),$K144&gt;0,$L144="Fine earth / total volume"),"Coarse fragments recorded and the lab basis already accounts for them — no further correction applied, which is correct. ",""))</f>
        <v/>
      </c>
      <c r="T144" s="6" t="n"/>
      <c r="U144" s="9">
        <f>IF($B144="",0,IF(COUNTIFS($B$5:$B144,$B144)=1,1,0))</f>
        <v/>
      </c>
    </row>
    <row r="145">
      <c r="A145" s="6" t="n"/>
      <c r="B145" s="6" t="n"/>
      <c r="C145" s="6" t="n"/>
      <c r="D145" s="6" t="n"/>
      <c r="E145" s="6" t="n"/>
      <c r="F145" s="9">
        <f>IF(OR($D145="",$E145=""),"",$E145-$D145)</f>
        <v/>
      </c>
      <c r="G145" s="6" t="n"/>
      <c r="H145" s="6" t="n"/>
      <c r="I145" s="6" t="n"/>
      <c r="J145" s="9">
        <f>IF(OR(NOT(ISNUMBER($H145)),NOT(ISNUMBER($I145)),$H145=0),"",$I145/$H145)</f>
        <v/>
      </c>
      <c r="K145" s="6" t="n"/>
      <c r="L145" s="8" t="n"/>
      <c r="M145" s="7" t="n"/>
      <c r="N145" s="7" t="n"/>
      <c r="O145" s="9">
        <f>IF(NOT(ISNUMBER($M145)),"",IF($L145="Fine earth / fine-earth volume",$M145*(1-IF(ISNUMBER($K145),$K145,0)/100),$M145))</f>
        <v/>
      </c>
      <c r="P145" s="9">
        <f>IF(OR(NOT(ISNUMBER($O145)),NOT(ISNUMBER($N145)),NOT(ISNUMBER($F145))),"",$O145*($N145/100)*$F145*10)</f>
        <v/>
      </c>
      <c r="Q145" s="9">
        <f>IF(OR(NOT(ISNUMBER($D145)),NOT(ISNUMBER($E145))),"",MAX(0,MIN($E145,SOIL_REPORTING_DEPTH_CM)-MIN($D145,SOIL_REPORTING_DEPTH_CM)))</f>
        <v/>
      </c>
      <c r="R145" s="9">
        <f>IF(OR(NOT(ISNUMBER($O145)),NOT(ISNUMBER($N145)),NOT(ISNUMBER($Q145))),"",$O145*($N145/100)*$Q145*10)</f>
        <v/>
      </c>
      <c r="S145" s="11">
        <f>IF(AND($A145="",$B145="",$D145=""),"",IF(AND($A145&lt;&gt;"",COUNTIF('1. Plot &amp; Site Log'!$A$5:$A$64,$A145)=0),"Plot ID not in the Plot &amp; Site Log. ","")&amp;IF(AND(ISNUMBER($D145),ISNUMBER($E145),$E145&lt;=$D145),"Bottom depth is not below top depth. ","")&amp;IF($L145="Not confirmed","Bulk-density basis not confirmed with the lab — the coarse-fragment correction may be wrong or doubled. ","")&amp;IF(AND(ISNUMBER($M145),OR($M145&lt;QC_BD_MIN,$M145&gt;QC_BD_MAX)),"Bulk density outside the plausible range for a mineral grassland soil. ","")&amp;IF(AND(ISNUMBER($N145),$N145&gt;QC_CARBON_PCT_MAX),"Organic carbon above the QC ceiling — check units, and whether this is an organic horizon. ","")&amp;IF(AND(ISNUMBER($J145),$J145&lt;QC_RECOVERY_MIN),"Recovered less than the QC minimum of the depth driven — the increments may not sit where you think. Do NOT stretch them back out. ","")&amp;IF(AND(ISNUMBER($K145),$K145&gt;0,$L145="Fine earth / total volume"),"Coarse fragments recorded and the lab basis already accounts for them — no further correction applied, which is correct. ",""))</f>
        <v/>
      </c>
      <c r="T145" s="6" t="n"/>
      <c r="U145" s="9">
        <f>IF($B145="",0,IF(COUNTIFS($B$5:$B145,$B145)=1,1,0))</f>
        <v/>
      </c>
    </row>
    <row r="146">
      <c r="A146" s="6" t="n"/>
      <c r="B146" s="6" t="n"/>
      <c r="C146" s="6" t="n"/>
      <c r="D146" s="6" t="n"/>
      <c r="E146" s="6" t="n"/>
      <c r="F146" s="9">
        <f>IF(OR($D146="",$E146=""),"",$E146-$D146)</f>
        <v/>
      </c>
      <c r="G146" s="6" t="n"/>
      <c r="H146" s="6" t="n"/>
      <c r="I146" s="6" t="n"/>
      <c r="J146" s="9">
        <f>IF(OR(NOT(ISNUMBER($H146)),NOT(ISNUMBER($I146)),$H146=0),"",$I146/$H146)</f>
        <v/>
      </c>
      <c r="K146" s="6" t="n"/>
      <c r="L146" s="8" t="n"/>
      <c r="M146" s="7" t="n"/>
      <c r="N146" s="7" t="n"/>
      <c r="O146" s="9">
        <f>IF(NOT(ISNUMBER($M146)),"",IF($L146="Fine earth / fine-earth volume",$M146*(1-IF(ISNUMBER($K146),$K146,0)/100),$M146))</f>
        <v/>
      </c>
      <c r="P146" s="9">
        <f>IF(OR(NOT(ISNUMBER($O146)),NOT(ISNUMBER($N146)),NOT(ISNUMBER($F146))),"",$O146*($N146/100)*$F146*10)</f>
        <v/>
      </c>
      <c r="Q146" s="9">
        <f>IF(OR(NOT(ISNUMBER($D146)),NOT(ISNUMBER($E146))),"",MAX(0,MIN($E146,SOIL_REPORTING_DEPTH_CM)-MIN($D146,SOIL_REPORTING_DEPTH_CM)))</f>
        <v/>
      </c>
      <c r="R146" s="9">
        <f>IF(OR(NOT(ISNUMBER($O146)),NOT(ISNUMBER($N146)),NOT(ISNUMBER($Q146))),"",$O146*($N146/100)*$Q146*10)</f>
        <v/>
      </c>
      <c r="S146" s="11">
        <f>IF(AND($A146="",$B146="",$D146=""),"",IF(AND($A146&lt;&gt;"",COUNTIF('1. Plot &amp; Site Log'!$A$5:$A$64,$A146)=0),"Plot ID not in the Plot &amp; Site Log. ","")&amp;IF(AND(ISNUMBER($D146),ISNUMBER($E146),$E146&lt;=$D146),"Bottom depth is not below top depth. ","")&amp;IF($L146="Not confirmed","Bulk-density basis not confirmed with the lab — the coarse-fragment correction may be wrong or doubled. ","")&amp;IF(AND(ISNUMBER($M146),OR($M146&lt;QC_BD_MIN,$M146&gt;QC_BD_MAX)),"Bulk density outside the plausible range for a mineral grassland soil. ","")&amp;IF(AND(ISNUMBER($N146),$N146&gt;QC_CARBON_PCT_MAX),"Organic carbon above the QC ceiling — check units, and whether this is an organic horizon. ","")&amp;IF(AND(ISNUMBER($J146),$J146&lt;QC_RECOVERY_MIN),"Recovered less than the QC minimum of the depth driven — the increments may not sit where you think. Do NOT stretch them back out. ","")&amp;IF(AND(ISNUMBER($K146),$K146&gt;0,$L146="Fine earth / total volume"),"Coarse fragments recorded and the lab basis already accounts for them — no further correction applied, which is correct. ",""))</f>
        <v/>
      </c>
      <c r="T146" s="6" t="n"/>
      <c r="U146" s="9">
        <f>IF($B146="",0,IF(COUNTIFS($B$5:$B146,$B146)=1,1,0))</f>
        <v/>
      </c>
    </row>
    <row r="147">
      <c r="A147" s="6" t="n"/>
      <c r="B147" s="6" t="n"/>
      <c r="C147" s="6" t="n"/>
      <c r="D147" s="6" t="n"/>
      <c r="E147" s="6" t="n"/>
      <c r="F147" s="9">
        <f>IF(OR($D147="",$E147=""),"",$E147-$D147)</f>
        <v/>
      </c>
      <c r="G147" s="6" t="n"/>
      <c r="H147" s="6" t="n"/>
      <c r="I147" s="6" t="n"/>
      <c r="J147" s="9">
        <f>IF(OR(NOT(ISNUMBER($H147)),NOT(ISNUMBER($I147)),$H147=0),"",$I147/$H147)</f>
        <v/>
      </c>
      <c r="K147" s="6" t="n"/>
      <c r="L147" s="8" t="n"/>
      <c r="M147" s="7" t="n"/>
      <c r="N147" s="7" t="n"/>
      <c r="O147" s="9">
        <f>IF(NOT(ISNUMBER($M147)),"",IF($L147="Fine earth / fine-earth volume",$M147*(1-IF(ISNUMBER($K147),$K147,0)/100),$M147))</f>
        <v/>
      </c>
      <c r="P147" s="9">
        <f>IF(OR(NOT(ISNUMBER($O147)),NOT(ISNUMBER($N147)),NOT(ISNUMBER($F147))),"",$O147*($N147/100)*$F147*10)</f>
        <v/>
      </c>
      <c r="Q147" s="9">
        <f>IF(OR(NOT(ISNUMBER($D147)),NOT(ISNUMBER($E147))),"",MAX(0,MIN($E147,SOIL_REPORTING_DEPTH_CM)-MIN($D147,SOIL_REPORTING_DEPTH_CM)))</f>
        <v/>
      </c>
      <c r="R147" s="9">
        <f>IF(OR(NOT(ISNUMBER($O147)),NOT(ISNUMBER($N147)),NOT(ISNUMBER($Q147))),"",$O147*($N147/100)*$Q147*10)</f>
        <v/>
      </c>
      <c r="S147" s="11">
        <f>IF(AND($A147="",$B147="",$D147=""),"",IF(AND($A147&lt;&gt;"",COUNTIF('1. Plot &amp; Site Log'!$A$5:$A$64,$A147)=0),"Plot ID not in the Plot &amp; Site Log. ","")&amp;IF(AND(ISNUMBER($D147),ISNUMBER($E147),$E147&lt;=$D147),"Bottom depth is not below top depth. ","")&amp;IF($L147="Not confirmed","Bulk-density basis not confirmed with the lab — the coarse-fragment correction may be wrong or doubled. ","")&amp;IF(AND(ISNUMBER($M147),OR($M147&lt;QC_BD_MIN,$M147&gt;QC_BD_MAX)),"Bulk density outside the plausible range for a mineral grassland soil. ","")&amp;IF(AND(ISNUMBER($N147),$N147&gt;QC_CARBON_PCT_MAX),"Organic carbon above the QC ceiling — check units, and whether this is an organic horizon. ","")&amp;IF(AND(ISNUMBER($J147),$J147&lt;QC_RECOVERY_MIN),"Recovered less than the QC minimum of the depth driven — the increments may not sit where you think. Do NOT stretch them back out. ","")&amp;IF(AND(ISNUMBER($K147),$K147&gt;0,$L147="Fine earth / total volume"),"Coarse fragments recorded and the lab basis already accounts for them — no further correction applied, which is correct. ",""))</f>
        <v/>
      </c>
      <c r="T147" s="6" t="n"/>
      <c r="U147" s="9">
        <f>IF($B147="",0,IF(COUNTIFS($B$5:$B147,$B147)=1,1,0))</f>
        <v/>
      </c>
    </row>
    <row r="148">
      <c r="A148" s="6" t="n"/>
      <c r="B148" s="6" t="n"/>
      <c r="C148" s="6" t="n"/>
      <c r="D148" s="6" t="n"/>
      <c r="E148" s="6" t="n"/>
      <c r="F148" s="9">
        <f>IF(OR($D148="",$E148=""),"",$E148-$D148)</f>
        <v/>
      </c>
      <c r="G148" s="6" t="n"/>
      <c r="H148" s="6" t="n"/>
      <c r="I148" s="6" t="n"/>
      <c r="J148" s="9">
        <f>IF(OR(NOT(ISNUMBER($H148)),NOT(ISNUMBER($I148)),$H148=0),"",$I148/$H148)</f>
        <v/>
      </c>
      <c r="K148" s="6" t="n"/>
      <c r="L148" s="8" t="n"/>
      <c r="M148" s="7" t="n"/>
      <c r="N148" s="7" t="n"/>
      <c r="O148" s="9">
        <f>IF(NOT(ISNUMBER($M148)),"",IF($L148="Fine earth / fine-earth volume",$M148*(1-IF(ISNUMBER($K148),$K148,0)/100),$M148))</f>
        <v/>
      </c>
      <c r="P148" s="9">
        <f>IF(OR(NOT(ISNUMBER($O148)),NOT(ISNUMBER($N148)),NOT(ISNUMBER($F148))),"",$O148*($N148/100)*$F148*10)</f>
        <v/>
      </c>
      <c r="Q148" s="9">
        <f>IF(OR(NOT(ISNUMBER($D148)),NOT(ISNUMBER($E148))),"",MAX(0,MIN($E148,SOIL_REPORTING_DEPTH_CM)-MIN($D148,SOIL_REPORTING_DEPTH_CM)))</f>
        <v/>
      </c>
      <c r="R148" s="9">
        <f>IF(OR(NOT(ISNUMBER($O148)),NOT(ISNUMBER($N148)),NOT(ISNUMBER($Q148))),"",$O148*($N148/100)*$Q148*10)</f>
        <v/>
      </c>
      <c r="S148" s="11">
        <f>IF(AND($A148="",$B148="",$D148=""),"",IF(AND($A148&lt;&gt;"",COUNTIF('1. Plot &amp; Site Log'!$A$5:$A$64,$A148)=0),"Plot ID not in the Plot &amp; Site Log. ","")&amp;IF(AND(ISNUMBER($D148),ISNUMBER($E148),$E148&lt;=$D148),"Bottom depth is not below top depth. ","")&amp;IF($L148="Not confirmed","Bulk-density basis not confirmed with the lab — the coarse-fragment correction may be wrong or doubled. ","")&amp;IF(AND(ISNUMBER($M148),OR($M148&lt;QC_BD_MIN,$M148&gt;QC_BD_MAX)),"Bulk density outside the plausible range for a mineral grassland soil. ","")&amp;IF(AND(ISNUMBER($N148),$N148&gt;QC_CARBON_PCT_MAX),"Organic carbon above the QC ceiling — check units, and whether this is an organic horizon. ","")&amp;IF(AND(ISNUMBER($J148),$J148&lt;QC_RECOVERY_MIN),"Recovered less than the QC minimum of the depth driven — the increments may not sit where you think. Do NOT stretch them back out. ","")&amp;IF(AND(ISNUMBER($K148),$K148&gt;0,$L148="Fine earth / total volume"),"Coarse fragments recorded and the lab basis already accounts for them — no further correction applied, which is correct. ",""))</f>
        <v/>
      </c>
      <c r="T148" s="6" t="n"/>
      <c r="U148" s="9">
        <f>IF($B148="",0,IF(COUNTIFS($B$5:$B148,$B148)=1,1,0))</f>
        <v/>
      </c>
    </row>
    <row r="149">
      <c r="A149" s="6" t="n"/>
      <c r="B149" s="6" t="n"/>
      <c r="C149" s="6" t="n"/>
      <c r="D149" s="6" t="n"/>
      <c r="E149" s="6" t="n"/>
      <c r="F149" s="9">
        <f>IF(OR($D149="",$E149=""),"",$E149-$D149)</f>
        <v/>
      </c>
      <c r="G149" s="6" t="n"/>
      <c r="H149" s="6" t="n"/>
      <c r="I149" s="6" t="n"/>
      <c r="J149" s="9">
        <f>IF(OR(NOT(ISNUMBER($H149)),NOT(ISNUMBER($I149)),$H149=0),"",$I149/$H149)</f>
        <v/>
      </c>
      <c r="K149" s="6" t="n"/>
      <c r="L149" s="8" t="n"/>
      <c r="M149" s="7" t="n"/>
      <c r="N149" s="7" t="n"/>
      <c r="O149" s="9">
        <f>IF(NOT(ISNUMBER($M149)),"",IF($L149="Fine earth / fine-earth volume",$M149*(1-IF(ISNUMBER($K149),$K149,0)/100),$M149))</f>
        <v/>
      </c>
      <c r="P149" s="9">
        <f>IF(OR(NOT(ISNUMBER($O149)),NOT(ISNUMBER($N149)),NOT(ISNUMBER($F149))),"",$O149*($N149/100)*$F149*10)</f>
        <v/>
      </c>
      <c r="Q149" s="9">
        <f>IF(OR(NOT(ISNUMBER($D149)),NOT(ISNUMBER($E149))),"",MAX(0,MIN($E149,SOIL_REPORTING_DEPTH_CM)-MIN($D149,SOIL_REPORTING_DEPTH_CM)))</f>
        <v/>
      </c>
      <c r="R149" s="9">
        <f>IF(OR(NOT(ISNUMBER($O149)),NOT(ISNUMBER($N149)),NOT(ISNUMBER($Q149))),"",$O149*($N149/100)*$Q149*10)</f>
        <v/>
      </c>
      <c r="S149" s="11">
        <f>IF(AND($A149="",$B149="",$D149=""),"",IF(AND($A149&lt;&gt;"",COUNTIF('1. Plot &amp; Site Log'!$A$5:$A$64,$A149)=0),"Plot ID not in the Plot &amp; Site Log. ","")&amp;IF(AND(ISNUMBER($D149),ISNUMBER($E149),$E149&lt;=$D149),"Bottom depth is not below top depth. ","")&amp;IF($L149="Not confirmed","Bulk-density basis not confirmed with the lab — the coarse-fragment correction may be wrong or doubled. ","")&amp;IF(AND(ISNUMBER($M149),OR($M149&lt;QC_BD_MIN,$M149&gt;QC_BD_MAX)),"Bulk density outside the plausible range for a mineral grassland soil. ","")&amp;IF(AND(ISNUMBER($N149),$N149&gt;QC_CARBON_PCT_MAX),"Organic carbon above the QC ceiling — check units, and whether this is an organic horizon. ","")&amp;IF(AND(ISNUMBER($J149),$J149&lt;QC_RECOVERY_MIN),"Recovered less than the QC minimum of the depth driven — the increments may not sit where you think. Do NOT stretch them back out. ","")&amp;IF(AND(ISNUMBER($K149),$K149&gt;0,$L149="Fine earth / total volume"),"Coarse fragments recorded and the lab basis already accounts for them — no further correction applied, which is correct. ",""))</f>
        <v/>
      </c>
      <c r="T149" s="6" t="n"/>
      <c r="U149" s="9">
        <f>IF($B149="",0,IF(COUNTIFS($B$5:$B149,$B149)=1,1,0))</f>
        <v/>
      </c>
    </row>
    <row r="150">
      <c r="A150" s="6" t="n"/>
      <c r="B150" s="6" t="n"/>
      <c r="C150" s="6" t="n"/>
      <c r="D150" s="6" t="n"/>
      <c r="E150" s="6" t="n"/>
      <c r="F150" s="9">
        <f>IF(OR($D150="",$E150=""),"",$E150-$D150)</f>
        <v/>
      </c>
      <c r="G150" s="6" t="n"/>
      <c r="H150" s="6" t="n"/>
      <c r="I150" s="6" t="n"/>
      <c r="J150" s="9">
        <f>IF(OR(NOT(ISNUMBER($H150)),NOT(ISNUMBER($I150)),$H150=0),"",$I150/$H150)</f>
        <v/>
      </c>
      <c r="K150" s="6" t="n"/>
      <c r="L150" s="8" t="n"/>
      <c r="M150" s="7" t="n"/>
      <c r="N150" s="7" t="n"/>
      <c r="O150" s="9">
        <f>IF(NOT(ISNUMBER($M150)),"",IF($L150="Fine earth / fine-earth volume",$M150*(1-IF(ISNUMBER($K150),$K150,0)/100),$M150))</f>
        <v/>
      </c>
      <c r="P150" s="9">
        <f>IF(OR(NOT(ISNUMBER($O150)),NOT(ISNUMBER($N150)),NOT(ISNUMBER($F150))),"",$O150*($N150/100)*$F150*10)</f>
        <v/>
      </c>
      <c r="Q150" s="9">
        <f>IF(OR(NOT(ISNUMBER($D150)),NOT(ISNUMBER($E150))),"",MAX(0,MIN($E150,SOIL_REPORTING_DEPTH_CM)-MIN($D150,SOIL_REPORTING_DEPTH_CM)))</f>
        <v/>
      </c>
      <c r="R150" s="9">
        <f>IF(OR(NOT(ISNUMBER($O150)),NOT(ISNUMBER($N150)),NOT(ISNUMBER($Q150))),"",$O150*($N150/100)*$Q150*10)</f>
        <v/>
      </c>
      <c r="S150" s="11">
        <f>IF(AND($A150="",$B150="",$D150=""),"",IF(AND($A150&lt;&gt;"",COUNTIF('1. Plot &amp; Site Log'!$A$5:$A$64,$A150)=0),"Plot ID not in the Plot &amp; Site Log. ","")&amp;IF(AND(ISNUMBER($D150),ISNUMBER($E150),$E150&lt;=$D150),"Bottom depth is not below top depth. ","")&amp;IF($L150="Not confirmed","Bulk-density basis not confirmed with the lab — the coarse-fragment correction may be wrong or doubled. ","")&amp;IF(AND(ISNUMBER($M150),OR($M150&lt;QC_BD_MIN,$M150&gt;QC_BD_MAX)),"Bulk density outside the plausible range for a mineral grassland soil. ","")&amp;IF(AND(ISNUMBER($N150),$N150&gt;QC_CARBON_PCT_MAX),"Organic carbon above the QC ceiling — check units, and whether this is an organic horizon. ","")&amp;IF(AND(ISNUMBER($J150),$J150&lt;QC_RECOVERY_MIN),"Recovered less than the QC minimum of the depth driven — the increments may not sit where you think. Do NOT stretch them back out. ","")&amp;IF(AND(ISNUMBER($K150),$K150&gt;0,$L150="Fine earth / total volume"),"Coarse fragments recorded and the lab basis already accounts for them — no further correction applied, which is correct. ",""))</f>
        <v/>
      </c>
      <c r="T150" s="6" t="n"/>
      <c r="U150" s="9">
        <f>IF($B150="",0,IF(COUNTIFS($B$5:$B150,$B150)=1,1,0))</f>
        <v/>
      </c>
    </row>
    <row r="151">
      <c r="A151" s="6" t="n"/>
      <c r="B151" s="6" t="n"/>
      <c r="C151" s="6" t="n"/>
      <c r="D151" s="6" t="n"/>
      <c r="E151" s="6" t="n"/>
      <c r="F151" s="9">
        <f>IF(OR($D151="",$E151=""),"",$E151-$D151)</f>
        <v/>
      </c>
      <c r="G151" s="6" t="n"/>
      <c r="H151" s="6" t="n"/>
      <c r="I151" s="6" t="n"/>
      <c r="J151" s="9">
        <f>IF(OR(NOT(ISNUMBER($H151)),NOT(ISNUMBER($I151)),$H151=0),"",$I151/$H151)</f>
        <v/>
      </c>
      <c r="K151" s="6" t="n"/>
      <c r="L151" s="8" t="n"/>
      <c r="M151" s="7" t="n"/>
      <c r="N151" s="7" t="n"/>
      <c r="O151" s="9">
        <f>IF(NOT(ISNUMBER($M151)),"",IF($L151="Fine earth / fine-earth volume",$M151*(1-IF(ISNUMBER($K151),$K151,0)/100),$M151))</f>
        <v/>
      </c>
      <c r="P151" s="9">
        <f>IF(OR(NOT(ISNUMBER($O151)),NOT(ISNUMBER($N151)),NOT(ISNUMBER($F151))),"",$O151*($N151/100)*$F151*10)</f>
        <v/>
      </c>
      <c r="Q151" s="9">
        <f>IF(OR(NOT(ISNUMBER($D151)),NOT(ISNUMBER($E151))),"",MAX(0,MIN($E151,SOIL_REPORTING_DEPTH_CM)-MIN($D151,SOIL_REPORTING_DEPTH_CM)))</f>
        <v/>
      </c>
      <c r="R151" s="9">
        <f>IF(OR(NOT(ISNUMBER($O151)),NOT(ISNUMBER($N151)),NOT(ISNUMBER($Q151))),"",$O151*($N151/100)*$Q151*10)</f>
        <v/>
      </c>
      <c r="S151" s="11">
        <f>IF(AND($A151="",$B151="",$D151=""),"",IF(AND($A151&lt;&gt;"",COUNTIF('1. Plot &amp; Site Log'!$A$5:$A$64,$A151)=0),"Plot ID not in the Plot &amp; Site Log. ","")&amp;IF(AND(ISNUMBER($D151),ISNUMBER($E151),$E151&lt;=$D151),"Bottom depth is not below top depth. ","")&amp;IF($L151="Not confirmed","Bulk-density basis not confirmed with the lab — the coarse-fragment correction may be wrong or doubled. ","")&amp;IF(AND(ISNUMBER($M151),OR($M151&lt;QC_BD_MIN,$M151&gt;QC_BD_MAX)),"Bulk density outside the plausible range for a mineral grassland soil. ","")&amp;IF(AND(ISNUMBER($N151),$N151&gt;QC_CARBON_PCT_MAX),"Organic carbon above the QC ceiling — check units, and whether this is an organic horizon. ","")&amp;IF(AND(ISNUMBER($J151),$J151&lt;QC_RECOVERY_MIN),"Recovered less than the QC minimum of the depth driven — the increments may not sit where you think. Do NOT stretch them back out. ","")&amp;IF(AND(ISNUMBER($K151),$K151&gt;0,$L151="Fine earth / total volume"),"Coarse fragments recorded and the lab basis already accounts for them — no further correction applied, which is correct. ",""))</f>
        <v/>
      </c>
      <c r="T151" s="6" t="n"/>
      <c r="U151" s="9">
        <f>IF($B151="",0,IF(COUNTIFS($B$5:$B151,$B151)=1,1,0))</f>
        <v/>
      </c>
    </row>
    <row r="152">
      <c r="A152" s="6" t="n"/>
      <c r="B152" s="6" t="n"/>
      <c r="C152" s="6" t="n"/>
      <c r="D152" s="6" t="n"/>
      <c r="E152" s="6" t="n"/>
      <c r="F152" s="9">
        <f>IF(OR($D152="",$E152=""),"",$E152-$D152)</f>
        <v/>
      </c>
      <c r="G152" s="6" t="n"/>
      <c r="H152" s="6" t="n"/>
      <c r="I152" s="6" t="n"/>
      <c r="J152" s="9">
        <f>IF(OR(NOT(ISNUMBER($H152)),NOT(ISNUMBER($I152)),$H152=0),"",$I152/$H152)</f>
        <v/>
      </c>
      <c r="K152" s="6" t="n"/>
      <c r="L152" s="8" t="n"/>
      <c r="M152" s="7" t="n"/>
      <c r="N152" s="7" t="n"/>
      <c r="O152" s="9">
        <f>IF(NOT(ISNUMBER($M152)),"",IF($L152="Fine earth / fine-earth volume",$M152*(1-IF(ISNUMBER($K152),$K152,0)/100),$M152))</f>
        <v/>
      </c>
      <c r="P152" s="9">
        <f>IF(OR(NOT(ISNUMBER($O152)),NOT(ISNUMBER($N152)),NOT(ISNUMBER($F152))),"",$O152*($N152/100)*$F152*10)</f>
        <v/>
      </c>
      <c r="Q152" s="9">
        <f>IF(OR(NOT(ISNUMBER($D152)),NOT(ISNUMBER($E152))),"",MAX(0,MIN($E152,SOIL_REPORTING_DEPTH_CM)-MIN($D152,SOIL_REPORTING_DEPTH_CM)))</f>
        <v/>
      </c>
      <c r="R152" s="9">
        <f>IF(OR(NOT(ISNUMBER($O152)),NOT(ISNUMBER($N152)),NOT(ISNUMBER($Q152))),"",$O152*($N152/100)*$Q152*10)</f>
        <v/>
      </c>
      <c r="S152" s="11">
        <f>IF(AND($A152="",$B152="",$D152=""),"",IF(AND($A152&lt;&gt;"",COUNTIF('1. Plot &amp; Site Log'!$A$5:$A$64,$A152)=0),"Plot ID not in the Plot &amp; Site Log. ","")&amp;IF(AND(ISNUMBER($D152),ISNUMBER($E152),$E152&lt;=$D152),"Bottom depth is not below top depth. ","")&amp;IF($L152="Not confirmed","Bulk-density basis not confirmed with the lab — the coarse-fragment correction may be wrong or doubled. ","")&amp;IF(AND(ISNUMBER($M152),OR($M152&lt;QC_BD_MIN,$M152&gt;QC_BD_MAX)),"Bulk density outside the plausible range for a mineral grassland soil. ","")&amp;IF(AND(ISNUMBER($N152),$N152&gt;QC_CARBON_PCT_MAX),"Organic carbon above the QC ceiling — check units, and whether this is an organic horizon. ","")&amp;IF(AND(ISNUMBER($J152),$J152&lt;QC_RECOVERY_MIN),"Recovered less than the QC minimum of the depth driven — the increments may not sit where you think. Do NOT stretch them back out. ","")&amp;IF(AND(ISNUMBER($K152),$K152&gt;0,$L152="Fine earth / total volume"),"Coarse fragments recorded and the lab basis already accounts for them — no further correction applied, which is correct. ",""))</f>
        <v/>
      </c>
      <c r="T152" s="6" t="n"/>
      <c r="U152" s="9">
        <f>IF($B152="",0,IF(COUNTIFS($B$5:$B152,$B152)=1,1,0))</f>
        <v/>
      </c>
    </row>
    <row r="153">
      <c r="A153" s="6" t="n"/>
      <c r="B153" s="6" t="n"/>
      <c r="C153" s="6" t="n"/>
      <c r="D153" s="6" t="n"/>
      <c r="E153" s="6" t="n"/>
      <c r="F153" s="9">
        <f>IF(OR($D153="",$E153=""),"",$E153-$D153)</f>
        <v/>
      </c>
      <c r="G153" s="6" t="n"/>
      <c r="H153" s="6" t="n"/>
      <c r="I153" s="6" t="n"/>
      <c r="J153" s="9">
        <f>IF(OR(NOT(ISNUMBER($H153)),NOT(ISNUMBER($I153)),$H153=0),"",$I153/$H153)</f>
        <v/>
      </c>
      <c r="K153" s="6" t="n"/>
      <c r="L153" s="8" t="n"/>
      <c r="M153" s="7" t="n"/>
      <c r="N153" s="7" t="n"/>
      <c r="O153" s="9">
        <f>IF(NOT(ISNUMBER($M153)),"",IF($L153="Fine earth / fine-earth volume",$M153*(1-IF(ISNUMBER($K153),$K153,0)/100),$M153))</f>
        <v/>
      </c>
      <c r="P153" s="9">
        <f>IF(OR(NOT(ISNUMBER($O153)),NOT(ISNUMBER($N153)),NOT(ISNUMBER($F153))),"",$O153*($N153/100)*$F153*10)</f>
        <v/>
      </c>
      <c r="Q153" s="9">
        <f>IF(OR(NOT(ISNUMBER($D153)),NOT(ISNUMBER($E153))),"",MAX(0,MIN($E153,SOIL_REPORTING_DEPTH_CM)-MIN($D153,SOIL_REPORTING_DEPTH_CM)))</f>
        <v/>
      </c>
      <c r="R153" s="9">
        <f>IF(OR(NOT(ISNUMBER($O153)),NOT(ISNUMBER($N153)),NOT(ISNUMBER($Q153))),"",$O153*($N153/100)*$Q153*10)</f>
        <v/>
      </c>
      <c r="S153" s="11">
        <f>IF(AND($A153="",$B153="",$D153=""),"",IF(AND($A153&lt;&gt;"",COUNTIF('1. Plot &amp; Site Log'!$A$5:$A$64,$A153)=0),"Plot ID not in the Plot &amp; Site Log. ","")&amp;IF(AND(ISNUMBER($D153),ISNUMBER($E153),$E153&lt;=$D153),"Bottom depth is not below top depth. ","")&amp;IF($L153="Not confirmed","Bulk-density basis not confirmed with the lab — the coarse-fragment correction may be wrong or doubled. ","")&amp;IF(AND(ISNUMBER($M153),OR($M153&lt;QC_BD_MIN,$M153&gt;QC_BD_MAX)),"Bulk density outside the plausible range for a mineral grassland soil. ","")&amp;IF(AND(ISNUMBER($N153),$N153&gt;QC_CARBON_PCT_MAX),"Organic carbon above the QC ceiling — check units, and whether this is an organic horizon. ","")&amp;IF(AND(ISNUMBER($J153),$J153&lt;QC_RECOVERY_MIN),"Recovered less than the QC minimum of the depth driven — the increments may not sit where you think. Do NOT stretch them back out. ","")&amp;IF(AND(ISNUMBER($K153),$K153&gt;0,$L153="Fine earth / total volume"),"Coarse fragments recorded and the lab basis already accounts for them — no further correction applied, which is correct. ",""))</f>
        <v/>
      </c>
      <c r="T153" s="6" t="n"/>
      <c r="U153" s="9">
        <f>IF($B153="",0,IF(COUNTIFS($B$5:$B153,$B153)=1,1,0))</f>
        <v/>
      </c>
    </row>
    <row r="154">
      <c r="A154" s="6" t="n"/>
      <c r="B154" s="6" t="n"/>
      <c r="C154" s="6" t="n"/>
      <c r="D154" s="6" t="n"/>
      <c r="E154" s="6" t="n"/>
      <c r="F154" s="9">
        <f>IF(OR($D154="",$E154=""),"",$E154-$D154)</f>
        <v/>
      </c>
      <c r="G154" s="6" t="n"/>
      <c r="H154" s="6" t="n"/>
      <c r="I154" s="6" t="n"/>
      <c r="J154" s="9">
        <f>IF(OR(NOT(ISNUMBER($H154)),NOT(ISNUMBER($I154)),$H154=0),"",$I154/$H154)</f>
        <v/>
      </c>
      <c r="K154" s="6" t="n"/>
      <c r="L154" s="8" t="n"/>
      <c r="M154" s="7" t="n"/>
      <c r="N154" s="7" t="n"/>
      <c r="O154" s="9">
        <f>IF(NOT(ISNUMBER($M154)),"",IF($L154="Fine earth / fine-earth volume",$M154*(1-IF(ISNUMBER($K154),$K154,0)/100),$M154))</f>
        <v/>
      </c>
      <c r="P154" s="9">
        <f>IF(OR(NOT(ISNUMBER($O154)),NOT(ISNUMBER($N154)),NOT(ISNUMBER($F154))),"",$O154*($N154/100)*$F154*10)</f>
        <v/>
      </c>
      <c r="Q154" s="9">
        <f>IF(OR(NOT(ISNUMBER($D154)),NOT(ISNUMBER($E154))),"",MAX(0,MIN($E154,SOIL_REPORTING_DEPTH_CM)-MIN($D154,SOIL_REPORTING_DEPTH_CM)))</f>
        <v/>
      </c>
      <c r="R154" s="9">
        <f>IF(OR(NOT(ISNUMBER($O154)),NOT(ISNUMBER($N154)),NOT(ISNUMBER($Q154))),"",$O154*($N154/100)*$Q154*10)</f>
        <v/>
      </c>
      <c r="S154" s="11">
        <f>IF(AND($A154="",$B154="",$D154=""),"",IF(AND($A154&lt;&gt;"",COUNTIF('1. Plot &amp; Site Log'!$A$5:$A$64,$A154)=0),"Plot ID not in the Plot &amp; Site Log. ","")&amp;IF(AND(ISNUMBER($D154),ISNUMBER($E154),$E154&lt;=$D154),"Bottom depth is not below top depth. ","")&amp;IF($L154="Not confirmed","Bulk-density basis not confirmed with the lab — the coarse-fragment correction may be wrong or doubled. ","")&amp;IF(AND(ISNUMBER($M154),OR($M154&lt;QC_BD_MIN,$M154&gt;QC_BD_MAX)),"Bulk density outside the plausible range for a mineral grassland soil. ","")&amp;IF(AND(ISNUMBER($N154),$N154&gt;QC_CARBON_PCT_MAX),"Organic carbon above the QC ceiling — check units, and whether this is an organic horizon. ","")&amp;IF(AND(ISNUMBER($J154),$J154&lt;QC_RECOVERY_MIN),"Recovered less than the QC minimum of the depth driven — the increments may not sit where you think. Do NOT stretch them back out. ","")&amp;IF(AND(ISNUMBER($K154),$K154&gt;0,$L154="Fine earth / total volume"),"Coarse fragments recorded and the lab basis already accounts for them — no further correction applied, which is correct. ",""))</f>
        <v/>
      </c>
      <c r="T154" s="6" t="n"/>
      <c r="U154" s="9">
        <f>IF($B154="",0,IF(COUNTIFS($B$5:$B154,$B154)=1,1,0))</f>
        <v/>
      </c>
    </row>
    <row r="155">
      <c r="A155" s="6" t="n"/>
      <c r="B155" s="6" t="n"/>
      <c r="C155" s="6" t="n"/>
      <c r="D155" s="6" t="n"/>
      <c r="E155" s="6" t="n"/>
      <c r="F155" s="9">
        <f>IF(OR($D155="",$E155=""),"",$E155-$D155)</f>
        <v/>
      </c>
      <c r="G155" s="6" t="n"/>
      <c r="H155" s="6" t="n"/>
      <c r="I155" s="6" t="n"/>
      <c r="J155" s="9">
        <f>IF(OR(NOT(ISNUMBER($H155)),NOT(ISNUMBER($I155)),$H155=0),"",$I155/$H155)</f>
        <v/>
      </c>
      <c r="K155" s="6" t="n"/>
      <c r="L155" s="8" t="n"/>
      <c r="M155" s="7" t="n"/>
      <c r="N155" s="7" t="n"/>
      <c r="O155" s="9">
        <f>IF(NOT(ISNUMBER($M155)),"",IF($L155="Fine earth / fine-earth volume",$M155*(1-IF(ISNUMBER($K155),$K155,0)/100),$M155))</f>
        <v/>
      </c>
      <c r="P155" s="9">
        <f>IF(OR(NOT(ISNUMBER($O155)),NOT(ISNUMBER($N155)),NOT(ISNUMBER($F155))),"",$O155*($N155/100)*$F155*10)</f>
        <v/>
      </c>
      <c r="Q155" s="9">
        <f>IF(OR(NOT(ISNUMBER($D155)),NOT(ISNUMBER($E155))),"",MAX(0,MIN($E155,SOIL_REPORTING_DEPTH_CM)-MIN($D155,SOIL_REPORTING_DEPTH_CM)))</f>
        <v/>
      </c>
      <c r="R155" s="9">
        <f>IF(OR(NOT(ISNUMBER($O155)),NOT(ISNUMBER($N155)),NOT(ISNUMBER($Q155))),"",$O155*($N155/100)*$Q155*10)</f>
        <v/>
      </c>
      <c r="S155" s="11">
        <f>IF(AND($A155="",$B155="",$D155=""),"",IF(AND($A155&lt;&gt;"",COUNTIF('1. Plot &amp; Site Log'!$A$5:$A$64,$A155)=0),"Plot ID not in the Plot &amp; Site Log. ","")&amp;IF(AND(ISNUMBER($D155),ISNUMBER($E155),$E155&lt;=$D155),"Bottom depth is not below top depth. ","")&amp;IF($L155="Not confirmed","Bulk-density basis not confirmed with the lab — the coarse-fragment correction may be wrong or doubled. ","")&amp;IF(AND(ISNUMBER($M155),OR($M155&lt;QC_BD_MIN,$M155&gt;QC_BD_MAX)),"Bulk density outside the plausible range for a mineral grassland soil. ","")&amp;IF(AND(ISNUMBER($N155),$N155&gt;QC_CARBON_PCT_MAX),"Organic carbon above the QC ceiling — check units, and whether this is an organic horizon. ","")&amp;IF(AND(ISNUMBER($J155),$J155&lt;QC_RECOVERY_MIN),"Recovered less than the QC minimum of the depth driven — the increments may not sit where you think. Do NOT stretch them back out. ","")&amp;IF(AND(ISNUMBER($K155),$K155&gt;0,$L155="Fine earth / total volume"),"Coarse fragments recorded and the lab basis already accounts for them — no further correction applied, which is correct. ",""))</f>
        <v/>
      </c>
      <c r="T155" s="6" t="n"/>
      <c r="U155" s="9">
        <f>IF($B155="",0,IF(COUNTIFS($B$5:$B155,$B155)=1,1,0))</f>
        <v/>
      </c>
    </row>
    <row r="156">
      <c r="A156" s="6" t="n"/>
      <c r="B156" s="6" t="n"/>
      <c r="C156" s="6" t="n"/>
      <c r="D156" s="6" t="n"/>
      <c r="E156" s="6" t="n"/>
      <c r="F156" s="9">
        <f>IF(OR($D156="",$E156=""),"",$E156-$D156)</f>
        <v/>
      </c>
      <c r="G156" s="6" t="n"/>
      <c r="H156" s="6" t="n"/>
      <c r="I156" s="6" t="n"/>
      <c r="J156" s="9">
        <f>IF(OR(NOT(ISNUMBER($H156)),NOT(ISNUMBER($I156)),$H156=0),"",$I156/$H156)</f>
        <v/>
      </c>
      <c r="K156" s="6" t="n"/>
      <c r="L156" s="8" t="n"/>
      <c r="M156" s="7" t="n"/>
      <c r="N156" s="7" t="n"/>
      <c r="O156" s="9">
        <f>IF(NOT(ISNUMBER($M156)),"",IF($L156="Fine earth / fine-earth volume",$M156*(1-IF(ISNUMBER($K156),$K156,0)/100),$M156))</f>
        <v/>
      </c>
      <c r="P156" s="9">
        <f>IF(OR(NOT(ISNUMBER($O156)),NOT(ISNUMBER($N156)),NOT(ISNUMBER($F156))),"",$O156*($N156/100)*$F156*10)</f>
        <v/>
      </c>
      <c r="Q156" s="9">
        <f>IF(OR(NOT(ISNUMBER($D156)),NOT(ISNUMBER($E156))),"",MAX(0,MIN($E156,SOIL_REPORTING_DEPTH_CM)-MIN($D156,SOIL_REPORTING_DEPTH_CM)))</f>
        <v/>
      </c>
      <c r="R156" s="9">
        <f>IF(OR(NOT(ISNUMBER($O156)),NOT(ISNUMBER($N156)),NOT(ISNUMBER($Q156))),"",$O156*($N156/100)*$Q156*10)</f>
        <v/>
      </c>
      <c r="S156" s="11">
        <f>IF(AND($A156="",$B156="",$D156=""),"",IF(AND($A156&lt;&gt;"",COUNTIF('1. Plot &amp; Site Log'!$A$5:$A$64,$A156)=0),"Plot ID not in the Plot &amp; Site Log. ","")&amp;IF(AND(ISNUMBER($D156),ISNUMBER($E156),$E156&lt;=$D156),"Bottom depth is not below top depth. ","")&amp;IF($L156="Not confirmed","Bulk-density basis not confirmed with the lab — the coarse-fragment correction may be wrong or doubled. ","")&amp;IF(AND(ISNUMBER($M156),OR($M156&lt;QC_BD_MIN,$M156&gt;QC_BD_MAX)),"Bulk density outside the plausible range for a mineral grassland soil. ","")&amp;IF(AND(ISNUMBER($N156),$N156&gt;QC_CARBON_PCT_MAX),"Organic carbon above the QC ceiling — check units, and whether this is an organic horizon. ","")&amp;IF(AND(ISNUMBER($J156),$J156&lt;QC_RECOVERY_MIN),"Recovered less than the QC minimum of the depth driven — the increments may not sit where you think. Do NOT stretch them back out. ","")&amp;IF(AND(ISNUMBER($K156),$K156&gt;0,$L156="Fine earth / total volume"),"Coarse fragments recorded and the lab basis already accounts for them — no further correction applied, which is correct. ",""))</f>
        <v/>
      </c>
      <c r="T156" s="6" t="n"/>
      <c r="U156" s="9">
        <f>IF($B156="",0,IF(COUNTIFS($B$5:$B156,$B156)=1,1,0))</f>
        <v/>
      </c>
    </row>
    <row r="157">
      <c r="A157" s="6" t="n"/>
      <c r="B157" s="6" t="n"/>
      <c r="C157" s="6" t="n"/>
      <c r="D157" s="6" t="n"/>
      <c r="E157" s="6" t="n"/>
      <c r="F157" s="9">
        <f>IF(OR($D157="",$E157=""),"",$E157-$D157)</f>
        <v/>
      </c>
      <c r="G157" s="6" t="n"/>
      <c r="H157" s="6" t="n"/>
      <c r="I157" s="6" t="n"/>
      <c r="J157" s="9">
        <f>IF(OR(NOT(ISNUMBER($H157)),NOT(ISNUMBER($I157)),$H157=0),"",$I157/$H157)</f>
        <v/>
      </c>
      <c r="K157" s="6" t="n"/>
      <c r="L157" s="8" t="n"/>
      <c r="M157" s="7" t="n"/>
      <c r="N157" s="7" t="n"/>
      <c r="O157" s="9">
        <f>IF(NOT(ISNUMBER($M157)),"",IF($L157="Fine earth / fine-earth volume",$M157*(1-IF(ISNUMBER($K157),$K157,0)/100),$M157))</f>
        <v/>
      </c>
      <c r="P157" s="9">
        <f>IF(OR(NOT(ISNUMBER($O157)),NOT(ISNUMBER($N157)),NOT(ISNUMBER($F157))),"",$O157*($N157/100)*$F157*10)</f>
        <v/>
      </c>
      <c r="Q157" s="9">
        <f>IF(OR(NOT(ISNUMBER($D157)),NOT(ISNUMBER($E157))),"",MAX(0,MIN($E157,SOIL_REPORTING_DEPTH_CM)-MIN($D157,SOIL_REPORTING_DEPTH_CM)))</f>
        <v/>
      </c>
      <c r="R157" s="9">
        <f>IF(OR(NOT(ISNUMBER($O157)),NOT(ISNUMBER($N157)),NOT(ISNUMBER($Q157))),"",$O157*($N157/100)*$Q157*10)</f>
        <v/>
      </c>
      <c r="S157" s="11">
        <f>IF(AND($A157="",$B157="",$D157=""),"",IF(AND($A157&lt;&gt;"",COUNTIF('1. Plot &amp; Site Log'!$A$5:$A$64,$A157)=0),"Plot ID not in the Plot &amp; Site Log. ","")&amp;IF(AND(ISNUMBER($D157),ISNUMBER($E157),$E157&lt;=$D157),"Bottom depth is not below top depth. ","")&amp;IF($L157="Not confirmed","Bulk-density basis not confirmed with the lab — the coarse-fragment correction may be wrong or doubled. ","")&amp;IF(AND(ISNUMBER($M157),OR($M157&lt;QC_BD_MIN,$M157&gt;QC_BD_MAX)),"Bulk density outside the plausible range for a mineral grassland soil. ","")&amp;IF(AND(ISNUMBER($N157),$N157&gt;QC_CARBON_PCT_MAX),"Organic carbon above the QC ceiling — check units, and whether this is an organic horizon. ","")&amp;IF(AND(ISNUMBER($J157),$J157&lt;QC_RECOVERY_MIN),"Recovered less than the QC minimum of the depth driven — the increments may not sit where you think. Do NOT stretch them back out. ","")&amp;IF(AND(ISNUMBER($K157),$K157&gt;0,$L157="Fine earth / total volume"),"Coarse fragments recorded and the lab basis already accounts for them — no further correction applied, which is correct. ",""))</f>
        <v/>
      </c>
      <c r="T157" s="6" t="n"/>
      <c r="U157" s="9">
        <f>IF($B157="",0,IF(COUNTIFS($B$5:$B157,$B157)=1,1,0))</f>
        <v/>
      </c>
    </row>
    <row r="158">
      <c r="A158" s="6" t="n"/>
      <c r="B158" s="6" t="n"/>
      <c r="C158" s="6" t="n"/>
      <c r="D158" s="6" t="n"/>
      <c r="E158" s="6" t="n"/>
      <c r="F158" s="9">
        <f>IF(OR($D158="",$E158=""),"",$E158-$D158)</f>
        <v/>
      </c>
      <c r="G158" s="6" t="n"/>
      <c r="H158" s="6" t="n"/>
      <c r="I158" s="6" t="n"/>
      <c r="J158" s="9">
        <f>IF(OR(NOT(ISNUMBER($H158)),NOT(ISNUMBER($I158)),$H158=0),"",$I158/$H158)</f>
        <v/>
      </c>
      <c r="K158" s="6" t="n"/>
      <c r="L158" s="8" t="n"/>
      <c r="M158" s="7" t="n"/>
      <c r="N158" s="7" t="n"/>
      <c r="O158" s="9">
        <f>IF(NOT(ISNUMBER($M158)),"",IF($L158="Fine earth / fine-earth volume",$M158*(1-IF(ISNUMBER($K158),$K158,0)/100),$M158))</f>
        <v/>
      </c>
      <c r="P158" s="9">
        <f>IF(OR(NOT(ISNUMBER($O158)),NOT(ISNUMBER($N158)),NOT(ISNUMBER($F158))),"",$O158*($N158/100)*$F158*10)</f>
        <v/>
      </c>
      <c r="Q158" s="9">
        <f>IF(OR(NOT(ISNUMBER($D158)),NOT(ISNUMBER($E158))),"",MAX(0,MIN($E158,SOIL_REPORTING_DEPTH_CM)-MIN($D158,SOIL_REPORTING_DEPTH_CM)))</f>
        <v/>
      </c>
      <c r="R158" s="9">
        <f>IF(OR(NOT(ISNUMBER($O158)),NOT(ISNUMBER($N158)),NOT(ISNUMBER($Q158))),"",$O158*($N158/100)*$Q158*10)</f>
        <v/>
      </c>
      <c r="S158" s="11">
        <f>IF(AND($A158="",$B158="",$D158=""),"",IF(AND($A158&lt;&gt;"",COUNTIF('1. Plot &amp; Site Log'!$A$5:$A$64,$A158)=0),"Plot ID not in the Plot &amp; Site Log. ","")&amp;IF(AND(ISNUMBER($D158),ISNUMBER($E158),$E158&lt;=$D158),"Bottom depth is not below top depth. ","")&amp;IF($L158="Not confirmed","Bulk-density basis not confirmed with the lab — the coarse-fragment correction may be wrong or doubled. ","")&amp;IF(AND(ISNUMBER($M158),OR($M158&lt;QC_BD_MIN,$M158&gt;QC_BD_MAX)),"Bulk density outside the plausible range for a mineral grassland soil. ","")&amp;IF(AND(ISNUMBER($N158),$N158&gt;QC_CARBON_PCT_MAX),"Organic carbon above the QC ceiling — check units, and whether this is an organic horizon. ","")&amp;IF(AND(ISNUMBER($J158),$J158&lt;QC_RECOVERY_MIN),"Recovered less than the QC minimum of the depth driven — the increments may not sit where you think. Do NOT stretch them back out. ","")&amp;IF(AND(ISNUMBER($K158),$K158&gt;0,$L158="Fine earth / total volume"),"Coarse fragments recorded and the lab basis already accounts for them — no further correction applied, which is correct. ",""))</f>
        <v/>
      </c>
      <c r="T158" s="6" t="n"/>
      <c r="U158" s="9">
        <f>IF($B158="",0,IF(COUNTIFS($B$5:$B158,$B158)=1,1,0))</f>
        <v/>
      </c>
    </row>
    <row r="159">
      <c r="A159" s="6" t="n"/>
      <c r="B159" s="6" t="n"/>
      <c r="C159" s="6" t="n"/>
      <c r="D159" s="6" t="n"/>
      <c r="E159" s="6" t="n"/>
      <c r="F159" s="9">
        <f>IF(OR($D159="",$E159=""),"",$E159-$D159)</f>
        <v/>
      </c>
      <c r="G159" s="6" t="n"/>
      <c r="H159" s="6" t="n"/>
      <c r="I159" s="6" t="n"/>
      <c r="J159" s="9">
        <f>IF(OR(NOT(ISNUMBER($H159)),NOT(ISNUMBER($I159)),$H159=0),"",$I159/$H159)</f>
        <v/>
      </c>
      <c r="K159" s="6" t="n"/>
      <c r="L159" s="8" t="n"/>
      <c r="M159" s="7" t="n"/>
      <c r="N159" s="7" t="n"/>
      <c r="O159" s="9">
        <f>IF(NOT(ISNUMBER($M159)),"",IF($L159="Fine earth / fine-earth volume",$M159*(1-IF(ISNUMBER($K159),$K159,0)/100),$M159))</f>
        <v/>
      </c>
      <c r="P159" s="9">
        <f>IF(OR(NOT(ISNUMBER($O159)),NOT(ISNUMBER($N159)),NOT(ISNUMBER($F159))),"",$O159*($N159/100)*$F159*10)</f>
        <v/>
      </c>
      <c r="Q159" s="9">
        <f>IF(OR(NOT(ISNUMBER($D159)),NOT(ISNUMBER($E159))),"",MAX(0,MIN($E159,SOIL_REPORTING_DEPTH_CM)-MIN($D159,SOIL_REPORTING_DEPTH_CM)))</f>
        <v/>
      </c>
      <c r="R159" s="9">
        <f>IF(OR(NOT(ISNUMBER($O159)),NOT(ISNUMBER($N159)),NOT(ISNUMBER($Q159))),"",$O159*($N159/100)*$Q159*10)</f>
        <v/>
      </c>
      <c r="S159" s="11">
        <f>IF(AND($A159="",$B159="",$D159=""),"",IF(AND($A159&lt;&gt;"",COUNTIF('1. Plot &amp; Site Log'!$A$5:$A$64,$A159)=0),"Plot ID not in the Plot &amp; Site Log. ","")&amp;IF(AND(ISNUMBER($D159),ISNUMBER($E159),$E159&lt;=$D159),"Bottom depth is not below top depth. ","")&amp;IF($L159="Not confirmed","Bulk-density basis not confirmed with the lab — the coarse-fragment correction may be wrong or doubled. ","")&amp;IF(AND(ISNUMBER($M159),OR($M159&lt;QC_BD_MIN,$M159&gt;QC_BD_MAX)),"Bulk density outside the plausible range for a mineral grassland soil. ","")&amp;IF(AND(ISNUMBER($N159),$N159&gt;QC_CARBON_PCT_MAX),"Organic carbon above the QC ceiling — check units, and whether this is an organic horizon. ","")&amp;IF(AND(ISNUMBER($J159),$J159&lt;QC_RECOVERY_MIN),"Recovered less than the QC minimum of the depth driven — the increments may not sit where you think. Do NOT stretch them back out. ","")&amp;IF(AND(ISNUMBER($K159),$K159&gt;0,$L159="Fine earth / total volume"),"Coarse fragments recorded and the lab basis already accounts for them — no further correction applied, which is correct. ",""))</f>
        <v/>
      </c>
      <c r="T159" s="6" t="n"/>
      <c r="U159" s="9">
        <f>IF($B159="",0,IF(COUNTIFS($B$5:$B159,$B159)=1,1,0))</f>
        <v/>
      </c>
    </row>
    <row r="160">
      <c r="A160" s="6" t="n"/>
      <c r="B160" s="6" t="n"/>
      <c r="C160" s="6" t="n"/>
      <c r="D160" s="6" t="n"/>
      <c r="E160" s="6" t="n"/>
      <c r="F160" s="9">
        <f>IF(OR($D160="",$E160=""),"",$E160-$D160)</f>
        <v/>
      </c>
      <c r="G160" s="6" t="n"/>
      <c r="H160" s="6" t="n"/>
      <c r="I160" s="6" t="n"/>
      <c r="J160" s="9">
        <f>IF(OR(NOT(ISNUMBER($H160)),NOT(ISNUMBER($I160)),$H160=0),"",$I160/$H160)</f>
        <v/>
      </c>
      <c r="K160" s="6" t="n"/>
      <c r="L160" s="8" t="n"/>
      <c r="M160" s="7" t="n"/>
      <c r="N160" s="7" t="n"/>
      <c r="O160" s="9">
        <f>IF(NOT(ISNUMBER($M160)),"",IF($L160="Fine earth / fine-earth volume",$M160*(1-IF(ISNUMBER($K160),$K160,0)/100),$M160))</f>
        <v/>
      </c>
      <c r="P160" s="9">
        <f>IF(OR(NOT(ISNUMBER($O160)),NOT(ISNUMBER($N160)),NOT(ISNUMBER($F160))),"",$O160*($N160/100)*$F160*10)</f>
        <v/>
      </c>
      <c r="Q160" s="9">
        <f>IF(OR(NOT(ISNUMBER($D160)),NOT(ISNUMBER($E160))),"",MAX(0,MIN($E160,SOIL_REPORTING_DEPTH_CM)-MIN($D160,SOIL_REPORTING_DEPTH_CM)))</f>
        <v/>
      </c>
      <c r="R160" s="9">
        <f>IF(OR(NOT(ISNUMBER($O160)),NOT(ISNUMBER($N160)),NOT(ISNUMBER($Q160))),"",$O160*($N160/100)*$Q160*10)</f>
        <v/>
      </c>
      <c r="S160" s="11">
        <f>IF(AND($A160="",$B160="",$D160=""),"",IF(AND($A160&lt;&gt;"",COUNTIF('1. Plot &amp; Site Log'!$A$5:$A$64,$A160)=0),"Plot ID not in the Plot &amp; Site Log. ","")&amp;IF(AND(ISNUMBER($D160),ISNUMBER($E160),$E160&lt;=$D160),"Bottom depth is not below top depth. ","")&amp;IF($L160="Not confirmed","Bulk-density basis not confirmed with the lab — the coarse-fragment correction may be wrong or doubled. ","")&amp;IF(AND(ISNUMBER($M160),OR($M160&lt;QC_BD_MIN,$M160&gt;QC_BD_MAX)),"Bulk density outside the plausible range for a mineral grassland soil. ","")&amp;IF(AND(ISNUMBER($N160),$N160&gt;QC_CARBON_PCT_MAX),"Organic carbon above the QC ceiling — check units, and whether this is an organic horizon. ","")&amp;IF(AND(ISNUMBER($J160),$J160&lt;QC_RECOVERY_MIN),"Recovered less than the QC minimum of the depth driven — the increments may not sit where you think. Do NOT stretch them back out. ","")&amp;IF(AND(ISNUMBER($K160),$K160&gt;0,$L160="Fine earth / total volume"),"Coarse fragments recorded and the lab basis already accounts for them — no further correction applied, which is correct. ",""))</f>
        <v/>
      </c>
      <c r="T160" s="6" t="n"/>
      <c r="U160" s="9">
        <f>IF($B160="",0,IF(COUNTIFS($B$5:$B160,$B160)=1,1,0))</f>
        <v/>
      </c>
    </row>
    <row r="161">
      <c r="A161" s="6" t="n"/>
      <c r="B161" s="6" t="n"/>
      <c r="C161" s="6" t="n"/>
      <c r="D161" s="6" t="n"/>
      <c r="E161" s="6" t="n"/>
      <c r="F161" s="9">
        <f>IF(OR($D161="",$E161=""),"",$E161-$D161)</f>
        <v/>
      </c>
      <c r="G161" s="6" t="n"/>
      <c r="H161" s="6" t="n"/>
      <c r="I161" s="6" t="n"/>
      <c r="J161" s="9">
        <f>IF(OR(NOT(ISNUMBER($H161)),NOT(ISNUMBER($I161)),$H161=0),"",$I161/$H161)</f>
        <v/>
      </c>
      <c r="K161" s="6" t="n"/>
      <c r="L161" s="8" t="n"/>
      <c r="M161" s="7" t="n"/>
      <c r="N161" s="7" t="n"/>
      <c r="O161" s="9">
        <f>IF(NOT(ISNUMBER($M161)),"",IF($L161="Fine earth / fine-earth volume",$M161*(1-IF(ISNUMBER($K161),$K161,0)/100),$M161))</f>
        <v/>
      </c>
      <c r="P161" s="9">
        <f>IF(OR(NOT(ISNUMBER($O161)),NOT(ISNUMBER($N161)),NOT(ISNUMBER($F161))),"",$O161*($N161/100)*$F161*10)</f>
        <v/>
      </c>
      <c r="Q161" s="9">
        <f>IF(OR(NOT(ISNUMBER($D161)),NOT(ISNUMBER($E161))),"",MAX(0,MIN($E161,SOIL_REPORTING_DEPTH_CM)-MIN($D161,SOIL_REPORTING_DEPTH_CM)))</f>
        <v/>
      </c>
      <c r="R161" s="9">
        <f>IF(OR(NOT(ISNUMBER($O161)),NOT(ISNUMBER($N161)),NOT(ISNUMBER($Q161))),"",$O161*($N161/100)*$Q161*10)</f>
        <v/>
      </c>
      <c r="S161" s="11">
        <f>IF(AND($A161="",$B161="",$D161=""),"",IF(AND($A161&lt;&gt;"",COUNTIF('1. Plot &amp; Site Log'!$A$5:$A$64,$A161)=0),"Plot ID not in the Plot &amp; Site Log. ","")&amp;IF(AND(ISNUMBER($D161),ISNUMBER($E161),$E161&lt;=$D161),"Bottom depth is not below top depth. ","")&amp;IF($L161="Not confirmed","Bulk-density basis not confirmed with the lab — the coarse-fragment correction may be wrong or doubled. ","")&amp;IF(AND(ISNUMBER($M161),OR($M161&lt;QC_BD_MIN,$M161&gt;QC_BD_MAX)),"Bulk density outside the plausible range for a mineral grassland soil. ","")&amp;IF(AND(ISNUMBER($N161),$N161&gt;QC_CARBON_PCT_MAX),"Organic carbon above the QC ceiling — check units, and whether this is an organic horizon. ","")&amp;IF(AND(ISNUMBER($J161),$J161&lt;QC_RECOVERY_MIN),"Recovered less than the QC minimum of the depth driven — the increments may not sit where you think. Do NOT stretch them back out. ","")&amp;IF(AND(ISNUMBER($K161),$K161&gt;0,$L161="Fine earth / total volume"),"Coarse fragments recorded and the lab basis already accounts for them — no further correction applied, which is correct. ",""))</f>
        <v/>
      </c>
      <c r="T161" s="6" t="n"/>
      <c r="U161" s="9">
        <f>IF($B161="",0,IF(COUNTIFS($B$5:$B161,$B161)=1,1,0))</f>
        <v/>
      </c>
    </row>
    <row r="162">
      <c r="A162" s="6" t="n"/>
      <c r="B162" s="6" t="n"/>
      <c r="C162" s="6" t="n"/>
      <c r="D162" s="6" t="n"/>
      <c r="E162" s="6" t="n"/>
      <c r="F162" s="9">
        <f>IF(OR($D162="",$E162=""),"",$E162-$D162)</f>
        <v/>
      </c>
      <c r="G162" s="6" t="n"/>
      <c r="H162" s="6" t="n"/>
      <c r="I162" s="6" t="n"/>
      <c r="J162" s="9">
        <f>IF(OR(NOT(ISNUMBER($H162)),NOT(ISNUMBER($I162)),$H162=0),"",$I162/$H162)</f>
        <v/>
      </c>
      <c r="K162" s="6" t="n"/>
      <c r="L162" s="8" t="n"/>
      <c r="M162" s="7" t="n"/>
      <c r="N162" s="7" t="n"/>
      <c r="O162" s="9">
        <f>IF(NOT(ISNUMBER($M162)),"",IF($L162="Fine earth / fine-earth volume",$M162*(1-IF(ISNUMBER($K162),$K162,0)/100),$M162))</f>
        <v/>
      </c>
      <c r="P162" s="9">
        <f>IF(OR(NOT(ISNUMBER($O162)),NOT(ISNUMBER($N162)),NOT(ISNUMBER($F162))),"",$O162*($N162/100)*$F162*10)</f>
        <v/>
      </c>
      <c r="Q162" s="9">
        <f>IF(OR(NOT(ISNUMBER($D162)),NOT(ISNUMBER($E162))),"",MAX(0,MIN($E162,SOIL_REPORTING_DEPTH_CM)-MIN($D162,SOIL_REPORTING_DEPTH_CM)))</f>
        <v/>
      </c>
      <c r="R162" s="9">
        <f>IF(OR(NOT(ISNUMBER($O162)),NOT(ISNUMBER($N162)),NOT(ISNUMBER($Q162))),"",$O162*($N162/100)*$Q162*10)</f>
        <v/>
      </c>
      <c r="S162" s="11">
        <f>IF(AND($A162="",$B162="",$D162=""),"",IF(AND($A162&lt;&gt;"",COUNTIF('1. Plot &amp; Site Log'!$A$5:$A$64,$A162)=0),"Plot ID not in the Plot &amp; Site Log. ","")&amp;IF(AND(ISNUMBER($D162),ISNUMBER($E162),$E162&lt;=$D162),"Bottom depth is not below top depth. ","")&amp;IF($L162="Not confirmed","Bulk-density basis not confirmed with the lab — the coarse-fragment correction may be wrong or doubled. ","")&amp;IF(AND(ISNUMBER($M162),OR($M162&lt;QC_BD_MIN,$M162&gt;QC_BD_MAX)),"Bulk density outside the plausible range for a mineral grassland soil. ","")&amp;IF(AND(ISNUMBER($N162),$N162&gt;QC_CARBON_PCT_MAX),"Organic carbon above the QC ceiling — check units, and whether this is an organic horizon. ","")&amp;IF(AND(ISNUMBER($J162),$J162&lt;QC_RECOVERY_MIN),"Recovered less than the QC minimum of the depth driven — the increments may not sit where you think. Do NOT stretch them back out. ","")&amp;IF(AND(ISNUMBER($K162),$K162&gt;0,$L162="Fine earth / total volume"),"Coarse fragments recorded and the lab basis already accounts for them — no further correction applied, which is correct. ",""))</f>
        <v/>
      </c>
      <c r="T162" s="6" t="n"/>
      <c r="U162" s="9">
        <f>IF($B162="",0,IF(COUNTIFS($B$5:$B162,$B162)=1,1,0))</f>
        <v/>
      </c>
    </row>
    <row r="163">
      <c r="A163" s="6" t="n"/>
      <c r="B163" s="6" t="n"/>
      <c r="C163" s="6" t="n"/>
      <c r="D163" s="6" t="n"/>
      <c r="E163" s="6" t="n"/>
      <c r="F163" s="9">
        <f>IF(OR($D163="",$E163=""),"",$E163-$D163)</f>
        <v/>
      </c>
      <c r="G163" s="6" t="n"/>
      <c r="H163" s="6" t="n"/>
      <c r="I163" s="6" t="n"/>
      <c r="J163" s="9">
        <f>IF(OR(NOT(ISNUMBER($H163)),NOT(ISNUMBER($I163)),$H163=0),"",$I163/$H163)</f>
        <v/>
      </c>
      <c r="K163" s="6" t="n"/>
      <c r="L163" s="8" t="n"/>
      <c r="M163" s="7" t="n"/>
      <c r="N163" s="7" t="n"/>
      <c r="O163" s="9">
        <f>IF(NOT(ISNUMBER($M163)),"",IF($L163="Fine earth / fine-earth volume",$M163*(1-IF(ISNUMBER($K163),$K163,0)/100),$M163))</f>
        <v/>
      </c>
      <c r="P163" s="9">
        <f>IF(OR(NOT(ISNUMBER($O163)),NOT(ISNUMBER($N163)),NOT(ISNUMBER($F163))),"",$O163*($N163/100)*$F163*10)</f>
        <v/>
      </c>
      <c r="Q163" s="9">
        <f>IF(OR(NOT(ISNUMBER($D163)),NOT(ISNUMBER($E163))),"",MAX(0,MIN($E163,SOIL_REPORTING_DEPTH_CM)-MIN($D163,SOIL_REPORTING_DEPTH_CM)))</f>
        <v/>
      </c>
      <c r="R163" s="9">
        <f>IF(OR(NOT(ISNUMBER($O163)),NOT(ISNUMBER($N163)),NOT(ISNUMBER($Q163))),"",$O163*($N163/100)*$Q163*10)</f>
        <v/>
      </c>
      <c r="S163" s="11">
        <f>IF(AND($A163="",$B163="",$D163=""),"",IF(AND($A163&lt;&gt;"",COUNTIF('1. Plot &amp; Site Log'!$A$5:$A$64,$A163)=0),"Plot ID not in the Plot &amp; Site Log. ","")&amp;IF(AND(ISNUMBER($D163),ISNUMBER($E163),$E163&lt;=$D163),"Bottom depth is not below top depth. ","")&amp;IF($L163="Not confirmed","Bulk-density basis not confirmed with the lab — the coarse-fragment correction may be wrong or doubled. ","")&amp;IF(AND(ISNUMBER($M163),OR($M163&lt;QC_BD_MIN,$M163&gt;QC_BD_MAX)),"Bulk density outside the plausible range for a mineral grassland soil. ","")&amp;IF(AND(ISNUMBER($N163),$N163&gt;QC_CARBON_PCT_MAX),"Organic carbon above the QC ceiling — check units, and whether this is an organic horizon. ","")&amp;IF(AND(ISNUMBER($J163),$J163&lt;QC_RECOVERY_MIN),"Recovered less than the QC minimum of the depth driven — the increments may not sit where you think. Do NOT stretch them back out. ","")&amp;IF(AND(ISNUMBER($K163),$K163&gt;0,$L163="Fine earth / total volume"),"Coarse fragments recorded and the lab basis already accounts for them — no further correction applied, which is correct. ",""))</f>
        <v/>
      </c>
      <c r="T163" s="6" t="n"/>
      <c r="U163" s="9">
        <f>IF($B163="",0,IF(COUNTIFS($B$5:$B163,$B163)=1,1,0))</f>
        <v/>
      </c>
    </row>
    <row r="164">
      <c r="A164" s="6" t="n"/>
      <c r="B164" s="6" t="n"/>
      <c r="C164" s="6" t="n"/>
      <c r="D164" s="6" t="n"/>
      <c r="E164" s="6" t="n"/>
      <c r="F164" s="9">
        <f>IF(OR($D164="",$E164=""),"",$E164-$D164)</f>
        <v/>
      </c>
      <c r="G164" s="6" t="n"/>
      <c r="H164" s="6" t="n"/>
      <c r="I164" s="6" t="n"/>
      <c r="J164" s="9">
        <f>IF(OR(NOT(ISNUMBER($H164)),NOT(ISNUMBER($I164)),$H164=0),"",$I164/$H164)</f>
        <v/>
      </c>
      <c r="K164" s="6" t="n"/>
      <c r="L164" s="8" t="n"/>
      <c r="M164" s="7" t="n"/>
      <c r="N164" s="7" t="n"/>
      <c r="O164" s="9">
        <f>IF(NOT(ISNUMBER($M164)),"",IF($L164="Fine earth / fine-earth volume",$M164*(1-IF(ISNUMBER($K164),$K164,0)/100),$M164))</f>
        <v/>
      </c>
      <c r="P164" s="9">
        <f>IF(OR(NOT(ISNUMBER($O164)),NOT(ISNUMBER($N164)),NOT(ISNUMBER($F164))),"",$O164*($N164/100)*$F164*10)</f>
        <v/>
      </c>
      <c r="Q164" s="9">
        <f>IF(OR(NOT(ISNUMBER($D164)),NOT(ISNUMBER($E164))),"",MAX(0,MIN($E164,SOIL_REPORTING_DEPTH_CM)-MIN($D164,SOIL_REPORTING_DEPTH_CM)))</f>
        <v/>
      </c>
      <c r="R164" s="9">
        <f>IF(OR(NOT(ISNUMBER($O164)),NOT(ISNUMBER($N164)),NOT(ISNUMBER($Q164))),"",$O164*($N164/100)*$Q164*10)</f>
        <v/>
      </c>
      <c r="S164" s="11">
        <f>IF(AND($A164="",$B164="",$D164=""),"",IF(AND($A164&lt;&gt;"",COUNTIF('1. Plot &amp; Site Log'!$A$5:$A$64,$A164)=0),"Plot ID not in the Plot &amp; Site Log. ","")&amp;IF(AND(ISNUMBER($D164),ISNUMBER($E164),$E164&lt;=$D164),"Bottom depth is not below top depth. ","")&amp;IF($L164="Not confirmed","Bulk-density basis not confirmed with the lab — the coarse-fragment correction may be wrong or doubled. ","")&amp;IF(AND(ISNUMBER($M164),OR($M164&lt;QC_BD_MIN,$M164&gt;QC_BD_MAX)),"Bulk density outside the plausible range for a mineral grassland soil. ","")&amp;IF(AND(ISNUMBER($N164),$N164&gt;QC_CARBON_PCT_MAX),"Organic carbon above the QC ceiling — check units, and whether this is an organic horizon. ","")&amp;IF(AND(ISNUMBER($J164),$J164&lt;QC_RECOVERY_MIN),"Recovered less than the QC minimum of the depth driven — the increments may not sit where you think. Do NOT stretch them back out. ","")&amp;IF(AND(ISNUMBER($K164),$K164&gt;0,$L164="Fine earth / total volume"),"Coarse fragments recorded and the lab basis already accounts for them — no further correction applied, which is correct. ",""))</f>
        <v/>
      </c>
      <c r="T164" s="6" t="n"/>
      <c r="U164" s="9">
        <f>IF($B164="",0,IF(COUNTIFS($B$5:$B164,$B164)=1,1,0))</f>
        <v/>
      </c>
    </row>
    <row r="165">
      <c r="A165" s="6" t="n"/>
      <c r="B165" s="6" t="n"/>
      <c r="C165" s="6" t="n"/>
      <c r="D165" s="6" t="n"/>
      <c r="E165" s="6" t="n"/>
      <c r="F165" s="9">
        <f>IF(OR($D165="",$E165=""),"",$E165-$D165)</f>
        <v/>
      </c>
      <c r="G165" s="6" t="n"/>
      <c r="H165" s="6" t="n"/>
      <c r="I165" s="6" t="n"/>
      <c r="J165" s="9">
        <f>IF(OR(NOT(ISNUMBER($H165)),NOT(ISNUMBER($I165)),$H165=0),"",$I165/$H165)</f>
        <v/>
      </c>
      <c r="K165" s="6" t="n"/>
      <c r="L165" s="8" t="n"/>
      <c r="M165" s="7" t="n"/>
      <c r="N165" s="7" t="n"/>
      <c r="O165" s="9">
        <f>IF(NOT(ISNUMBER($M165)),"",IF($L165="Fine earth / fine-earth volume",$M165*(1-IF(ISNUMBER($K165),$K165,0)/100),$M165))</f>
        <v/>
      </c>
      <c r="P165" s="9">
        <f>IF(OR(NOT(ISNUMBER($O165)),NOT(ISNUMBER($N165)),NOT(ISNUMBER($F165))),"",$O165*($N165/100)*$F165*10)</f>
        <v/>
      </c>
      <c r="Q165" s="9">
        <f>IF(OR(NOT(ISNUMBER($D165)),NOT(ISNUMBER($E165))),"",MAX(0,MIN($E165,SOIL_REPORTING_DEPTH_CM)-MIN($D165,SOIL_REPORTING_DEPTH_CM)))</f>
        <v/>
      </c>
      <c r="R165" s="9">
        <f>IF(OR(NOT(ISNUMBER($O165)),NOT(ISNUMBER($N165)),NOT(ISNUMBER($Q165))),"",$O165*($N165/100)*$Q165*10)</f>
        <v/>
      </c>
      <c r="S165" s="11">
        <f>IF(AND($A165="",$B165="",$D165=""),"",IF(AND($A165&lt;&gt;"",COUNTIF('1. Plot &amp; Site Log'!$A$5:$A$64,$A165)=0),"Plot ID not in the Plot &amp; Site Log. ","")&amp;IF(AND(ISNUMBER($D165),ISNUMBER($E165),$E165&lt;=$D165),"Bottom depth is not below top depth. ","")&amp;IF($L165="Not confirmed","Bulk-density basis not confirmed with the lab — the coarse-fragment correction may be wrong or doubled. ","")&amp;IF(AND(ISNUMBER($M165),OR($M165&lt;QC_BD_MIN,$M165&gt;QC_BD_MAX)),"Bulk density outside the plausible range for a mineral grassland soil. ","")&amp;IF(AND(ISNUMBER($N165),$N165&gt;QC_CARBON_PCT_MAX),"Organic carbon above the QC ceiling — check units, and whether this is an organic horizon. ","")&amp;IF(AND(ISNUMBER($J165),$J165&lt;QC_RECOVERY_MIN),"Recovered less than the QC minimum of the depth driven — the increments may not sit where you think. Do NOT stretch them back out. ","")&amp;IF(AND(ISNUMBER($K165),$K165&gt;0,$L165="Fine earth / total volume"),"Coarse fragments recorded and the lab basis already accounts for them — no further correction applied, which is correct. ",""))</f>
        <v/>
      </c>
      <c r="T165" s="6" t="n"/>
      <c r="U165" s="9">
        <f>IF($B165="",0,IF(COUNTIFS($B$5:$B165,$B165)=1,1,0))</f>
        <v/>
      </c>
    </row>
    <row r="166">
      <c r="A166" s="6" t="n"/>
      <c r="B166" s="6" t="n"/>
      <c r="C166" s="6" t="n"/>
      <c r="D166" s="6" t="n"/>
      <c r="E166" s="6" t="n"/>
      <c r="F166" s="9">
        <f>IF(OR($D166="",$E166=""),"",$E166-$D166)</f>
        <v/>
      </c>
      <c r="G166" s="6" t="n"/>
      <c r="H166" s="6" t="n"/>
      <c r="I166" s="6" t="n"/>
      <c r="J166" s="9">
        <f>IF(OR(NOT(ISNUMBER($H166)),NOT(ISNUMBER($I166)),$H166=0),"",$I166/$H166)</f>
        <v/>
      </c>
      <c r="K166" s="6" t="n"/>
      <c r="L166" s="8" t="n"/>
      <c r="M166" s="7" t="n"/>
      <c r="N166" s="7" t="n"/>
      <c r="O166" s="9">
        <f>IF(NOT(ISNUMBER($M166)),"",IF($L166="Fine earth / fine-earth volume",$M166*(1-IF(ISNUMBER($K166),$K166,0)/100),$M166))</f>
        <v/>
      </c>
      <c r="P166" s="9">
        <f>IF(OR(NOT(ISNUMBER($O166)),NOT(ISNUMBER($N166)),NOT(ISNUMBER($F166))),"",$O166*($N166/100)*$F166*10)</f>
        <v/>
      </c>
      <c r="Q166" s="9">
        <f>IF(OR(NOT(ISNUMBER($D166)),NOT(ISNUMBER($E166))),"",MAX(0,MIN($E166,SOIL_REPORTING_DEPTH_CM)-MIN($D166,SOIL_REPORTING_DEPTH_CM)))</f>
        <v/>
      </c>
      <c r="R166" s="9">
        <f>IF(OR(NOT(ISNUMBER($O166)),NOT(ISNUMBER($N166)),NOT(ISNUMBER($Q166))),"",$O166*($N166/100)*$Q166*10)</f>
        <v/>
      </c>
      <c r="S166" s="11">
        <f>IF(AND($A166="",$B166="",$D166=""),"",IF(AND($A166&lt;&gt;"",COUNTIF('1. Plot &amp; Site Log'!$A$5:$A$64,$A166)=0),"Plot ID not in the Plot &amp; Site Log. ","")&amp;IF(AND(ISNUMBER($D166),ISNUMBER($E166),$E166&lt;=$D166),"Bottom depth is not below top depth. ","")&amp;IF($L166="Not confirmed","Bulk-density basis not confirmed with the lab — the coarse-fragment correction may be wrong or doubled. ","")&amp;IF(AND(ISNUMBER($M166),OR($M166&lt;QC_BD_MIN,$M166&gt;QC_BD_MAX)),"Bulk density outside the plausible range for a mineral grassland soil. ","")&amp;IF(AND(ISNUMBER($N166),$N166&gt;QC_CARBON_PCT_MAX),"Organic carbon above the QC ceiling — check units, and whether this is an organic horizon. ","")&amp;IF(AND(ISNUMBER($J166),$J166&lt;QC_RECOVERY_MIN),"Recovered less than the QC minimum of the depth driven — the increments may not sit where you think. Do NOT stretch them back out. ","")&amp;IF(AND(ISNUMBER($K166),$K166&gt;0,$L166="Fine earth / total volume"),"Coarse fragments recorded and the lab basis already accounts for them — no further correction applied, which is correct. ",""))</f>
        <v/>
      </c>
      <c r="T166" s="6" t="n"/>
      <c r="U166" s="9">
        <f>IF($B166="",0,IF(COUNTIFS($B$5:$B166,$B166)=1,1,0))</f>
        <v/>
      </c>
    </row>
    <row r="167">
      <c r="A167" s="6" t="n"/>
      <c r="B167" s="6" t="n"/>
      <c r="C167" s="6" t="n"/>
      <c r="D167" s="6" t="n"/>
      <c r="E167" s="6" t="n"/>
      <c r="F167" s="9">
        <f>IF(OR($D167="",$E167=""),"",$E167-$D167)</f>
        <v/>
      </c>
      <c r="G167" s="6" t="n"/>
      <c r="H167" s="6" t="n"/>
      <c r="I167" s="6" t="n"/>
      <c r="J167" s="9">
        <f>IF(OR(NOT(ISNUMBER($H167)),NOT(ISNUMBER($I167)),$H167=0),"",$I167/$H167)</f>
        <v/>
      </c>
      <c r="K167" s="6" t="n"/>
      <c r="L167" s="8" t="n"/>
      <c r="M167" s="7" t="n"/>
      <c r="N167" s="7" t="n"/>
      <c r="O167" s="9">
        <f>IF(NOT(ISNUMBER($M167)),"",IF($L167="Fine earth / fine-earth volume",$M167*(1-IF(ISNUMBER($K167),$K167,0)/100),$M167))</f>
        <v/>
      </c>
      <c r="P167" s="9">
        <f>IF(OR(NOT(ISNUMBER($O167)),NOT(ISNUMBER($N167)),NOT(ISNUMBER($F167))),"",$O167*($N167/100)*$F167*10)</f>
        <v/>
      </c>
      <c r="Q167" s="9">
        <f>IF(OR(NOT(ISNUMBER($D167)),NOT(ISNUMBER($E167))),"",MAX(0,MIN($E167,SOIL_REPORTING_DEPTH_CM)-MIN($D167,SOIL_REPORTING_DEPTH_CM)))</f>
        <v/>
      </c>
      <c r="R167" s="9">
        <f>IF(OR(NOT(ISNUMBER($O167)),NOT(ISNUMBER($N167)),NOT(ISNUMBER($Q167))),"",$O167*($N167/100)*$Q167*10)</f>
        <v/>
      </c>
      <c r="S167" s="11">
        <f>IF(AND($A167="",$B167="",$D167=""),"",IF(AND($A167&lt;&gt;"",COUNTIF('1. Plot &amp; Site Log'!$A$5:$A$64,$A167)=0),"Plot ID not in the Plot &amp; Site Log. ","")&amp;IF(AND(ISNUMBER($D167),ISNUMBER($E167),$E167&lt;=$D167),"Bottom depth is not below top depth. ","")&amp;IF($L167="Not confirmed","Bulk-density basis not confirmed with the lab — the coarse-fragment correction may be wrong or doubled. ","")&amp;IF(AND(ISNUMBER($M167),OR($M167&lt;QC_BD_MIN,$M167&gt;QC_BD_MAX)),"Bulk density outside the plausible range for a mineral grassland soil. ","")&amp;IF(AND(ISNUMBER($N167),$N167&gt;QC_CARBON_PCT_MAX),"Organic carbon above the QC ceiling — check units, and whether this is an organic horizon. ","")&amp;IF(AND(ISNUMBER($J167),$J167&lt;QC_RECOVERY_MIN),"Recovered less than the QC minimum of the depth driven — the increments may not sit where you think. Do NOT stretch them back out. ","")&amp;IF(AND(ISNUMBER($K167),$K167&gt;0,$L167="Fine earth / total volume"),"Coarse fragments recorded and the lab basis already accounts for them — no further correction applied, which is correct. ",""))</f>
        <v/>
      </c>
      <c r="T167" s="6" t="n"/>
      <c r="U167" s="9">
        <f>IF($B167="",0,IF(COUNTIFS($B$5:$B167,$B167)=1,1,0))</f>
        <v/>
      </c>
    </row>
    <row r="168">
      <c r="A168" s="6" t="n"/>
      <c r="B168" s="6" t="n"/>
      <c r="C168" s="6" t="n"/>
      <c r="D168" s="6" t="n"/>
      <c r="E168" s="6" t="n"/>
      <c r="F168" s="9">
        <f>IF(OR($D168="",$E168=""),"",$E168-$D168)</f>
        <v/>
      </c>
      <c r="G168" s="6" t="n"/>
      <c r="H168" s="6" t="n"/>
      <c r="I168" s="6" t="n"/>
      <c r="J168" s="9">
        <f>IF(OR(NOT(ISNUMBER($H168)),NOT(ISNUMBER($I168)),$H168=0),"",$I168/$H168)</f>
        <v/>
      </c>
      <c r="K168" s="6" t="n"/>
      <c r="L168" s="8" t="n"/>
      <c r="M168" s="7" t="n"/>
      <c r="N168" s="7" t="n"/>
      <c r="O168" s="9">
        <f>IF(NOT(ISNUMBER($M168)),"",IF($L168="Fine earth / fine-earth volume",$M168*(1-IF(ISNUMBER($K168),$K168,0)/100),$M168))</f>
        <v/>
      </c>
      <c r="P168" s="9">
        <f>IF(OR(NOT(ISNUMBER($O168)),NOT(ISNUMBER($N168)),NOT(ISNUMBER($F168))),"",$O168*($N168/100)*$F168*10)</f>
        <v/>
      </c>
      <c r="Q168" s="9">
        <f>IF(OR(NOT(ISNUMBER($D168)),NOT(ISNUMBER($E168))),"",MAX(0,MIN($E168,SOIL_REPORTING_DEPTH_CM)-MIN($D168,SOIL_REPORTING_DEPTH_CM)))</f>
        <v/>
      </c>
      <c r="R168" s="9">
        <f>IF(OR(NOT(ISNUMBER($O168)),NOT(ISNUMBER($N168)),NOT(ISNUMBER($Q168))),"",$O168*($N168/100)*$Q168*10)</f>
        <v/>
      </c>
      <c r="S168" s="11">
        <f>IF(AND($A168="",$B168="",$D168=""),"",IF(AND($A168&lt;&gt;"",COUNTIF('1. Plot &amp; Site Log'!$A$5:$A$64,$A168)=0),"Plot ID not in the Plot &amp; Site Log. ","")&amp;IF(AND(ISNUMBER($D168),ISNUMBER($E168),$E168&lt;=$D168),"Bottom depth is not below top depth. ","")&amp;IF($L168="Not confirmed","Bulk-density basis not confirmed with the lab — the coarse-fragment correction may be wrong or doubled. ","")&amp;IF(AND(ISNUMBER($M168),OR($M168&lt;QC_BD_MIN,$M168&gt;QC_BD_MAX)),"Bulk density outside the plausible range for a mineral grassland soil. ","")&amp;IF(AND(ISNUMBER($N168),$N168&gt;QC_CARBON_PCT_MAX),"Organic carbon above the QC ceiling — check units, and whether this is an organic horizon. ","")&amp;IF(AND(ISNUMBER($J168),$J168&lt;QC_RECOVERY_MIN),"Recovered less than the QC minimum of the depth driven — the increments may not sit where you think. Do NOT stretch them back out. ","")&amp;IF(AND(ISNUMBER($K168),$K168&gt;0,$L168="Fine earth / total volume"),"Coarse fragments recorded and the lab basis already accounts for them — no further correction applied, which is correct. ",""))</f>
        <v/>
      </c>
      <c r="T168" s="6" t="n"/>
      <c r="U168" s="9">
        <f>IF($B168="",0,IF(COUNTIFS($B$5:$B168,$B168)=1,1,0))</f>
        <v/>
      </c>
    </row>
    <row r="169">
      <c r="A169" s="6" t="n"/>
      <c r="B169" s="6" t="n"/>
      <c r="C169" s="6" t="n"/>
      <c r="D169" s="6" t="n"/>
      <c r="E169" s="6" t="n"/>
      <c r="F169" s="9">
        <f>IF(OR($D169="",$E169=""),"",$E169-$D169)</f>
        <v/>
      </c>
      <c r="G169" s="6" t="n"/>
      <c r="H169" s="6" t="n"/>
      <c r="I169" s="6" t="n"/>
      <c r="J169" s="9">
        <f>IF(OR(NOT(ISNUMBER($H169)),NOT(ISNUMBER($I169)),$H169=0),"",$I169/$H169)</f>
        <v/>
      </c>
      <c r="K169" s="6" t="n"/>
      <c r="L169" s="8" t="n"/>
      <c r="M169" s="7" t="n"/>
      <c r="N169" s="7" t="n"/>
      <c r="O169" s="9">
        <f>IF(NOT(ISNUMBER($M169)),"",IF($L169="Fine earth / fine-earth volume",$M169*(1-IF(ISNUMBER($K169),$K169,0)/100),$M169))</f>
        <v/>
      </c>
      <c r="P169" s="9">
        <f>IF(OR(NOT(ISNUMBER($O169)),NOT(ISNUMBER($N169)),NOT(ISNUMBER($F169))),"",$O169*($N169/100)*$F169*10)</f>
        <v/>
      </c>
      <c r="Q169" s="9">
        <f>IF(OR(NOT(ISNUMBER($D169)),NOT(ISNUMBER($E169))),"",MAX(0,MIN($E169,SOIL_REPORTING_DEPTH_CM)-MIN($D169,SOIL_REPORTING_DEPTH_CM)))</f>
        <v/>
      </c>
      <c r="R169" s="9">
        <f>IF(OR(NOT(ISNUMBER($O169)),NOT(ISNUMBER($N169)),NOT(ISNUMBER($Q169))),"",$O169*($N169/100)*$Q169*10)</f>
        <v/>
      </c>
      <c r="S169" s="11">
        <f>IF(AND($A169="",$B169="",$D169=""),"",IF(AND($A169&lt;&gt;"",COUNTIF('1. Plot &amp; Site Log'!$A$5:$A$64,$A169)=0),"Plot ID not in the Plot &amp; Site Log. ","")&amp;IF(AND(ISNUMBER($D169),ISNUMBER($E169),$E169&lt;=$D169),"Bottom depth is not below top depth. ","")&amp;IF($L169="Not confirmed","Bulk-density basis not confirmed with the lab — the coarse-fragment correction may be wrong or doubled. ","")&amp;IF(AND(ISNUMBER($M169),OR($M169&lt;QC_BD_MIN,$M169&gt;QC_BD_MAX)),"Bulk density outside the plausible range for a mineral grassland soil. ","")&amp;IF(AND(ISNUMBER($N169),$N169&gt;QC_CARBON_PCT_MAX),"Organic carbon above the QC ceiling — check units, and whether this is an organic horizon. ","")&amp;IF(AND(ISNUMBER($J169),$J169&lt;QC_RECOVERY_MIN),"Recovered less than the QC minimum of the depth driven — the increments may not sit where you think. Do NOT stretch them back out. ","")&amp;IF(AND(ISNUMBER($K169),$K169&gt;0,$L169="Fine earth / total volume"),"Coarse fragments recorded and the lab basis already accounts for them — no further correction applied, which is correct. ",""))</f>
        <v/>
      </c>
      <c r="T169" s="6" t="n"/>
      <c r="U169" s="9">
        <f>IF($B169="",0,IF(COUNTIFS($B$5:$B169,$B169)=1,1,0))</f>
        <v/>
      </c>
    </row>
    <row r="170">
      <c r="A170" s="6" t="n"/>
      <c r="B170" s="6" t="n"/>
      <c r="C170" s="6" t="n"/>
      <c r="D170" s="6" t="n"/>
      <c r="E170" s="6" t="n"/>
      <c r="F170" s="9">
        <f>IF(OR($D170="",$E170=""),"",$E170-$D170)</f>
        <v/>
      </c>
      <c r="G170" s="6" t="n"/>
      <c r="H170" s="6" t="n"/>
      <c r="I170" s="6" t="n"/>
      <c r="J170" s="9">
        <f>IF(OR(NOT(ISNUMBER($H170)),NOT(ISNUMBER($I170)),$H170=0),"",$I170/$H170)</f>
        <v/>
      </c>
      <c r="K170" s="6" t="n"/>
      <c r="L170" s="8" t="n"/>
      <c r="M170" s="7" t="n"/>
      <c r="N170" s="7" t="n"/>
      <c r="O170" s="9">
        <f>IF(NOT(ISNUMBER($M170)),"",IF($L170="Fine earth / fine-earth volume",$M170*(1-IF(ISNUMBER($K170),$K170,0)/100),$M170))</f>
        <v/>
      </c>
      <c r="P170" s="9">
        <f>IF(OR(NOT(ISNUMBER($O170)),NOT(ISNUMBER($N170)),NOT(ISNUMBER($F170))),"",$O170*($N170/100)*$F170*10)</f>
        <v/>
      </c>
      <c r="Q170" s="9">
        <f>IF(OR(NOT(ISNUMBER($D170)),NOT(ISNUMBER($E170))),"",MAX(0,MIN($E170,SOIL_REPORTING_DEPTH_CM)-MIN($D170,SOIL_REPORTING_DEPTH_CM)))</f>
        <v/>
      </c>
      <c r="R170" s="9">
        <f>IF(OR(NOT(ISNUMBER($O170)),NOT(ISNUMBER($N170)),NOT(ISNUMBER($Q170))),"",$O170*($N170/100)*$Q170*10)</f>
        <v/>
      </c>
      <c r="S170" s="11">
        <f>IF(AND($A170="",$B170="",$D170=""),"",IF(AND($A170&lt;&gt;"",COUNTIF('1. Plot &amp; Site Log'!$A$5:$A$64,$A170)=0),"Plot ID not in the Plot &amp; Site Log. ","")&amp;IF(AND(ISNUMBER($D170),ISNUMBER($E170),$E170&lt;=$D170),"Bottom depth is not below top depth. ","")&amp;IF($L170="Not confirmed","Bulk-density basis not confirmed with the lab — the coarse-fragment correction may be wrong or doubled. ","")&amp;IF(AND(ISNUMBER($M170),OR($M170&lt;QC_BD_MIN,$M170&gt;QC_BD_MAX)),"Bulk density outside the plausible range for a mineral grassland soil. ","")&amp;IF(AND(ISNUMBER($N170),$N170&gt;QC_CARBON_PCT_MAX),"Organic carbon above the QC ceiling — check units, and whether this is an organic horizon. ","")&amp;IF(AND(ISNUMBER($J170),$J170&lt;QC_RECOVERY_MIN),"Recovered less than the QC minimum of the depth driven — the increments may not sit where you think. Do NOT stretch them back out. ","")&amp;IF(AND(ISNUMBER($K170),$K170&gt;0,$L170="Fine earth / total volume"),"Coarse fragments recorded and the lab basis already accounts for them — no further correction applied, which is correct. ",""))</f>
        <v/>
      </c>
      <c r="T170" s="6" t="n"/>
      <c r="U170" s="9">
        <f>IF($B170="",0,IF(COUNTIFS($B$5:$B170,$B170)=1,1,0))</f>
        <v/>
      </c>
    </row>
    <row r="171">
      <c r="A171" s="6" t="n"/>
      <c r="B171" s="6" t="n"/>
      <c r="C171" s="6" t="n"/>
      <c r="D171" s="6" t="n"/>
      <c r="E171" s="6" t="n"/>
      <c r="F171" s="9">
        <f>IF(OR($D171="",$E171=""),"",$E171-$D171)</f>
        <v/>
      </c>
      <c r="G171" s="6" t="n"/>
      <c r="H171" s="6" t="n"/>
      <c r="I171" s="6" t="n"/>
      <c r="J171" s="9">
        <f>IF(OR(NOT(ISNUMBER($H171)),NOT(ISNUMBER($I171)),$H171=0),"",$I171/$H171)</f>
        <v/>
      </c>
      <c r="K171" s="6" t="n"/>
      <c r="L171" s="8" t="n"/>
      <c r="M171" s="7" t="n"/>
      <c r="N171" s="7" t="n"/>
      <c r="O171" s="9">
        <f>IF(NOT(ISNUMBER($M171)),"",IF($L171="Fine earth / fine-earth volume",$M171*(1-IF(ISNUMBER($K171),$K171,0)/100),$M171))</f>
        <v/>
      </c>
      <c r="P171" s="9">
        <f>IF(OR(NOT(ISNUMBER($O171)),NOT(ISNUMBER($N171)),NOT(ISNUMBER($F171))),"",$O171*($N171/100)*$F171*10)</f>
        <v/>
      </c>
      <c r="Q171" s="9">
        <f>IF(OR(NOT(ISNUMBER($D171)),NOT(ISNUMBER($E171))),"",MAX(0,MIN($E171,SOIL_REPORTING_DEPTH_CM)-MIN($D171,SOIL_REPORTING_DEPTH_CM)))</f>
        <v/>
      </c>
      <c r="R171" s="9">
        <f>IF(OR(NOT(ISNUMBER($O171)),NOT(ISNUMBER($N171)),NOT(ISNUMBER($Q171))),"",$O171*($N171/100)*$Q171*10)</f>
        <v/>
      </c>
      <c r="S171" s="11">
        <f>IF(AND($A171="",$B171="",$D171=""),"",IF(AND($A171&lt;&gt;"",COUNTIF('1. Plot &amp; Site Log'!$A$5:$A$64,$A171)=0),"Plot ID not in the Plot &amp; Site Log. ","")&amp;IF(AND(ISNUMBER($D171),ISNUMBER($E171),$E171&lt;=$D171),"Bottom depth is not below top depth. ","")&amp;IF($L171="Not confirmed","Bulk-density basis not confirmed with the lab — the coarse-fragment correction may be wrong or doubled. ","")&amp;IF(AND(ISNUMBER($M171),OR($M171&lt;QC_BD_MIN,$M171&gt;QC_BD_MAX)),"Bulk density outside the plausible range for a mineral grassland soil. ","")&amp;IF(AND(ISNUMBER($N171),$N171&gt;QC_CARBON_PCT_MAX),"Organic carbon above the QC ceiling — check units, and whether this is an organic horizon. ","")&amp;IF(AND(ISNUMBER($J171),$J171&lt;QC_RECOVERY_MIN),"Recovered less than the QC minimum of the depth driven — the increments may not sit where you think. Do NOT stretch them back out. ","")&amp;IF(AND(ISNUMBER($K171),$K171&gt;0,$L171="Fine earth / total volume"),"Coarse fragments recorded and the lab basis already accounts for them — no further correction applied, which is correct. ",""))</f>
        <v/>
      </c>
      <c r="T171" s="6" t="n"/>
      <c r="U171" s="9">
        <f>IF($B171="",0,IF(COUNTIFS($B$5:$B171,$B171)=1,1,0))</f>
        <v/>
      </c>
    </row>
    <row r="172">
      <c r="A172" s="6" t="n"/>
      <c r="B172" s="6" t="n"/>
      <c r="C172" s="6" t="n"/>
      <c r="D172" s="6" t="n"/>
      <c r="E172" s="6" t="n"/>
      <c r="F172" s="9">
        <f>IF(OR($D172="",$E172=""),"",$E172-$D172)</f>
        <v/>
      </c>
      <c r="G172" s="6" t="n"/>
      <c r="H172" s="6" t="n"/>
      <c r="I172" s="6" t="n"/>
      <c r="J172" s="9">
        <f>IF(OR(NOT(ISNUMBER($H172)),NOT(ISNUMBER($I172)),$H172=0),"",$I172/$H172)</f>
        <v/>
      </c>
      <c r="K172" s="6" t="n"/>
      <c r="L172" s="8" t="n"/>
      <c r="M172" s="7" t="n"/>
      <c r="N172" s="7" t="n"/>
      <c r="O172" s="9">
        <f>IF(NOT(ISNUMBER($M172)),"",IF($L172="Fine earth / fine-earth volume",$M172*(1-IF(ISNUMBER($K172),$K172,0)/100),$M172))</f>
        <v/>
      </c>
      <c r="P172" s="9">
        <f>IF(OR(NOT(ISNUMBER($O172)),NOT(ISNUMBER($N172)),NOT(ISNUMBER($F172))),"",$O172*($N172/100)*$F172*10)</f>
        <v/>
      </c>
      <c r="Q172" s="9">
        <f>IF(OR(NOT(ISNUMBER($D172)),NOT(ISNUMBER($E172))),"",MAX(0,MIN($E172,SOIL_REPORTING_DEPTH_CM)-MIN($D172,SOIL_REPORTING_DEPTH_CM)))</f>
        <v/>
      </c>
      <c r="R172" s="9">
        <f>IF(OR(NOT(ISNUMBER($O172)),NOT(ISNUMBER($N172)),NOT(ISNUMBER($Q172))),"",$O172*($N172/100)*$Q172*10)</f>
        <v/>
      </c>
      <c r="S172" s="11">
        <f>IF(AND($A172="",$B172="",$D172=""),"",IF(AND($A172&lt;&gt;"",COUNTIF('1. Plot &amp; Site Log'!$A$5:$A$64,$A172)=0),"Plot ID not in the Plot &amp; Site Log. ","")&amp;IF(AND(ISNUMBER($D172),ISNUMBER($E172),$E172&lt;=$D172),"Bottom depth is not below top depth. ","")&amp;IF($L172="Not confirmed","Bulk-density basis not confirmed with the lab — the coarse-fragment correction may be wrong or doubled. ","")&amp;IF(AND(ISNUMBER($M172),OR($M172&lt;QC_BD_MIN,$M172&gt;QC_BD_MAX)),"Bulk density outside the plausible range for a mineral grassland soil. ","")&amp;IF(AND(ISNUMBER($N172),$N172&gt;QC_CARBON_PCT_MAX),"Organic carbon above the QC ceiling — check units, and whether this is an organic horizon. ","")&amp;IF(AND(ISNUMBER($J172),$J172&lt;QC_RECOVERY_MIN),"Recovered less than the QC minimum of the depth driven — the increments may not sit where you think. Do NOT stretch them back out. ","")&amp;IF(AND(ISNUMBER($K172),$K172&gt;0,$L172="Fine earth / total volume"),"Coarse fragments recorded and the lab basis already accounts for them — no further correction applied, which is correct. ",""))</f>
        <v/>
      </c>
      <c r="T172" s="6" t="n"/>
      <c r="U172" s="9">
        <f>IF($B172="",0,IF(COUNTIFS($B$5:$B172,$B172)=1,1,0))</f>
        <v/>
      </c>
    </row>
    <row r="173">
      <c r="A173" s="6" t="n"/>
      <c r="B173" s="6" t="n"/>
      <c r="C173" s="6" t="n"/>
      <c r="D173" s="6" t="n"/>
      <c r="E173" s="6" t="n"/>
      <c r="F173" s="9">
        <f>IF(OR($D173="",$E173=""),"",$E173-$D173)</f>
        <v/>
      </c>
      <c r="G173" s="6" t="n"/>
      <c r="H173" s="6" t="n"/>
      <c r="I173" s="6" t="n"/>
      <c r="J173" s="9">
        <f>IF(OR(NOT(ISNUMBER($H173)),NOT(ISNUMBER($I173)),$H173=0),"",$I173/$H173)</f>
        <v/>
      </c>
      <c r="K173" s="6" t="n"/>
      <c r="L173" s="8" t="n"/>
      <c r="M173" s="7" t="n"/>
      <c r="N173" s="7" t="n"/>
      <c r="O173" s="9">
        <f>IF(NOT(ISNUMBER($M173)),"",IF($L173="Fine earth / fine-earth volume",$M173*(1-IF(ISNUMBER($K173),$K173,0)/100),$M173))</f>
        <v/>
      </c>
      <c r="P173" s="9">
        <f>IF(OR(NOT(ISNUMBER($O173)),NOT(ISNUMBER($N173)),NOT(ISNUMBER($F173))),"",$O173*($N173/100)*$F173*10)</f>
        <v/>
      </c>
      <c r="Q173" s="9">
        <f>IF(OR(NOT(ISNUMBER($D173)),NOT(ISNUMBER($E173))),"",MAX(0,MIN($E173,SOIL_REPORTING_DEPTH_CM)-MIN($D173,SOIL_REPORTING_DEPTH_CM)))</f>
        <v/>
      </c>
      <c r="R173" s="9">
        <f>IF(OR(NOT(ISNUMBER($O173)),NOT(ISNUMBER($N173)),NOT(ISNUMBER($Q173))),"",$O173*($N173/100)*$Q173*10)</f>
        <v/>
      </c>
      <c r="S173" s="11">
        <f>IF(AND($A173="",$B173="",$D173=""),"",IF(AND($A173&lt;&gt;"",COUNTIF('1. Plot &amp; Site Log'!$A$5:$A$64,$A173)=0),"Plot ID not in the Plot &amp; Site Log. ","")&amp;IF(AND(ISNUMBER($D173),ISNUMBER($E173),$E173&lt;=$D173),"Bottom depth is not below top depth. ","")&amp;IF($L173="Not confirmed","Bulk-density basis not confirmed with the lab — the coarse-fragment correction may be wrong or doubled. ","")&amp;IF(AND(ISNUMBER($M173),OR($M173&lt;QC_BD_MIN,$M173&gt;QC_BD_MAX)),"Bulk density outside the plausible range for a mineral grassland soil. ","")&amp;IF(AND(ISNUMBER($N173),$N173&gt;QC_CARBON_PCT_MAX),"Organic carbon above the QC ceiling — check units, and whether this is an organic horizon. ","")&amp;IF(AND(ISNUMBER($J173),$J173&lt;QC_RECOVERY_MIN),"Recovered less than the QC minimum of the depth driven — the increments may not sit where you think. Do NOT stretch them back out. ","")&amp;IF(AND(ISNUMBER($K173),$K173&gt;0,$L173="Fine earth / total volume"),"Coarse fragments recorded and the lab basis already accounts for them — no further correction applied, which is correct. ",""))</f>
        <v/>
      </c>
      <c r="T173" s="6" t="n"/>
      <c r="U173" s="9">
        <f>IF($B173="",0,IF(COUNTIFS($B$5:$B173,$B173)=1,1,0))</f>
        <v/>
      </c>
    </row>
    <row r="174">
      <c r="A174" s="6" t="n"/>
      <c r="B174" s="6" t="n"/>
      <c r="C174" s="6" t="n"/>
      <c r="D174" s="6" t="n"/>
      <c r="E174" s="6" t="n"/>
      <c r="F174" s="9">
        <f>IF(OR($D174="",$E174=""),"",$E174-$D174)</f>
        <v/>
      </c>
      <c r="G174" s="6" t="n"/>
      <c r="H174" s="6" t="n"/>
      <c r="I174" s="6" t="n"/>
      <c r="J174" s="9">
        <f>IF(OR(NOT(ISNUMBER($H174)),NOT(ISNUMBER($I174)),$H174=0),"",$I174/$H174)</f>
        <v/>
      </c>
      <c r="K174" s="6" t="n"/>
      <c r="L174" s="8" t="n"/>
      <c r="M174" s="7" t="n"/>
      <c r="N174" s="7" t="n"/>
      <c r="O174" s="9">
        <f>IF(NOT(ISNUMBER($M174)),"",IF($L174="Fine earth / fine-earth volume",$M174*(1-IF(ISNUMBER($K174),$K174,0)/100),$M174))</f>
        <v/>
      </c>
      <c r="P174" s="9">
        <f>IF(OR(NOT(ISNUMBER($O174)),NOT(ISNUMBER($N174)),NOT(ISNUMBER($F174))),"",$O174*($N174/100)*$F174*10)</f>
        <v/>
      </c>
      <c r="Q174" s="9">
        <f>IF(OR(NOT(ISNUMBER($D174)),NOT(ISNUMBER($E174))),"",MAX(0,MIN($E174,SOIL_REPORTING_DEPTH_CM)-MIN($D174,SOIL_REPORTING_DEPTH_CM)))</f>
        <v/>
      </c>
      <c r="R174" s="9">
        <f>IF(OR(NOT(ISNUMBER($O174)),NOT(ISNUMBER($N174)),NOT(ISNUMBER($Q174))),"",$O174*($N174/100)*$Q174*10)</f>
        <v/>
      </c>
      <c r="S174" s="11">
        <f>IF(AND($A174="",$B174="",$D174=""),"",IF(AND($A174&lt;&gt;"",COUNTIF('1. Plot &amp; Site Log'!$A$5:$A$64,$A174)=0),"Plot ID not in the Plot &amp; Site Log. ","")&amp;IF(AND(ISNUMBER($D174),ISNUMBER($E174),$E174&lt;=$D174),"Bottom depth is not below top depth. ","")&amp;IF($L174="Not confirmed","Bulk-density basis not confirmed with the lab — the coarse-fragment correction may be wrong or doubled. ","")&amp;IF(AND(ISNUMBER($M174),OR($M174&lt;QC_BD_MIN,$M174&gt;QC_BD_MAX)),"Bulk density outside the plausible range for a mineral grassland soil. ","")&amp;IF(AND(ISNUMBER($N174),$N174&gt;QC_CARBON_PCT_MAX),"Organic carbon above the QC ceiling — check units, and whether this is an organic horizon. ","")&amp;IF(AND(ISNUMBER($J174),$J174&lt;QC_RECOVERY_MIN),"Recovered less than the QC minimum of the depth driven — the increments may not sit where you think. Do NOT stretch them back out. ","")&amp;IF(AND(ISNUMBER($K174),$K174&gt;0,$L174="Fine earth / total volume"),"Coarse fragments recorded and the lab basis already accounts for them — no further correction applied, which is correct. ",""))</f>
        <v/>
      </c>
      <c r="T174" s="6" t="n"/>
      <c r="U174" s="9">
        <f>IF($B174="",0,IF(COUNTIFS($B$5:$B174,$B174)=1,1,0))</f>
        <v/>
      </c>
    </row>
    <row r="175">
      <c r="A175" s="6" t="n"/>
      <c r="B175" s="6" t="n"/>
      <c r="C175" s="6" t="n"/>
      <c r="D175" s="6" t="n"/>
      <c r="E175" s="6" t="n"/>
      <c r="F175" s="9">
        <f>IF(OR($D175="",$E175=""),"",$E175-$D175)</f>
        <v/>
      </c>
      <c r="G175" s="6" t="n"/>
      <c r="H175" s="6" t="n"/>
      <c r="I175" s="6" t="n"/>
      <c r="J175" s="9">
        <f>IF(OR(NOT(ISNUMBER($H175)),NOT(ISNUMBER($I175)),$H175=0),"",$I175/$H175)</f>
        <v/>
      </c>
      <c r="K175" s="6" t="n"/>
      <c r="L175" s="8" t="n"/>
      <c r="M175" s="7" t="n"/>
      <c r="N175" s="7" t="n"/>
      <c r="O175" s="9">
        <f>IF(NOT(ISNUMBER($M175)),"",IF($L175="Fine earth / fine-earth volume",$M175*(1-IF(ISNUMBER($K175),$K175,0)/100),$M175))</f>
        <v/>
      </c>
      <c r="P175" s="9">
        <f>IF(OR(NOT(ISNUMBER($O175)),NOT(ISNUMBER($N175)),NOT(ISNUMBER($F175))),"",$O175*($N175/100)*$F175*10)</f>
        <v/>
      </c>
      <c r="Q175" s="9">
        <f>IF(OR(NOT(ISNUMBER($D175)),NOT(ISNUMBER($E175))),"",MAX(0,MIN($E175,SOIL_REPORTING_DEPTH_CM)-MIN($D175,SOIL_REPORTING_DEPTH_CM)))</f>
        <v/>
      </c>
      <c r="R175" s="9">
        <f>IF(OR(NOT(ISNUMBER($O175)),NOT(ISNUMBER($N175)),NOT(ISNUMBER($Q175))),"",$O175*($N175/100)*$Q175*10)</f>
        <v/>
      </c>
      <c r="S175" s="11">
        <f>IF(AND($A175="",$B175="",$D175=""),"",IF(AND($A175&lt;&gt;"",COUNTIF('1. Plot &amp; Site Log'!$A$5:$A$64,$A175)=0),"Plot ID not in the Plot &amp; Site Log. ","")&amp;IF(AND(ISNUMBER($D175),ISNUMBER($E175),$E175&lt;=$D175),"Bottom depth is not below top depth. ","")&amp;IF($L175="Not confirmed","Bulk-density basis not confirmed with the lab — the coarse-fragment correction may be wrong or doubled. ","")&amp;IF(AND(ISNUMBER($M175),OR($M175&lt;QC_BD_MIN,$M175&gt;QC_BD_MAX)),"Bulk density outside the plausible range for a mineral grassland soil. ","")&amp;IF(AND(ISNUMBER($N175),$N175&gt;QC_CARBON_PCT_MAX),"Organic carbon above the QC ceiling — check units, and whether this is an organic horizon. ","")&amp;IF(AND(ISNUMBER($J175),$J175&lt;QC_RECOVERY_MIN),"Recovered less than the QC minimum of the depth driven — the increments may not sit where you think. Do NOT stretch them back out. ","")&amp;IF(AND(ISNUMBER($K175),$K175&gt;0,$L175="Fine earth / total volume"),"Coarse fragments recorded and the lab basis already accounts for them — no further correction applied, which is correct. ",""))</f>
        <v/>
      </c>
      <c r="T175" s="6" t="n"/>
      <c r="U175" s="9">
        <f>IF($B175="",0,IF(COUNTIFS($B$5:$B175,$B175)=1,1,0))</f>
        <v/>
      </c>
    </row>
    <row r="176">
      <c r="A176" s="6" t="n"/>
      <c r="B176" s="6" t="n"/>
      <c r="C176" s="6" t="n"/>
      <c r="D176" s="6" t="n"/>
      <c r="E176" s="6" t="n"/>
      <c r="F176" s="9">
        <f>IF(OR($D176="",$E176=""),"",$E176-$D176)</f>
        <v/>
      </c>
      <c r="G176" s="6" t="n"/>
      <c r="H176" s="6" t="n"/>
      <c r="I176" s="6" t="n"/>
      <c r="J176" s="9">
        <f>IF(OR(NOT(ISNUMBER($H176)),NOT(ISNUMBER($I176)),$H176=0),"",$I176/$H176)</f>
        <v/>
      </c>
      <c r="K176" s="6" t="n"/>
      <c r="L176" s="8" t="n"/>
      <c r="M176" s="7" t="n"/>
      <c r="N176" s="7" t="n"/>
      <c r="O176" s="9">
        <f>IF(NOT(ISNUMBER($M176)),"",IF($L176="Fine earth / fine-earth volume",$M176*(1-IF(ISNUMBER($K176),$K176,0)/100),$M176))</f>
        <v/>
      </c>
      <c r="P176" s="9">
        <f>IF(OR(NOT(ISNUMBER($O176)),NOT(ISNUMBER($N176)),NOT(ISNUMBER($F176))),"",$O176*($N176/100)*$F176*10)</f>
        <v/>
      </c>
      <c r="Q176" s="9">
        <f>IF(OR(NOT(ISNUMBER($D176)),NOT(ISNUMBER($E176))),"",MAX(0,MIN($E176,SOIL_REPORTING_DEPTH_CM)-MIN($D176,SOIL_REPORTING_DEPTH_CM)))</f>
        <v/>
      </c>
      <c r="R176" s="9">
        <f>IF(OR(NOT(ISNUMBER($O176)),NOT(ISNUMBER($N176)),NOT(ISNUMBER($Q176))),"",$O176*($N176/100)*$Q176*10)</f>
        <v/>
      </c>
      <c r="S176" s="11">
        <f>IF(AND($A176="",$B176="",$D176=""),"",IF(AND($A176&lt;&gt;"",COUNTIF('1. Plot &amp; Site Log'!$A$5:$A$64,$A176)=0),"Plot ID not in the Plot &amp; Site Log. ","")&amp;IF(AND(ISNUMBER($D176),ISNUMBER($E176),$E176&lt;=$D176),"Bottom depth is not below top depth. ","")&amp;IF($L176="Not confirmed","Bulk-density basis not confirmed with the lab — the coarse-fragment correction may be wrong or doubled. ","")&amp;IF(AND(ISNUMBER($M176),OR($M176&lt;QC_BD_MIN,$M176&gt;QC_BD_MAX)),"Bulk density outside the plausible range for a mineral grassland soil. ","")&amp;IF(AND(ISNUMBER($N176),$N176&gt;QC_CARBON_PCT_MAX),"Organic carbon above the QC ceiling — check units, and whether this is an organic horizon. ","")&amp;IF(AND(ISNUMBER($J176),$J176&lt;QC_RECOVERY_MIN),"Recovered less than the QC minimum of the depth driven — the increments may not sit where you think. Do NOT stretch them back out. ","")&amp;IF(AND(ISNUMBER($K176),$K176&gt;0,$L176="Fine earth / total volume"),"Coarse fragments recorded and the lab basis already accounts for them — no further correction applied, which is correct. ",""))</f>
        <v/>
      </c>
      <c r="T176" s="6" t="n"/>
      <c r="U176" s="9">
        <f>IF($B176="",0,IF(COUNTIFS($B$5:$B176,$B176)=1,1,0))</f>
        <v/>
      </c>
    </row>
    <row r="177">
      <c r="A177" s="6" t="n"/>
      <c r="B177" s="6" t="n"/>
      <c r="C177" s="6" t="n"/>
      <c r="D177" s="6" t="n"/>
      <c r="E177" s="6" t="n"/>
      <c r="F177" s="9">
        <f>IF(OR($D177="",$E177=""),"",$E177-$D177)</f>
        <v/>
      </c>
      <c r="G177" s="6" t="n"/>
      <c r="H177" s="6" t="n"/>
      <c r="I177" s="6" t="n"/>
      <c r="J177" s="9">
        <f>IF(OR(NOT(ISNUMBER($H177)),NOT(ISNUMBER($I177)),$H177=0),"",$I177/$H177)</f>
        <v/>
      </c>
      <c r="K177" s="6" t="n"/>
      <c r="L177" s="8" t="n"/>
      <c r="M177" s="7" t="n"/>
      <c r="N177" s="7" t="n"/>
      <c r="O177" s="9">
        <f>IF(NOT(ISNUMBER($M177)),"",IF($L177="Fine earth / fine-earth volume",$M177*(1-IF(ISNUMBER($K177),$K177,0)/100),$M177))</f>
        <v/>
      </c>
      <c r="P177" s="9">
        <f>IF(OR(NOT(ISNUMBER($O177)),NOT(ISNUMBER($N177)),NOT(ISNUMBER($F177))),"",$O177*($N177/100)*$F177*10)</f>
        <v/>
      </c>
      <c r="Q177" s="9">
        <f>IF(OR(NOT(ISNUMBER($D177)),NOT(ISNUMBER($E177))),"",MAX(0,MIN($E177,SOIL_REPORTING_DEPTH_CM)-MIN($D177,SOIL_REPORTING_DEPTH_CM)))</f>
        <v/>
      </c>
      <c r="R177" s="9">
        <f>IF(OR(NOT(ISNUMBER($O177)),NOT(ISNUMBER($N177)),NOT(ISNUMBER($Q177))),"",$O177*($N177/100)*$Q177*10)</f>
        <v/>
      </c>
      <c r="S177" s="11">
        <f>IF(AND($A177="",$B177="",$D177=""),"",IF(AND($A177&lt;&gt;"",COUNTIF('1. Plot &amp; Site Log'!$A$5:$A$64,$A177)=0),"Plot ID not in the Plot &amp; Site Log. ","")&amp;IF(AND(ISNUMBER($D177),ISNUMBER($E177),$E177&lt;=$D177),"Bottom depth is not below top depth. ","")&amp;IF($L177="Not confirmed","Bulk-density basis not confirmed with the lab — the coarse-fragment correction may be wrong or doubled. ","")&amp;IF(AND(ISNUMBER($M177),OR($M177&lt;QC_BD_MIN,$M177&gt;QC_BD_MAX)),"Bulk density outside the plausible range for a mineral grassland soil. ","")&amp;IF(AND(ISNUMBER($N177),$N177&gt;QC_CARBON_PCT_MAX),"Organic carbon above the QC ceiling — check units, and whether this is an organic horizon. ","")&amp;IF(AND(ISNUMBER($J177),$J177&lt;QC_RECOVERY_MIN),"Recovered less than the QC minimum of the depth driven — the increments may not sit where you think. Do NOT stretch them back out. ","")&amp;IF(AND(ISNUMBER($K177),$K177&gt;0,$L177="Fine earth / total volume"),"Coarse fragments recorded and the lab basis already accounts for them — no further correction applied, which is correct. ",""))</f>
        <v/>
      </c>
      <c r="T177" s="6" t="n"/>
      <c r="U177" s="9">
        <f>IF($B177="",0,IF(COUNTIFS($B$5:$B177,$B177)=1,1,0))</f>
        <v/>
      </c>
    </row>
    <row r="178">
      <c r="A178" s="6" t="n"/>
      <c r="B178" s="6" t="n"/>
      <c r="C178" s="6" t="n"/>
      <c r="D178" s="6" t="n"/>
      <c r="E178" s="6" t="n"/>
      <c r="F178" s="9">
        <f>IF(OR($D178="",$E178=""),"",$E178-$D178)</f>
        <v/>
      </c>
      <c r="G178" s="6" t="n"/>
      <c r="H178" s="6" t="n"/>
      <c r="I178" s="6" t="n"/>
      <c r="J178" s="9">
        <f>IF(OR(NOT(ISNUMBER($H178)),NOT(ISNUMBER($I178)),$H178=0),"",$I178/$H178)</f>
        <v/>
      </c>
      <c r="K178" s="6" t="n"/>
      <c r="L178" s="8" t="n"/>
      <c r="M178" s="7" t="n"/>
      <c r="N178" s="7" t="n"/>
      <c r="O178" s="9">
        <f>IF(NOT(ISNUMBER($M178)),"",IF($L178="Fine earth / fine-earth volume",$M178*(1-IF(ISNUMBER($K178),$K178,0)/100),$M178))</f>
        <v/>
      </c>
      <c r="P178" s="9">
        <f>IF(OR(NOT(ISNUMBER($O178)),NOT(ISNUMBER($N178)),NOT(ISNUMBER($F178))),"",$O178*($N178/100)*$F178*10)</f>
        <v/>
      </c>
      <c r="Q178" s="9">
        <f>IF(OR(NOT(ISNUMBER($D178)),NOT(ISNUMBER($E178))),"",MAX(0,MIN($E178,SOIL_REPORTING_DEPTH_CM)-MIN($D178,SOIL_REPORTING_DEPTH_CM)))</f>
        <v/>
      </c>
      <c r="R178" s="9">
        <f>IF(OR(NOT(ISNUMBER($O178)),NOT(ISNUMBER($N178)),NOT(ISNUMBER($Q178))),"",$O178*($N178/100)*$Q178*10)</f>
        <v/>
      </c>
      <c r="S178" s="11">
        <f>IF(AND($A178="",$B178="",$D178=""),"",IF(AND($A178&lt;&gt;"",COUNTIF('1. Plot &amp; Site Log'!$A$5:$A$64,$A178)=0),"Plot ID not in the Plot &amp; Site Log. ","")&amp;IF(AND(ISNUMBER($D178),ISNUMBER($E178),$E178&lt;=$D178),"Bottom depth is not below top depth. ","")&amp;IF($L178="Not confirmed","Bulk-density basis not confirmed with the lab — the coarse-fragment correction may be wrong or doubled. ","")&amp;IF(AND(ISNUMBER($M178),OR($M178&lt;QC_BD_MIN,$M178&gt;QC_BD_MAX)),"Bulk density outside the plausible range for a mineral grassland soil. ","")&amp;IF(AND(ISNUMBER($N178),$N178&gt;QC_CARBON_PCT_MAX),"Organic carbon above the QC ceiling — check units, and whether this is an organic horizon. ","")&amp;IF(AND(ISNUMBER($J178),$J178&lt;QC_RECOVERY_MIN),"Recovered less than the QC minimum of the depth driven — the increments may not sit where you think. Do NOT stretch them back out. ","")&amp;IF(AND(ISNUMBER($K178),$K178&gt;0,$L178="Fine earth / total volume"),"Coarse fragments recorded and the lab basis already accounts for them — no further correction applied, which is correct. ",""))</f>
        <v/>
      </c>
      <c r="T178" s="6" t="n"/>
      <c r="U178" s="9">
        <f>IF($B178="",0,IF(COUNTIFS($B$5:$B178,$B178)=1,1,0))</f>
        <v/>
      </c>
    </row>
    <row r="179">
      <c r="A179" s="6" t="n"/>
      <c r="B179" s="6" t="n"/>
      <c r="C179" s="6" t="n"/>
      <c r="D179" s="6" t="n"/>
      <c r="E179" s="6" t="n"/>
      <c r="F179" s="9">
        <f>IF(OR($D179="",$E179=""),"",$E179-$D179)</f>
        <v/>
      </c>
      <c r="G179" s="6" t="n"/>
      <c r="H179" s="6" t="n"/>
      <c r="I179" s="6" t="n"/>
      <c r="J179" s="9">
        <f>IF(OR(NOT(ISNUMBER($H179)),NOT(ISNUMBER($I179)),$H179=0),"",$I179/$H179)</f>
        <v/>
      </c>
      <c r="K179" s="6" t="n"/>
      <c r="L179" s="8" t="n"/>
      <c r="M179" s="7" t="n"/>
      <c r="N179" s="7" t="n"/>
      <c r="O179" s="9">
        <f>IF(NOT(ISNUMBER($M179)),"",IF($L179="Fine earth / fine-earth volume",$M179*(1-IF(ISNUMBER($K179),$K179,0)/100),$M179))</f>
        <v/>
      </c>
      <c r="P179" s="9">
        <f>IF(OR(NOT(ISNUMBER($O179)),NOT(ISNUMBER($N179)),NOT(ISNUMBER($F179))),"",$O179*($N179/100)*$F179*10)</f>
        <v/>
      </c>
      <c r="Q179" s="9">
        <f>IF(OR(NOT(ISNUMBER($D179)),NOT(ISNUMBER($E179))),"",MAX(0,MIN($E179,SOIL_REPORTING_DEPTH_CM)-MIN($D179,SOIL_REPORTING_DEPTH_CM)))</f>
        <v/>
      </c>
      <c r="R179" s="9">
        <f>IF(OR(NOT(ISNUMBER($O179)),NOT(ISNUMBER($N179)),NOT(ISNUMBER($Q179))),"",$O179*($N179/100)*$Q179*10)</f>
        <v/>
      </c>
      <c r="S179" s="11">
        <f>IF(AND($A179="",$B179="",$D179=""),"",IF(AND($A179&lt;&gt;"",COUNTIF('1. Plot &amp; Site Log'!$A$5:$A$64,$A179)=0),"Plot ID not in the Plot &amp; Site Log. ","")&amp;IF(AND(ISNUMBER($D179),ISNUMBER($E179),$E179&lt;=$D179),"Bottom depth is not below top depth. ","")&amp;IF($L179="Not confirmed","Bulk-density basis not confirmed with the lab — the coarse-fragment correction may be wrong or doubled. ","")&amp;IF(AND(ISNUMBER($M179),OR($M179&lt;QC_BD_MIN,$M179&gt;QC_BD_MAX)),"Bulk density outside the plausible range for a mineral grassland soil. ","")&amp;IF(AND(ISNUMBER($N179),$N179&gt;QC_CARBON_PCT_MAX),"Organic carbon above the QC ceiling — check units, and whether this is an organic horizon. ","")&amp;IF(AND(ISNUMBER($J179),$J179&lt;QC_RECOVERY_MIN),"Recovered less than the QC minimum of the depth driven — the increments may not sit where you think. Do NOT stretch them back out. ","")&amp;IF(AND(ISNUMBER($K179),$K179&gt;0,$L179="Fine earth / total volume"),"Coarse fragments recorded and the lab basis already accounts for them — no further correction applied, which is correct. ",""))</f>
        <v/>
      </c>
      <c r="T179" s="6" t="n"/>
      <c r="U179" s="9">
        <f>IF($B179="",0,IF(COUNTIFS($B$5:$B179,$B179)=1,1,0))</f>
        <v/>
      </c>
    </row>
    <row r="180">
      <c r="A180" s="6" t="n"/>
      <c r="B180" s="6" t="n"/>
      <c r="C180" s="6" t="n"/>
      <c r="D180" s="6" t="n"/>
      <c r="E180" s="6" t="n"/>
      <c r="F180" s="9">
        <f>IF(OR($D180="",$E180=""),"",$E180-$D180)</f>
        <v/>
      </c>
      <c r="G180" s="6" t="n"/>
      <c r="H180" s="6" t="n"/>
      <c r="I180" s="6" t="n"/>
      <c r="J180" s="9">
        <f>IF(OR(NOT(ISNUMBER($H180)),NOT(ISNUMBER($I180)),$H180=0),"",$I180/$H180)</f>
        <v/>
      </c>
      <c r="K180" s="6" t="n"/>
      <c r="L180" s="8" t="n"/>
      <c r="M180" s="7" t="n"/>
      <c r="N180" s="7" t="n"/>
      <c r="O180" s="9">
        <f>IF(NOT(ISNUMBER($M180)),"",IF($L180="Fine earth / fine-earth volume",$M180*(1-IF(ISNUMBER($K180),$K180,0)/100),$M180))</f>
        <v/>
      </c>
      <c r="P180" s="9">
        <f>IF(OR(NOT(ISNUMBER($O180)),NOT(ISNUMBER($N180)),NOT(ISNUMBER($F180))),"",$O180*($N180/100)*$F180*10)</f>
        <v/>
      </c>
      <c r="Q180" s="9">
        <f>IF(OR(NOT(ISNUMBER($D180)),NOT(ISNUMBER($E180))),"",MAX(0,MIN($E180,SOIL_REPORTING_DEPTH_CM)-MIN($D180,SOIL_REPORTING_DEPTH_CM)))</f>
        <v/>
      </c>
      <c r="R180" s="9">
        <f>IF(OR(NOT(ISNUMBER($O180)),NOT(ISNUMBER($N180)),NOT(ISNUMBER($Q180))),"",$O180*($N180/100)*$Q180*10)</f>
        <v/>
      </c>
      <c r="S180" s="11">
        <f>IF(AND($A180="",$B180="",$D180=""),"",IF(AND($A180&lt;&gt;"",COUNTIF('1. Plot &amp; Site Log'!$A$5:$A$64,$A180)=0),"Plot ID not in the Plot &amp; Site Log. ","")&amp;IF(AND(ISNUMBER($D180),ISNUMBER($E180),$E180&lt;=$D180),"Bottom depth is not below top depth. ","")&amp;IF($L180="Not confirmed","Bulk-density basis not confirmed with the lab — the coarse-fragment correction may be wrong or doubled. ","")&amp;IF(AND(ISNUMBER($M180),OR($M180&lt;QC_BD_MIN,$M180&gt;QC_BD_MAX)),"Bulk density outside the plausible range for a mineral grassland soil. ","")&amp;IF(AND(ISNUMBER($N180),$N180&gt;QC_CARBON_PCT_MAX),"Organic carbon above the QC ceiling — check units, and whether this is an organic horizon. ","")&amp;IF(AND(ISNUMBER($J180),$J180&lt;QC_RECOVERY_MIN),"Recovered less than the QC minimum of the depth driven — the increments may not sit where you think. Do NOT stretch them back out. ","")&amp;IF(AND(ISNUMBER($K180),$K180&gt;0,$L180="Fine earth / total volume"),"Coarse fragments recorded and the lab basis already accounts for them — no further correction applied, which is correct. ",""))</f>
        <v/>
      </c>
      <c r="T180" s="6" t="n"/>
      <c r="U180" s="9">
        <f>IF($B180="",0,IF(COUNTIFS($B$5:$B180,$B180)=1,1,0))</f>
        <v/>
      </c>
    </row>
    <row r="181">
      <c r="A181" s="6" t="n"/>
      <c r="B181" s="6" t="n"/>
      <c r="C181" s="6" t="n"/>
      <c r="D181" s="6" t="n"/>
      <c r="E181" s="6" t="n"/>
      <c r="F181" s="9">
        <f>IF(OR($D181="",$E181=""),"",$E181-$D181)</f>
        <v/>
      </c>
      <c r="G181" s="6" t="n"/>
      <c r="H181" s="6" t="n"/>
      <c r="I181" s="6" t="n"/>
      <c r="J181" s="9">
        <f>IF(OR(NOT(ISNUMBER($H181)),NOT(ISNUMBER($I181)),$H181=0),"",$I181/$H181)</f>
        <v/>
      </c>
      <c r="K181" s="6" t="n"/>
      <c r="L181" s="8" t="n"/>
      <c r="M181" s="7" t="n"/>
      <c r="N181" s="7" t="n"/>
      <c r="O181" s="9">
        <f>IF(NOT(ISNUMBER($M181)),"",IF($L181="Fine earth / fine-earth volume",$M181*(1-IF(ISNUMBER($K181),$K181,0)/100),$M181))</f>
        <v/>
      </c>
      <c r="P181" s="9">
        <f>IF(OR(NOT(ISNUMBER($O181)),NOT(ISNUMBER($N181)),NOT(ISNUMBER($F181))),"",$O181*($N181/100)*$F181*10)</f>
        <v/>
      </c>
      <c r="Q181" s="9">
        <f>IF(OR(NOT(ISNUMBER($D181)),NOT(ISNUMBER($E181))),"",MAX(0,MIN($E181,SOIL_REPORTING_DEPTH_CM)-MIN($D181,SOIL_REPORTING_DEPTH_CM)))</f>
        <v/>
      </c>
      <c r="R181" s="9">
        <f>IF(OR(NOT(ISNUMBER($O181)),NOT(ISNUMBER($N181)),NOT(ISNUMBER($Q181))),"",$O181*($N181/100)*$Q181*10)</f>
        <v/>
      </c>
      <c r="S181" s="11">
        <f>IF(AND($A181="",$B181="",$D181=""),"",IF(AND($A181&lt;&gt;"",COUNTIF('1. Plot &amp; Site Log'!$A$5:$A$64,$A181)=0),"Plot ID not in the Plot &amp; Site Log. ","")&amp;IF(AND(ISNUMBER($D181),ISNUMBER($E181),$E181&lt;=$D181),"Bottom depth is not below top depth. ","")&amp;IF($L181="Not confirmed","Bulk-density basis not confirmed with the lab — the coarse-fragment correction may be wrong or doubled. ","")&amp;IF(AND(ISNUMBER($M181),OR($M181&lt;QC_BD_MIN,$M181&gt;QC_BD_MAX)),"Bulk density outside the plausible range for a mineral grassland soil. ","")&amp;IF(AND(ISNUMBER($N181),$N181&gt;QC_CARBON_PCT_MAX),"Organic carbon above the QC ceiling — check units, and whether this is an organic horizon. ","")&amp;IF(AND(ISNUMBER($J181),$J181&lt;QC_RECOVERY_MIN),"Recovered less than the QC minimum of the depth driven — the increments may not sit where you think. Do NOT stretch them back out. ","")&amp;IF(AND(ISNUMBER($K181),$K181&gt;0,$L181="Fine earth / total volume"),"Coarse fragments recorded and the lab basis already accounts for them — no further correction applied, which is correct. ",""))</f>
        <v/>
      </c>
      <c r="T181" s="6" t="n"/>
      <c r="U181" s="9">
        <f>IF($B181="",0,IF(COUNTIFS($B$5:$B181,$B181)=1,1,0))</f>
        <v/>
      </c>
    </row>
    <row r="182">
      <c r="A182" s="6" t="n"/>
      <c r="B182" s="6" t="n"/>
      <c r="C182" s="6" t="n"/>
      <c r="D182" s="6" t="n"/>
      <c r="E182" s="6" t="n"/>
      <c r="F182" s="9">
        <f>IF(OR($D182="",$E182=""),"",$E182-$D182)</f>
        <v/>
      </c>
      <c r="G182" s="6" t="n"/>
      <c r="H182" s="6" t="n"/>
      <c r="I182" s="6" t="n"/>
      <c r="J182" s="9">
        <f>IF(OR(NOT(ISNUMBER($H182)),NOT(ISNUMBER($I182)),$H182=0),"",$I182/$H182)</f>
        <v/>
      </c>
      <c r="K182" s="6" t="n"/>
      <c r="L182" s="8" t="n"/>
      <c r="M182" s="7" t="n"/>
      <c r="N182" s="7" t="n"/>
      <c r="O182" s="9">
        <f>IF(NOT(ISNUMBER($M182)),"",IF($L182="Fine earth / fine-earth volume",$M182*(1-IF(ISNUMBER($K182),$K182,0)/100),$M182))</f>
        <v/>
      </c>
      <c r="P182" s="9">
        <f>IF(OR(NOT(ISNUMBER($O182)),NOT(ISNUMBER($N182)),NOT(ISNUMBER($F182))),"",$O182*($N182/100)*$F182*10)</f>
        <v/>
      </c>
      <c r="Q182" s="9">
        <f>IF(OR(NOT(ISNUMBER($D182)),NOT(ISNUMBER($E182))),"",MAX(0,MIN($E182,SOIL_REPORTING_DEPTH_CM)-MIN($D182,SOIL_REPORTING_DEPTH_CM)))</f>
        <v/>
      </c>
      <c r="R182" s="9">
        <f>IF(OR(NOT(ISNUMBER($O182)),NOT(ISNUMBER($N182)),NOT(ISNUMBER($Q182))),"",$O182*($N182/100)*$Q182*10)</f>
        <v/>
      </c>
      <c r="S182" s="11">
        <f>IF(AND($A182="",$B182="",$D182=""),"",IF(AND($A182&lt;&gt;"",COUNTIF('1. Plot &amp; Site Log'!$A$5:$A$64,$A182)=0),"Plot ID not in the Plot &amp; Site Log. ","")&amp;IF(AND(ISNUMBER($D182),ISNUMBER($E182),$E182&lt;=$D182),"Bottom depth is not below top depth. ","")&amp;IF($L182="Not confirmed","Bulk-density basis not confirmed with the lab — the coarse-fragment correction may be wrong or doubled. ","")&amp;IF(AND(ISNUMBER($M182),OR($M182&lt;QC_BD_MIN,$M182&gt;QC_BD_MAX)),"Bulk density outside the plausible range for a mineral grassland soil. ","")&amp;IF(AND(ISNUMBER($N182),$N182&gt;QC_CARBON_PCT_MAX),"Organic carbon above the QC ceiling — check units, and whether this is an organic horizon. ","")&amp;IF(AND(ISNUMBER($J182),$J182&lt;QC_RECOVERY_MIN),"Recovered less than the QC minimum of the depth driven — the increments may not sit where you think. Do NOT stretch them back out. ","")&amp;IF(AND(ISNUMBER($K182),$K182&gt;0,$L182="Fine earth / total volume"),"Coarse fragments recorded and the lab basis already accounts for them — no further correction applied, which is correct. ",""))</f>
        <v/>
      </c>
      <c r="T182" s="6" t="n"/>
      <c r="U182" s="9">
        <f>IF($B182="",0,IF(COUNTIFS($B$5:$B182,$B182)=1,1,0))</f>
        <v/>
      </c>
    </row>
    <row r="183">
      <c r="A183" s="6" t="n"/>
      <c r="B183" s="6" t="n"/>
      <c r="C183" s="6" t="n"/>
      <c r="D183" s="6" t="n"/>
      <c r="E183" s="6" t="n"/>
      <c r="F183" s="9">
        <f>IF(OR($D183="",$E183=""),"",$E183-$D183)</f>
        <v/>
      </c>
      <c r="G183" s="6" t="n"/>
      <c r="H183" s="6" t="n"/>
      <c r="I183" s="6" t="n"/>
      <c r="J183" s="9">
        <f>IF(OR(NOT(ISNUMBER($H183)),NOT(ISNUMBER($I183)),$H183=0),"",$I183/$H183)</f>
        <v/>
      </c>
      <c r="K183" s="6" t="n"/>
      <c r="L183" s="8" t="n"/>
      <c r="M183" s="7" t="n"/>
      <c r="N183" s="7" t="n"/>
      <c r="O183" s="9">
        <f>IF(NOT(ISNUMBER($M183)),"",IF($L183="Fine earth / fine-earth volume",$M183*(1-IF(ISNUMBER($K183),$K183,0)/100),$M183))</f>
        <v/>
      </c>
      <c r="P183" s="9">
        <f>IF(OR(NOT(ISNUMBER($O183)),NOT(ISNUMBER($N183)),NOT(ISNUMBER($F183))),"",$O183*($N183/100)*$F183*10)</f>
        <v/>
      </c>
      <c r="Q183" s="9">
        <f>IF(OR(NOT(ISNUMBER($D183)),NOT(ISNUMBER($E183))),"",MAX(0,MIN($E183,SOIL_REPORTING_DEPTH_CM)-MIN($D183,SOIL_REPORTING_DEPTH_CM)))</f>
        <v/>
      </c>
      <c r="R183" s="9">
        <f>IF(OR(NOT(ISNUMBER($O183)),NOT(ISNUMBER($N183)),NOT(ISNUMBER($Q183))),"",$O183*($N183/100)*$Q183*10)</f>
        <v/>
      </c>
      <c r="S183" s="11">
        <f>IF(AND($A183="",$B183="",$D183=""),"",IF(AND($A183&lt;&gt;"",COUNTIF('1. Plot &amp; Site Log'!$A$5:$A$64,$A183)=0),"Plot ID not in the Plot &amp; Site Log. ","")&amp;IF(AND(ISNUMBER($D183),ISNUMBER($E183),$E183&lt;=$D183),"Bottom depth is not below top depth. ","")&amp;IF($L183="Not confirmed","Bulk-density basis not confirmed with the lab — the coarse-fragment correction may be wrong or doubled. ","")&amp;IF(AND(ISNUMBER($M183),OR($M183&lt;QC_BD_MIN,$M183&gt;QC_BD_MAX)),"Bulk density outside the plausible range for a mineral grassland soil. ","")&amp;IF(AND(ISNUMBER($N183),$N183&gt;QC_CARBON_PCT_MAX),"Organic carbon above the QC ceiling — check units, and whether this is an organic horizon. ","")&amp;IF(AND(ISNUMBER($J183),$J183&lt;QC_RECOVERY_MIN),"Recovered less than the QC minimum of the depth driven — the increments may not sit where you think. Do NOT stretch them back out. ","")&amp;IF(AND(ISNUMBER($K183),$K183&gt;0,$L183="Fine earth / total volume"),"Coarse fragments recorded and the lab basis already accounts for them — no further correction applied, which is correct. ",""))</f>
        <v/>
      </c>
      <c r="T183" s="6" t="n"/>
      <c r="U183" s="9">
        <f>IF($B183="",0,IF(COUNTIFS($B$5:$B183,$B183)=1,1,0))</f>
        <v/>
      </c>
    </row>
    <row r="184">
      <c r="A184" s="6" t="n"/>
      <c r="B184" s="6" t="n"/>
      <c r="C184" s="6" t="n"/>
      <c r="D184" s="6" t="n"/>
      <c r="E184" s="6" t="n"/>
      <c r="F184" s="9">
        <f>IF(OR($D184="",$E184=""),"",$E184-$D184)</f>
        <v/>
      </c>
      <c r="G184" s="6" t="n"/>
      <c r="H184" s="6" t="n"/>
      <c r="I184" s="6" t="n"/>
      <c r="J184" s="9">
        <f>IF(OR(NOT(ISNUMBER($H184)),NOT(ISNUMBER($I184)),$H184=0),"",$I184/$H184)</f>
        <v/>
      </c>
      <c r="K184" s="6" t="n"/>
      <c r="L184" s="8" t="n"/>
      <c r="M184" s="7" t="n"/>
      <c r="N184" s="7" t="n"/>
      <c r="O184" s="9">
        <f>IF(NOT(ISNUMBER($M184)),"",IF($L184="Fine earth / fine-earth volume",$M184*(1-IF(ISNUMBER($K184),$K184,0)/100),$M184))</f>
        <v/>
      </c>
      <c r="P184" s="9">
        <f>IF(OR(NOT(ISNUMBER($O184)),NOT(ISNUMBER($N184)),NOT(ISNUMBER($F184))),"",$O184*($N184/100)*$F184*10)</f>
        <v/>
      </c>
      <c r="Q184" s="9">
        <f>IF(OR(NOT(ISNUMBER($D184)),NOT(ISNUMBER($E184))),"",MAX(0,MIN($E184,SOIL_REPORTING_DEPTH_CM)-MIN($D184,SOIL_REPORTING_DEPTH_CM)))</f>
        <v/>
      </c>
      <c r="R184" s="9">
        <f>IF(OR(NOT(ISNUMBER($O184)),NOT(ISNUMBER($N184)),NOT(ISNUMBER($Q184))),"",$O184*($N184/100)*$Q184*10)</f>
        <v/>
      </c>
      <c r="S184" s="11">
        <f>IF(AND($A184="",$B184="",$D184=""),"",IF(AND($A184&lt;&gt;"",COUNTIF('1. Plot &amp; Site Log'!$A$5:$A$64,$A184)=0),"Plot ID not in the Plot &amp; Site Log. ","")&amp;IF(AND(ISNUMBER($D184),ISNUMBER($E184),$E184&lt;=$D184),"Bottom depth is not below top depth. ","")&amp;IF($L184="Not confirmed","Bulk-density basis not confirmed with the lab — the coarse-fragment correction may be wrong or doubled. ","")&amp;IF(AND(ISNUMBER($M184),OR($M184&lt;QC_BD_MIN,$M184&gt;QC_BD_MAX)),"Bulk density outside the plausible range for a mineral grassland soil. ","")&amp;IF(AND(ISNUMBER($N184),$N184&gt;QC_CARBON_PCT_MAX),"Organic carbon above the QC ceiling — check units, and whether this is an organic horizon. ","")&amp;IF(AND(ISNUMBER($J184),$J184&lt;QC_RECOVERY_MIN),"Recovered less than the QC minimum of the depth driven — the increments may not sit where you think. Do NOT stretch them back out. ","")&amp;IF(AND(ISNUMBER($K184),$K184&gt;0,$L184="Fine earth / total volume"),"Coarse fragments recorded and the lab basis already accounts for them — no further correction applied, which is correct. ",""))</f>
        <v/>
      </c>
      <c r="T184" s="6" t="n"/>
      <c r="U184" s="9">
        <f>IF($B184="",0,IF(COUNTIFS($B$5:$B184,$B184)=1,1,0))</f>
        <v/>
      </c>
    </row>
    <row r="185">
      <c r="A185" s="6" t="n"/>
      <c r="B185" s="6" t="n"/>
      <c r="C185" s="6" t="n"/>
      <c r="D185" s="6" t="n"/>
      <c r="E185" s="6" t="n"/>
      <c r="F185" s="9">
        <f>IF(OR($D185="",$E185=""),"",$E185-$D185)</f>
        <v/>
      </c>
      <c r="G185" s="6" t="n"/>
      <c r="H185" s="6" t="n"/>
      <c r="I185" s="6" t="n"/>
      <c r="J185" s="9">
        <f>IF(OR(NOT(ISNUMBER($H185)),NOT(ISNUMBER($I185)),$H185=0),"",$I185/$H185)</f>
        <v/>
      </c>
      <c r="K185" s="6" t="n"/>
      <c r="L185" s="8" t="n"/>
      <c r="M185" s="7" t="n"/>
      <c r="N185" s="7" t="n"/>
      <c r="O185" s="9">
        <f>IF(NOT(ISNUMBER($M185)),"",IF($L185="Fine earth / fine-earth volume",$M185*(1-IF(ISNUMBER($K185),$K185,0)/100),$M185))</f>
        <v/>
      </c>
      <c r="P185" s="9">
        <f>IF(OR(NOT(ISNUMBER($O185)),NOT(ISNUMBER($N185)),NOT(ISNUMBER($F185))),"",$O185*($N185/100)*$F185*10)</f>
        <v/>
      </c>
      <c r="Q185" s="9">
        <f>IF(OR(NOT(ISNUMBER($D185)),NOT(ISNUMBER($E185))),"",MAX(0,MIN($E185,SOIL_REPORTING_DEPTH_CM)-MIN($D185,SOIL_REPORTING_DEPTH_CM)))</f>
        <v/>
      </c>
      <c r="R185" s="9">
        <f>IF(OR(NOT(ISNUMBER($O185)),NOT(ISNUMBER($N185)),NOT(ISNUMBER($Q185))),"",$O185*($N185/100)*$Q185*10)</f>
        <v/>
      </c>
      <c r="S185" s="11">
        <f>IF(AND($A185="",$B185="",$D185=""),"",IF(AND($A185&lt;&gt;"",COUNTIF('1. Plot &amp; Site Log'!$A$5:$A$64,$A185)=0),"Plot ID not in the Plot &amp; Site Log. ","")&amp;IF(AND(ISNUMBER($D185),ISNUMBER($E185),$E185&lt;=$D185),"Bottom depth is not below top depth. ","")&amp;IF($L185="Not confirmed","Bulk-density basis not confirmed with the lab — the coarse-fragment correction may be wrong or doubled. ","")&amp;IF(AND(ISNUMBER($M185),OR($M185&lt;QC_BD_MIN,$M185&gt;QC_BD_MAX)),"Bulk density outside the plausible range for a mineral grassland soil. ","")&amp;IF(AND(ISNUMBER($N185),$N185&gt;QC_CARBON_PCT_MAX),"Organic carbon above the QC ceiling — check units, and whether this is an organic horizon. ","")&amp;IF(AND(ISNUMBER($J185),$J185&lt;QC_RECOVERY_MIN),"Recovered less than the QC minimum of the depth driven — the increments may not sit where you think. Do NOT stretch them back out. ","")&amp;IF(AND(ISNUMBER($K185),$K185&gt;0,$L185="Fine earth / total volume"),"Coarse fragments recorded and the lab basis already accounts for them — no further correction applied, which is correct. ",""))</f>
        <v/>
      </c>
      <c r="T185" s="6" t="n"/>
      <c r="U185" s="9">
        <f>IF($B185="",0,IF(COUNTIFS($B$5:$B185,$B185)=1,1,0))</f>
        <v/>
      </c>
    </row>
    <row r="186">
      <c r="A186" s="6" t="n"/>
      <c r="B186" s="6" t="n"/>
      <c r="C186" s="6" t="n"/>
      <c r="D186" s="6" t="n"/>
      <c r="E186" s="6" t="n"/>
      <c r="F186" s="9">
        <f>IF(OR($D186="",$E186=""),"",$E186-$D186)</f>
        <v/>
      </c>
      <c r="G186" s="6" t="n"/>
      <c r="H186" s="6" t="n"/>
      <c r="I186" s="6" t="n"/>
      <c r="J186" s="9">
        <f>IF(OR(NOT(ISNUMBER($H186)),NOT(ISNUMBER($I186)),$H186=0),"",$I186/$H186)</f>
        <v/>
      </c>
      <c r="K186" s="6" t="n"/>
      <c r="L186" s="8" t="n"/>
      <c r="M186" s="7" t="n"/>
      <c r="N186" s="7" t="n"/>
      <c r="O186" s="9">
        <f>IF(NOT(ISNUMBER($M186)),"",IF($L186="Fine earth / fine-earth volume",$M186*(1-IF(ISNUMBER($K186),$K186,0)/100),$M186))</f>
        <v/>
      </c>
      <c r="P186" s="9">
        <f>IF(OR(NOT(ISNUMBER($O186)),NOT(ISNUMBER($N186)),NOT(ISNUMBER($F186))),"",$O186*($N186/100)*$F186*10)</f>
        <v/>
      </c>
      <c r="Q186" s="9">
        <f>IF(OR(NOT(ISNUMBER($D186)),NOT(ISNUMBER($E186))),"",MAX(0,MIN($E186,SOIL_REPORTING_DEPTH_CM)-MIN($D186,SOIL_REPORTING_DEPTH_CM)))</f>
        <v/>
      </c>
      <c r="R186" s="9">
        <f>IF(OR(NOT(ISNUMBER($O186)),NOT(ISNUMBER($N186)),NOT(ISNUMBER($Q186))),"",$O186*($N186/100)*$Q186*10)</f>
        <v/>
      </c>
      <c r="S186" s="11">
        <f>IF(AND($A186="",$B186="",$D186=""),"",IF(AND($A186&lt;&gt;"",COUNTIF('1. Plot &amp; Site Log'!$A$5:$A$64,$A186)=0),"Plot ID not in the Plot &amp; Site Log. ","")&amp;IF(AND(ISNUMBER($D186),ISNUMBER($E186),$E186&lt;=$D186),"Bottom depth is not below top depth. ","")&amp;IF($L186="Not confirmed","Bulk-density basis not confirmed with the lab — the coarse-fragment correction may be wrong or doubled. ","")&amp;IF(AND(ISNUMBER($M186),OR($M186&lt;QC_BD_MIN,$M186&gt;QC_BD_MAX)),"Bulk density outside the plausible range for a mineral grassland soil. ","")&amp;IF(AND(ISNUMBER($N186),$N186&gt;QC_CARBON_PCT_MAX),"Organic carbon above the QC ceiling — check units, and whether this is an organic horizon. ","")&amp;IF(AND(ISNUMBER($J186),$J186&lt;QC_RECOVERY_MIN),"Recovered less than the QC minimum of the depth driven — the increments may not sit where you think. Do NOT stretch them back out. ","")&amp;IF(AND(ISNUMBER($K186),$K186&gt;0,$L186="Fine earth / total volume"),"Coarse fragments recorded and the lab basis already accounts for them — no further correction applied, which is correct. ",""))</f>
        <v/>
      </c>
      <c r="T186" s="6" t="n"/>
      <c r="U186" s="9">
        <f>IF($B186="",0,IF(COUNTIFS($B$5:$B186,$B186)=1,1,0))</f>
        <v/>
      </c>
    </row>
    <row r="187">
      <c r="A187" s="6" t="n"/>
      <c r="B187" s="6" t="n"/>
      <c r="C187" s="6" t="n"/>
      <c r="D187" s="6" t="n"/>
      <c r="E187" s="6" t="n"/>
      <c r="F187" s="9">
        <f>IF(OR($D187="",$E187=""),"",$E187-$D187)</f>
        <v/>
      </c>
      <c r="G187" s="6" t="n"/>
      <c r="H187" s="6" t="n"/>
      <c r="I187" s="6" t="n"/>
      <c r="J187" s="9">
        <f>IF(OR(NOT(ISNUMBER($H187)),NOT(ISNUMBER($I187)),$H187=0),"",$I187/$H187)</f>
        <v/>
      </c>
      <c r="K187" s="6" t="n"/>
      <c r="L187" s="8" t="n"/>
      <c r="M187" s="7" t="n"/>
      <c r="N187" s="7" t="n"/>
      <c r="O187" s="9">
        <f>IF(NOT(ISNUMBER($M187)),"",IF($L187="Fine earth / fine-earth volume",$M187*(1-IF(ISNUMBER($K187),$K187,0)/100),$M187))</f>
        <v/>
      </c>
      <c r="P187" s="9">
        <f>IF(OR(NOT(ISNUMBER($O187)),NOT(ISNUMBER($N187)),NOT(ISNUMBER($F187))),"",$O187*($N187/100)*$F187*10)</f>
        <v/>
      </c>
      <c r="Q187" s="9">
        <f>IF(OR(NOT(ISNUMBER($D187)),NOT(ISNUMBER($E187))),"",MAX(0,MIN($E187,SOIL_REPORTING_DEPTH_CM)-MIN($D187,SOIL_REPORTING_DEPTH_CM)))</f>
        <v/>
      </c>
      <c r="R187" s="9">
        <f>IF(OR(NOT(ISNUMBER($O187)),NOT(ISNUMBER($N187)),NOT(ISNUMBER($Q187))),"",$O187*($N187/100)*$Q187*10)</f>
        <v/>
      </c>
      <c r="S187" s="11">
        <f>IF(AND($A187="",$B187="",$D187=""),"",IF(AND($A187&lt;&gt;"",COUNTIF('1. Plot &amp; Site Log'!$A$5:$A$64,$A187)=0),"Plot ID not in the Plot &amp; Site Log. ","")&amp;IF(AND(ISNUMBER($D187),ISNUMBER($E187),$E187&lt;=$D187),"Bottom depth is not below top depth. ","")&amp;IF($L187="Not confirmed","Bulk-density basis not confirmed with the lab — the coarse-fragment correction may be wrong or doubled. ","")&amp;IF(AND(ISNUMBER($M187),OR($M187&lt;QC_BD_MIN,$M187&gt;QC_BD_MAX)),"Bulk density outside the plausible range for a mineral grassland soil. ","")&amp;IF(AND(ISNUMBER($N187),$N187&gt;QC_CARBON_PCT_MAX),"Organic carbon above the QC ceiling — check units, and whether this is an organic horizon. ","")&amp;IF(AND(ISNUMBER($J187),$J187&lt;QC_RECOVERY_MIN),"Recovered less than the QC minimum of the depth driven — the increments may not sit where you think. Do NOT stretch them back out. ","")&amp;IF(AND(ISNUMBER($K187),$K187&gt;0,$L187="Fine earth / total volume"),"Coarse fragments recorded and the lab basis already accounts for them — no further correction applied, which is correct. ",""))</f>
        <v/>
      </c>
      <c r="T187" s="6" t="n"/>
      <c r="U187" s="9">
        <f>IF($B187="",0,IF(COUNTIFS($B$5:$B187,$B187)=1,1,0))</f>
        <v/>
      </c>
    </row>
    <row r="188">
      <c r="A188" s="6" t="n"/>
      <c r="B188" s="6" t="n"/>
      <c r="C188" s="6" t="n"/>
      <c r="D188" s="6" t="n"/>
      <c r="E188" s="6" t="n"/>
      <c r="F188" s="9">
        <f>IF(OR($D188="",$E188=""),"",$E188-$D188)</f>
        <v/>
      </c>
      <c r="G188" s="6" t="n"/>
      <c r="H188" s="6" t="n"/>
      <c r="I188" s="6" t="n"/>
      <c r="J188" s="9">
        <f>IF(OR(NOT(ISNUMBER($H188)),NOT(ISNUMBER($I188)),$H188=0),"",$I188/$H188)</f>
        <v/>
      </c>
      <c r="K188" s="6" t="n"/>
      <c r="L188" s="8" t="n"/>
      <c r="M188" s="7" t="n"/>
      <c r="N188" s="7" t="n"/>
      <c r="O188" s="9">
        <f>IF(NOT(ISNUMBER($M188)),"",IF($L188="Fine earth / fine-earth volume",$M188*(1-IF(ISNUMBER($K188),$K188,0)/100),$M188))</f>
        <v/>
      </c>
      <c r="P188" s="9">
        <f>IF(OR(NOT(ISNUMBER($O188)),NOT(ISNUMBER($N188)),NOT(ISNUMBER($F188))),"",$O188*($N188/100)*$F188*10)</f>
        <v/>
      </c>
      <c r="Q188" s="9">
        <f>IF(OR(NOT(ISNUMBER($D188)),NOT(ISNUMBER($E188))),"",MAX(0,MIN($E188,SOIL_REPORTING_DEPTH_CM)-MIN($D188,SOIL_REPORTING_DEPTH_CM)))</f>
        <v/>
      </c>
      <c r="R188" s="9">
        <f>IF(OR(NOT(ISNUMBER($O188)),NOT(ISNUMBER($N188)),NOT(ISNUMBER($Q188))),"",$O188*($N188/100)*$Q188*10)</f>
        <v/>
      </c>
      <c r="S188" s="11">
        <f>IF(AND($A188="",$B188="",$D188=""),"",IF(AND($A188&lt;&gt;"",COUNTIF('1. Plot &amp; Site Log'!$A$5:$A$64,$A188)=0),"Plot ID not in the Plot &amp; Site Log. ","")&amp;IF(AND(ISNUMBER($D188),ISNUMBER($E188),$E188&lt;=$D188),"Bottom depth is not below top depth. ","")&amp;IF($L188="Not confirmed","Bulk-density basis not confirmed with the lab — the coarse-fragment correction may be wrong or doubled. ","")&amp;IF(AND(ISNUMBER($M188),OR($M188&lt;QC_BD_MIN,$M188&gt;QC_BD_MAX)),"Bulk density outside the plausible range for a mineral grassland soil. ","")&amp;IF(AND(ISNUMBER($N188),$N188&gt;QC_CARBON_PCT_MAX),"Organic carbon above the QC ceiling — check units, and whether this is an organic horizon. ","")&amp;IF(AND(ISNUMBER($J188),$J188&lt;QC_RECOVERY_MIN),"Recovered less than the QC minimum of the depth driven — the increments may not sit where you think. Do NOT stretch them back out. ","")&amp;IF(AND(ISNUMBER($K188),$K188&gt;0,$L188="Fine earth / total volume"),"Coarse fragments recorded and the lab basis already accounts for them — no further correction applied, which is correct. ",""))</f>
        <v/>
      </c>
      <c r="T188" s="6" t="n"/>
      <c r="U188" s="9">
        <f>IF($B188="",0,IF(COUNTIFS($B$5:$B188,$B188)=1,1,0))</f>
        <v/>
      </c>
    </row>
    <row r="189">
      <c r="A189" s="6" t="n"/>
      <c r="B189" s="6" t="n"/>
      <c r="C189" s="6" t="n"/>
      <c r="D189" s="6" t="n"/>
      <c r="E189" s="6" t="n"/>
      <c r="F189" s="9">
        <f>IF(OR($D189="",$E189=""),"",$E189-$D189)</f>
        <v/>
      </c>
      <c r="G189" s="6" t="n"/>
      <c r="H189" s="6" t="n"/>
      <c r="I189" s="6" t="n"/>
      <c r="J189" s="9">
        <f>IF(OR(NOT(ISNUMBER($H189)),NOT(ISNUMBER($I189)),$H189=0),"",$I189/$H189)</f>
        <v/>
      </c>
      <c r="K189" s="6" t="n"/>
      <c r="L189" s="8" t="n"/>
      <c r="M189" s="7" t="n"/>
      <c r="N189" s="7" t="n"/>
      <c r="O189" s="9">
        <f>IF(NOT(ISNUMBER($M189)),"",IF($L189="Fine earth / fine-earth volume",$M189*(1-IF(ISNUMBER($K189),$K189,0)/100),$M189))</f>
        <v/>
      </c>
      <c r="P189" s="9">
        <f>IF(OR(NOT(ISNUMBER($O189)),NOT(ISNUMBER($N189)),NOT(ISNUMBER($F189))),"",$O189*($N189/100)*$F189*10)</f>
        <v/>
      </c>
      <c r="Q189" s="9">
        <f>IF(OR(NOT(ISNUMBER($D189)),NOT(ISNUMBER($E189))),"",MAX(0,MIN($E189,SOIL_REPORTING_DEPTH_CM)-MIN($D189,SOIL_REPORTING_DEPTH_CM)))</f>
        <v/>
      </c>
      <c r="R189" s="9">
        <f>IF(OR(NOT(ISNUMBER($O189)),NOT(ISNUMBER($N189)),NOT(ISNUMBER($Q189))),"",$O189*($N189/100)*$Q189*10)</f>
        <v/>
      </c>
      <c r="S189" s="11">
        <f>IF(AND($A189="",$B189="",$D189=""),"",IF(AND($A189&lt;&gt;"",COUNTIF('1. Plot &amp; Site Log'!$A$5:$A$64,$A189)=0),"Plot ID not in the Plot &amp; Site Log. ","")&amp;IF(AND(ISNUMBER($D189),ISNUMBER($E189),$E189&lt;=$D189),"Bottom depth is not below top depth. ","")&amp;IF($L189="Not confirmed","Bulk-density basis not confirmed with the lab — the coarse-fragment correction may be wrong or doubled. ","")&amp;IF(AND(ISNUMBER($M189),OR($M189&lt;QC_BD_MIN,$M189&gt;QC_BD_MAX)),"Bulk density outside the plausible range for a mineral grassland soil. ","")&amp;IF(AND(ISNUMBER($N189),$N189&gt;QC_CARBON_PCT_MAX),"Organic carbon above the QC ceiling — check units, and whether this is an organic horizon. ","")&amp;IF(AND(ISNUMBER($J189),$J189&lt;QC_RECOVERY_MIN),"Recovered less than the QC minimum of the depth driven — the increments may not sit where you think. Do NOT stretch them back out. ","")&amp;IF(AND(ISNUMBER($K189),$K189&gt;0,$L189="Fine earth / total volume"),"Coarse fragments recorded and the lab basis already accounts for them — no further correction applied, which is correct. ",""))</f>
        <v/>
      </c>
      <c r="T189" s="6" t="n"/>
      <c r="U189" s="9">
        <f>IF($B189="",0,IF(COUNTIFS($B$5:$B189,$B189)=1,1,0))</f>
        <v/>
      </c>
    </row>
    <row r="190">
      <c r="A190" s="6" t="n"/>
      <c r="B190" s="6" t="n"/>
      <c r="C190" s="6" t="n"/>
      <c r="D190" s="6" t="n"/>
      <c r="E190" s="6" t="n"/>
      <c r="F190" s="9">
        <f>IF(OR($D190="",$E190=""),"",$E190-$D190)</f>
        <v/>
      </c>
      <c r="G190" s="6" t="n"/>
      <c r="H190" s="6" t="n"/>
      <c r="I190" s="6" t="n"/>
      <c r="J190" s="9">
        <f>IF(OR(NOT(ISNUMBER($H190)),NOT(ISNUMBER($I190)),$H190=0),"",$I190/$H190)</f>
        <v/>
      </c>
      <c r="K190" s="6" t="n"/>
      <c r="L190" s="8" t="n"/>
      <c r="M190" s="7" t="n"/>
      <c r="N190" s="7" t="n"/>
      <c r="O190" s="9">
        <f>IF(NOT(ISNUMBER($M190)),"",IF($L190="Fine earth / fine-earth volume",$M190*(1-IF(ISNUMBER($K190),$K190,0)/100),$M190))</f>
        <v/>
      </c>
      <c r="P190" s="9">
        <f>IF(OR(NOT(ISNUMBER($O190)),NOT(ISNUMBER($N190)),NOT(ISNUMBER($F190))),"",$O190*($N190/100)*$F190*10)</f>
        <v/>
      </c>
      <c r="Q190" s="9">
        <f>IF(OR(NOT(ISNUMBER($D190)),NOT(ISNUMBER($E190))),"",MAX(0,MIN($E190,SOIL_REPORTING_DEPTH_CM)-MIN($D190,SOIL_REPORTING_DEPTH_CM)))</f>
        <v/>
      </c>
      <c r="R190" s="9">
        <f>IF(OR(NOT(ISNUMBER($O190)),NOT(ISNUMBER($N190)),NOT(ISNUMBER($Q190))),"",$O190*($N190/100)*$Q190*10)</f>
        <v/>
      </c>
      <c r="S190" s="11">
        <f>IF(AND($A190="",$B190="",$D190=""),"",IF(AND($A190&lt;&gt;"",COUNTIF('1. Plot &amp; Site Log'!$A$5:$A$64,$A190)=0),"Plot ID not in the Plot &amp; Site Log. ","")&amp;IF(AND(ISNUMBER($D190),ISNUMBER($E190),$E190&lt;=$D190),"Bottom depth is not below top depth. ","")&amp;IF($L190="Not confirmed","Bulk-density basis not confirmed with the lab — the coarse-fragment correction may be wrong or doubled. ","")&amp;IF(AND(ISNUMBER($M190),OR($M190&lt;QC_BD_MIN,$M190&gt;QC_BD_MAX)),"Bulk density outside the plausible range for a mineral grassland soil. ","")&amp;IF(AND(ISNUMBER($N190),$N190&gt;QC_CARBON_PCT_MAX),"Organic carbon above the QC ceiling — check units, and whether this is an organic horizon. ","")&amp;IF(AND(ISNUMBER($J190),$J190&lt;QC_RECOVERY_MIN),"Recovered less than the QC minimum of the depth driven — the increments may not sit where you think. Do NOT stretch them back out. ","")&amp;IF(AND(ISNUMBER($K190),$K190&gt;0,$L190="Fine earth / total volume"),"Coarse fragments recorded and the lab basis already accounts for them — no further correction applied, which is correct. ",""))</f>
        <v/>
      </c>
      <c r="T190" s="6" t="n"/>
      <c r="U190" s="9">
        <f>IF($B190="",0,IF(COUNTIFS($B$5:$B190,$B190)=1,1,0))</f>
        <v/>
      </c>
    </row>
    <row r="191">
      <c r="A191" s="6" t="n"/>
      <c r="B191" s="6" t="n"/>
      <c r="C191" s="6" t="n"/>
      <c r="D191" s="6" t="n"/>
      <c r="E191" s="6" t="n"/>
      <c r="F191" s="9">
        <f>IF(OR($D191="",$E191=""),"",$E191-$D191)</f>
        <v/>
      </c>
      <c r="G191" s="6" t="n"/>
      <c r="H191" s="6" t="n"/>
      <c r="I191" s="6" t="n"/>
      <c r="J191" s="9">
        <f>IF(OR(NOT(ISNUMBER($H191)),NOT(ISNUMBER($I191)),$H191=0),"",$I191/$H191)</f>
        <v/>
      </c>
      <c r="K191" s="6" t="n"/>
      <c r="L191" s="8" t="n"/>
      <c r="M191" s="7" t="n"/>
      <c r="N191" s="7" t="n"/>
      <c r="O191" s="9">
        <f>IF(NOT(ISNUMBER($M191)),"",IF($L191="Fine earth / fine-earth volume",$M191*(1-IF(ISNUMBER($K191),$K191,0)/100),$M191))</f>
        <v/>
      </c>
      <c r="P191" s="9">
        <f>IF(OR(NOT(ISNUMBER($O191)),NOT(ISNUMBER($N191)),NOT(ISNUMBER($F191))),"",$O191*($N191/100)*$F191*10)</f>
        <v/>
      </c>
      <c r="Q191" s="9">
        <f>IF(OR(NOT(ISNUMBER($D191)),NOT(ISNUMBER($E191))),"",MAX(0,MIN($E191,SOIL_REPORTING_DEPTH_CM)-MIN($D191,SOIL_REPORTING_DEPTH_CM)))</f>
        <v/>
      </c>
      <c r="R191" s="9">
        <f>IF(OR(NOT(ISNUMBER($O191)),NOT(ISNUMBER($N191)),NOT(ISNUMBER($Q191))),"",$O191*($N191/100)*$Q191*10)</f>
        <v/>
      </c>
      <c r="S191" s="11">
        <f>IF(AND($A191="",$B191="",$D191=""),"",IF(AND($A191&lt;&gt;"",COUNTIF('1. Plot &amp; Site Log'!$A$5:$A$64,$A191)=0),"Plot ID not in the Plot &amp; Site Log. ","")&amp;IF(AND(ISNUMBER($D191),ISNUMBER($E191),$E191&lt;=$D191),"Bottom depth is not below top depth. ","")&amp;IF($L191="Not confirmed","Bulk-density basis not confirmed with the lab — the coarse-fragment correction may be wrong or doubled. ","")&amp;IF(AND(ISNUMBER($M191),OR($M191&lt;QC_BD_MIN,$M191&gt;QC_BD_MAX)),"Bulk density outside the plausible range for a mineral grassland soil. ","")&amp;IF(AND(ISNUMBER($N191),$N191&gt;QC_CARBON_PCT_MAX),"Organic carbon above the QC ceiling — check units, and whether this is an organic horizon. ","")&amp;IF(AND(ISNUMBER($J191),$J191&lt;QC_RECOVERY_MIN),"Recovered less than the QC minimum of the depth driven — the increments may not sit where you think. Do NOT stretch them back out. ","")&amp;IF(AND(ISNUMBER($K191),$K191&gt;0,$L191="Fine earth / total volume"),"Coarse fragments recorded and the lab basis already accounts for them — no further correction applied, which is correct. ",""))</f>
        <v/>
      </c>
      <c r="T191" s="6" t="n"/>
      <c r="U191" s="9">
        <f>IF($B191="",0,IF(COUNTIFS($B$5:$B191,$B191)=1,1,0))</f>
        <v/>
      </c>
    </row>
    <row r="192">
      <c r="A192" s="6" t="n"/>
      <c r="B192" s="6" t="n"/>
      <c r="C192" s="6" t="n"/>
      <c r="D192" s="6" t="n"/>
      <c r="E192" s="6" t="n"/>
      <c r="F192" s="9">
        <f>IF(OR($D192="",$E192=""),"",$E192-$D192)</f>
        <v/>
      </c>
      <c r="G192" s="6" t="n"/>
      <c r="H192" s="6" t="n"/>
      <c r="I192" s="6" t="n"/>
      <c r="J192" s="9">
        <f>IF(OR(NOT(ISNUMBER($H192)),NOT(ISNUMBER($I192)),$H192=0),"",$I192/$H192)</f>
        <v/>
      </c>
      <c r="K192" s="6" t="n"/>
      <c r="L192" s="8" t="n"/>
      <c r="M192" s="7" t="n"/>
      <c r="N192" s="7" t="n"/>
      <c r="O192" s="9">
        <f>IF(NOT(ISNUMBER($M192)),"",IF($L192="Fine earth / fine-earth volume",$M192*(1-IF(ISNUMBER($K192),$K192,0)/100),$M192))</f>
        <v/>
      </c>
      <c r="P192" s="9">
        <f>IF(OR(NOT(ISNUMBER($O192)),NOT(ISNUMBER($N192)),NOT(ISNUMBER($F192))),"",$O192*($N192/100)*$F192*10)</f>
        <v/>
      </c>
      <c r="Q192" s="9">
        <f>IF(OR(NOT(ISNUMBER($D192)),NOT(ISNUMBER($E192))),"",MAX(0,MIN($E192,SOIL_REPORTING_DEPTH_CM)-MIN($D192,SOIL_REPORTING_DEPTH_CM)))</f>
        <v/>
      </c>
      <c r="R192" s="9">
        <f>IF(OR(NOT(ISNUMBER($O192)),NOT(ISNUMBER($N192)),NOT(ISNUMBER($Q192))),"",$O192*($N192/100)*$Q192*10)</f>
        <v/>
      </c>
      <c r="S192" s="11">
        <f>IF(AND($A192="",$B192="",$D192=""),"",IF(AND($A192&lt;&gt;"",COUNTIF('1. Plot &amp; Site Log'!$A$5:$A$64,$A192)=0),"Plot ID not in the Plot &amp; Site Log. ","")&amp;IF(AND(ISNUMBER($D192),ISNUMBER($E192),$E192&lt;=$D192),"Bottom depth is not below top depth. ","")&amp;IF($L192="Not confirmed","Bulk-density basis not confirmed with the lab — the coarse-fragment correction may be wrong or doubled. ","")&amp;IF(AND(ISNUMBER($M192),OR($M192&lt;QC_BD_MIN,$M192&gt;QC_BD_MAX)),"Bulk density outside the plausible range for a mineral grassland soil. ","")&amp;IF(AND(ISNUMBER($N192),$N192&gt;QC_CARBON_PCT_MAX),"Organic carbon above the QC ceiling — check units, and whether this is an organic horizon. ","")&amp;IF(AND(ISNUMBER($J192),$J192&lt;QC_RECOVERY_MIN),"Recovered less than the QC minimum of the depth driven — the increments may not sit where you think. Do NOT stretch them back out. ","")&amp;IF(AND(ISNUMBER($K192),$K192&gt;0,$L192="Fine earth / total volume"),"Coarse fragments recorded and the lab basis already accounts for them — no further correction applied, which is correct. ",""))</f>
        <v/>
      </c>
      <c r="T192" s="6" t="n"/>
      <c r="U192" s="9">
        <f>IF($B192="",0,IF(COUNTIFS($B$5:$B192,$B192)=1,1,0))</f>
        <v/>
      </c>
    </row>
    <row r="193">
      <c r="A193" s="6" t="n"/>
      <c r="B193" s="6" t="n"/>
      <c r="C193" s="6" t="n"/>
      <c r="D193" s="6" t="n"/>
      <c r="E193" s="6" t="n"/>
      <c r="F193" s="9">
        <f>IF(OR($D193="",$E193=""),"",$E193-$D193)</f>
        <v/>
      </c>
      <c r="G193" s="6" t="n"/>
      <c r="H193" s="6" t="n"/>
      <c r="I193" s="6" t="n"/>
      <c r="J193" s="9">
        <f>IF(OR(NOT(ISNUMBER($H193)),NOT(ISNUMBER($I193)),$H193=0),"",$I193/$H193)</f>
        <v/>
      </c>
      <c r="K193" s="6" t="n"/>
      <c r="L193" s="8" t="n"/>
      <c r="M193" s="7" t="n"/>
      <c r="N193" s="7" t="n"/>
      <c r="O193" s="9">
        <f>IF(NOT(ISNUMBER($M193)),"",IF($L193="Fine earth / fine-earth volume",$M193*(1-IF(ISNUMBER($K193),$K193,0)/100),$M193))</f>
        <v/>
      </c>
      <c r="P193" s="9">
        <f>IF(OR(NOT(ISNUMBER($O193)),NOT(ISNUMBER($N193)),NOT(ISNUMBER($F193))),"",$O193*($N193/100)*$F193*10)</f>
        <v/>
      </c>
      <c r="Q193" s="9">
        <f>IF(OR(NOT(ISNUMBER($D193)),NOT(ISNUMBER($E193))),"",MAX(0,MIN($E193,SOIL_REPORTING_DEPTH_CM)-MIN($D193,SOIL_REPORTING_DEPTH_CM)))</f>
        <v/>
      </c>
      <c r="R193" s="9">
        <f>IF(OR(NOT(ISNUMBER($O193)),NOT(ISNUMBER($N193)),NOT(ISNUMBER($Q193))),"",$O193*($N193/100)*$Q193*10)</f>
        <v/>
      </c>
      <c r="S193" s="11">
        <f>IF(AND($A193="",$B193="",$D193=""),"",IF(AND($A193&lt;&gt;"",COUNTIF('1. Plot &amp; Site Log'!$A$5:$A$64,$A193)=0),"Plot ID not in the Plot &amp; Site Log. ","")&amp;IF(AND(ISNUMBER($D193),ISNUMBER($E193),$E193&lt;=$D193),"Bottom depth is not below top depth. ","")&amp;IF($L193="Not confirmed","Bulk-density basis not confirmed with the lab — the coarse-fragment correction may be wrong or doubled. ","")&amp;IF(AND(ISNUMBER($M193),OR($M193&lt;QC_BD_MIN,$M193&gt;QC_BD_MAX)),"Bulk density outside the plausible range for a mineral grassland soil. ","")&amp;IF(AND(ISNUMBER($N193),$N193&gt;QC_CARBON_PCT_MAX),"Organic carbon above the QC ceiling — check units, and whether this is an organic horizon. ","")&amp;IF(AND(ISNUMBER($J193),$J193&lt;QC_RECOVERY_MIN),"Recovered less than the QC minimum of the depth driven — the increments may not sit where you think. Do NOT stretch them back out. ","")&amp;IF(AND(ISNUMBER($K193),$K193&gt;0,$L193="Fine earth / total volume"),"Coarse fragments recorded and the lab basis already accounts for them — no further correction applied, which is correct. ",""))</f>
        <v/>
      </c>
      <c r="T193" s="6" t="n"/>
      <c r="U193" s="9">
        <f>IF($B193="",0,IF(COUNTIFS($B$5:$B193,$B193)=1,1,0))</f>
        <v/>
      </c>
    </row>
    <row r="194">
      <c r="A194" s="6" t="n"/>
      <c r="B194" s="6" t="n"/>
      <c r="C194" s="6" t="n"/>
      <c r="D194" s="6" t="n"/>
      <c r="E194" s="6" t="n"/>
      <c r="F194" s="9">
        <f>IF(OR($D194="",$E194=""),"",$E194-$D194)</f>
        <v/>
      </c>
      <c r="G194" s="6" t="n"/>
      <c r="H194" s="6" t="n"/>
      <c r="I194" s="6" t="n"/>
      <c r="J194" s="9">
        <f>IF(OR(NOT(ISNUMBER($H194)),NOT(ISNUMBER($I194)),$H194=0),"",$I194/$H194)</f>
        <v/>
      </c>
      <c r="K194" s="6" t="n"/>
      <c r="L194" s="8" t="n"/>
      <c r="M194" s="7" t="n"/>
      <c r="N194" s="7" t="n"/>
      <c r="O194" s="9">
        <f>IF(NOT(ISNUMBER($M194)),"",IF($L194="Fine earth / fine-earth volume",$M194*(1-IF(ISNUMBER($K194),$K194,0)/100),$M194))</f>
        <v/>
      </c>
      <c r="P194" s="9">
        <f>IF(OR(NOT(ISNUMBER($O194)),NOT(ISNUMBER($N194)),NOT(ISNUMBER($F194))),"",$O194*($N194/100)*$F194*10)</f>
        <v/>
      </c>
      <c r="Q194" s="9">
        <f>IF(OR(NOT(ISNUMBER($D194)),NOT(ISNUMBER($E194))),"",MAX(0,MIN($E194,SOIL_REPORTING_DEPTH_CM)-MIN($D194,SOIL_REPORTING_DEPTH_CM)))</f>
        <v/>
      </c>
      <c r="R194" s="9">
        <f>IF(OR(NOT(ISNUMBER($O194)),NOT(ISNUMBER($N194)),NOT(ISNUMBER($Q194))),"",$O194*($N194/100)*$Q194*10)</f>
        <v/>
      </c>
      <c r="S194" s="11">
        <f>IF(AND($A194="",$B194="",$D194=""),"",IF(AND($A194&lt;&gt;"",COUNTIF('1. Plot &amp; Site Log'!$A$5:$A$64,$A194)=0),"Plot ID not in the Plot &amp; Site Log. ","")&amp;IF(AND(ISNUMBER($D194),ISNUMBER($E194),$E194&lt;=$D194),"Bottom depth is not below top depth. ","")&amp;IF($L194="Not confirmed","Bulk-density basis not confirmed with the lab — the coarse-fragment correction may be wrong or doubled. ","")&amp;IF(AND(ISNUMBER($M194),OR($M194&lt;QC_BD_MIN,$M194&gt;QC_BD_MAX)),"Bulk density outside the plausible range for a mineral grassland soil. ","")&amp;IF(AND(ISNUMBER($N194),$N194&gt;QC_CARBON_PCT_MAX),"Organic carbon above the QC ceiling — check units, and whether this is an organic horizon. ","")&amp;IF(AND(ISNUMBER($J194),$J194&lt;QC_RECOVERY_MIN),"Recovered less than the QC minimum of the depth driven — the increments may not sit where you think. Do NOT stretch them back out. ","")&amp;IF(AND(ISNUMBER($K194),$K194&gt;0,$L194="Fine earth / total volume"),"Coarse fragments recorded and the lab basis already accounts for them — no further correction applied, which is correct. ",""))</f>
        <v/>
      </c>
      <c r="T194" s="6" t="n"/>
      <c r="U194" s="9">
        <f>IF($B194="",0,IF(COUNTIFS($B$5:$B194,$B194)=1,1,0))</f>
        <v/>
      </c>
    </row>
    <row r="195">
      <c r="A195" s="6" t="n"/>
      <c r="B195" s="6" t="n"/>
      <c r="C195" s="6" t="n"/>
      <c r="D195" s="6" t="n"/>
      <c r="E195" s="6" t="n"/>
      <c r="F195" s="9">
        <f>IF(OR($D195="",$E195=""),"",$E195-$D195)</f>
        <v/>
      </c>
      <c r="G195" s="6" t="n"/>
      <c r="H195" s="6" t="n"/>
      <c r="I195" s="6" t="n"/>
      <c r="J195" s="9">
        <f>IF(OR(NOT(ISNUMBER($H195)),NOT(ISNUMBER($I195)),$H195=0),"",$I195/$H195)</f>
        <v/>
      </c>
      <c r="K195" s="6" t="n"/>
      <c r="L195" s="8" t="n"/>
      <c r="M195" s="7" t="n"/>
      <c r="N195" s="7" t="n"/>
      <c r="O195" s="9">
        <f>IF(NOT(ISNUMBER($M195)),"",IF($L195="Fine earth / fine-earth volume",$M195*(1-IF(ISNUMBER($K195),$K195,0)/100),$M195))</f>
        <v/>
      </c>
      <c r="P195" s="9">
        <f>IF(OR(NOT(ISNUMBER($O195)),NOT(ISNUMBER($N195)),NOT(ISNUMBER($F195))),"",$O195*($N195/100)*$F195*10)</f>
        <v/>
      </c>
      <c r="Q195" s="9">
        <f>IF(OR(NOT(ISNUMBER($D195)),NOT(ISNUMBER($E195))),"",MAX(0,MIN($E195,SOIL_REPORTING_DEPTH_CM)-MIN($D195,SOIL_REPORTING_DEPTH_CM)))</f>
        <v/>
      </c>
      <c r="R195" s="9">
        <f>IF(OR(NOT(ISNUMBER($O195)),NOT(ISNUMBER($N195)),NOT(ISNUMBER($Q195))),"",$O195*($N195/100)*$Q195*10)</f>
        <v/>
      </c>
      <c r="S195" s="11">
        <f>IF(AND($A195="",$B195="",$D195=""),"",IF(AND($A195&lt;&gt;"",COUNTIF('1. Plot &amp; Site Log'!$A$5:$A$64,$A195)=0),"Plot ID not in the Plot &amp; Site Log. ","")&amp;IF(AND(ISNUMBER($D195),ISNUMBER($E195),$E195&lt;=$D195),"Bottom depth is not below top depth. ","")&amp;IF($L195="Not confirmed","Bulk-density basis not confirmed with the lab — the coarse-fragment correction may be wrong or doubled. ","")&amp;IF(AND(ISNUMBER($M195),OR($M195&lt;QC_BD_MIN,$M195&gt;QC_BD_MAX)),"Bulk density outside the plausible range for a mineral grassland soil. ","")&amp;IF(AND(ISNUMBER($N195),$N195&gt;QC_CARBON_PCT_MAX),"Organic carbon above the QC ceiling — check units, and whether this is an organic horizon. ","")&amp;IF(AND(ISNUMBER($J195),$J195&lt;QC_RECOVERY_MIN),"Recovered less than the QC minimum of the depth driven — the increments may not sit where you think. Do NOT stretch them back out. ","")&amp;IF(AND(ISNUMBER($K195),$K195&gt;0,$L195="Fine earth / total volume"),"Coarse fragments recorded and the lab basis already accounts for them — no further correction applied, which is correct. ",""))</f>
        <v/>
      </c>
      <c r="T195" s="6" t="n"/>
      <c r="U195" s="9">
        <f>IF($B195="",0,IF(COUNTIFS($B$5:$B195,$B195)=1,1,0))</f>
        <v/>
      </c>
    </row>
    <row r="196">
      <c r="A196" s="6" t="n"/>
      <c r="B196" s="6" t="n"/>
      <c r="C196" s="6" t="n"/>
      <c r="D196" s="6" t="n"/>
      <c r="E196" s="6" t="n"/>
      <c r="F196" s="9">
        <f>IF(OR($D196="",$E196=""),"",$E196-$D196)</f>
        <v/>
      </c>
      <c r="G196" s="6" t="n"/>
      <c r="H196" s="6" t="n"/>
      <c r="I196" s="6" t="n"/>
      <c r="J196" s="9">
        <f>IF(OR(NOT(ISNUMBER($H196)),NOT(ISNUMBER($I196)),$H196=0),"",$I196/$H196)</f>
        <v/>
      </c>
      <c r="K196" s="6" t="n"/>
      <c r="L196" s="8" t="n"/>
      <c r="M196" s="7" t="n"/>
      <c r="N196" s="7" t="n"/>
      <c r="O196" s="9">
        <f>IF(NOT(ISNUMBER($M196)),"",IF($L196="Fine earth / fine-earth volume",$M196*(1-IF(ISNUMBER($K196),$K196,0)/100),$M196))</f>
        <v/>
      </c>
      <c r="P196" s="9">
        <f>IF(OR(NOT(ISNUMBER($O196)),NOT(ISNUMBER($N196)),NOT(ISNUMBER($F196))),"",$O196*($N196/100)*$F196*10)</f>
        <v/>
      </c>
      <c r="Q196" s="9">
        <f>IF(OR(NOT(ISNUMBER($D196)),NOT(ISNUMBER($E196))),"",MAX(0,MIN($E196,SOIL_REPORTING_DEPTH_CM)-MIN($D196,SOIL_REPORTING_DEPTH_CM)))</f>
        <v/>
      </c>
      <c r="R196" s="9">
        <f>IF(OR(NOT(ISNUMBER($O196)),NOT(ISNUMBER($N196)),NOT(ISNUMBER($Q196))),"",$O196*($N196/100)*$Q196*10)</f>
        <v/>
      </c>
      <c r="S196" s="11">
        <f>IF(AND($A196="",$B196="",$D196=""),"",IF(AND($A196&lt;&gt;"",COUNTIF('1. Plot &amp; Site Log'!$A$5:$A$64,$A196)=0),"Plot ID not in the Plot &amp; Site Log. ","")&amp;IF(AND(ISNUMBER($D196),ISNUMBER($E196),$E196&lt;=$D196),"Bottom depth is not below top depth. ","")&amp;IF($L196="Not confirmed","Bulk-density basis not confirmed with the lab — the coarse-fragment correction may be wrong or doubled. ","")&amp;IF(AND(ISNUMBER($M196),OR($M196&lt;QC_BD_MIN,$M196&gt;QC_BD_MAX)),"Bulk density outside the plausible range for a mineral grassland soil. ","")&amp;IF(AND(ISNUMBER($N196),$N196&gt;QC_CARBON_PCT_MAX),"Organic carbon above the QC ceiling — check units, and whether this is an organic horizon. ","")&amp;IF(AND(ISNUMBER($J196),$J196&lt;QC_RECOVERY_MIN),"Recovered less than the QC minimum of the depth driven — the increments may not sit where you think. Do NOT stretch them back out. ","")&amp;IF(AND(ISNUMBER($K196),$K196&gt;0,$L196="Fine earth / total volume"),"Coarse fragments recorded and the lab basis already accounts for them — no further correction applied, which is correct. ",""))</f>
        <v/>
      </c>
      <c r="T196" s="6" t="n"/>
      <c r="U196" s="9">
        <f>IF($B196="",0,IF(COUNTIFS($B$5:$B196,$B196)=1,1,0))</f>
        <v/>
      </c>
    </row>
    <row r="197">
      <c r="A197" s="6" t="n"/>
      <c r="B197" s="6" t="n"/>
      <c r="C197" s="6" t="n"/>
      <c r="D197" s="6" t="n"/>
      <c r="E197" s="6" t="n"/>
      <c r="F197" s="9">
        <f>IF(OR($D197="",$E197=""),"",$E197-$D197)</f>
        <v/>
      </c>
      <c r="G197" s="6" t="n"/>
      <c r="H197" s="6" t="n"/>
      <c r="I197" s="6" t="n"/>
      <c r="J197" s="9">
        <f>IF(OR(NOT(ISNUMBER($H197)),NOT(ISNUMBER($I197)),$H197=0),"",$I197/$H197)</f>
        <v/>
      </c>
      <c r="K197" s="6" t="n"/>
      <c r="L197" s="8" t="n"/>
      <c r="M197" s="7" t="n"/>
      <c r="N197" s="7" t="n"/>
      <c r="O197" s="9">
        <f>IF(NOT(ISNUMBER($M197)),"",IF($L197="Fine earth / fine-earth volume",$M197*(1-IF(ISNUMBER($K197),$K197,0)/100),$M197))</f>
        <v/>
      </c>
      <c r="P197" s="9">
        <f>IF(OR(NOT(ISNUMBER($O197)),NOT(ISNUMBER($N197)),NOT(ISNUMBER($F197))),"",$O197*($N197/100)*$F197*10)</f>
        <v/>
      </c>
      <c r="Q197" s="9">
        <f>IF(OR(NOT(ISNUMBER($D197)),NOT(ISNUMBER($E197))),"",MAX(0,MIN($E197,SOIL_REPORTING_DEPTH_CM)-MIN($D197,SOIL_REPORTING_DEPTH_CM)))</f>
        <v/>
      </c>
      <c r="R197" s="9">
        <f>IF(OR(NOT(ISNUMBER($O197)),NOT(ISNUMBER($N197)),NOT(ISNUMBER($Q197))),"",$O197*($N197/100)*$Q197*10)</f>
        <v/>
      </c>
      <c r="S197" s="11">
        <f>IF(AND($A197="",$B197="",$D197=""),"",IF(AND($A197&lt;&gt;"",COUNTIF('1. Plot &amp; Site Log'!$A$5:$A$64,$A197)=0),"Plot ID not in the Plot &amp; Site Log. ","")&amp;IF(AND(ISNUMBER($D197),ISNUMBER($E197),$E197&lt;=$D197),"Bottom depth is not below top depth. ","")&amp;IF($L197="Not confirmed","Bulk-density basis not confirmed with the lab — the coarse-fragment correction may be wrong or doubled. ","")&amp;IF(AND(ISNUMBER($M197),OR($M197&lt;QC_BD_MIN,$M197&gt;QC_BD_MAX)),"Bulk density outside the plausible range for a mineral grassland soil. ","")&amp;IF(AND(ISNUMBER($N197),$N197&gt;QC_CARBON_PCT_MAX),"Organic carbon above the QC ceiling — check units, and whether this is an organic horizon. ","")&amp;IF(AND(ISNUMBER($J197),$J197&lt;QC_RECOVERY_MIN),"Recovered less than the QC minimum of the depth driven — the increments may not sit where you think. Do NOT stretch them back out. ","")&amp;IF(AND(ISNUMBER($K197),$K197&gt;0,$L197="Fine earth / total volume"),"Coarse fragments recorded and the lab basis already accounts for them — no further correction applied, which is correct. ",""))</f>
        <v/>
      </c>
      <c r="T197" s="6" t="n"/>
      <c r="U197" s="9">
        <f>IF($B197="",0,IF(COUNTIFS($B$5:$B197,$B197)=1,1,0))</f>
        <v/>
      </c>
    </row>
    <row r="198">
      <c r="A198" s="6" t="n"/>
      <c r="B198" s="6" t="n"/>
      <c r="C198" s="6" t="n"/>
      <c r="D198" s="6" t="n"/>
      <c r="E198" s="6" t="n"/>
      <c r="F198" s="9">
        <f>IF(OR($D198="",$E198=""),"",$E198-$D198)</f>
        <v/>
      </c>
      <c r="G198" s="6" t="n"/>
      <c r="H198" s="6" t="n"/>
      <c r="I198" s="6" t="n"/>
      <c r="J198" s="9">
        <f>IF(OR(NOT(ISNUMBER($H198)),NOT(ISNUMBER($I198)),$H198=0),"",$I198/$H198)</f>
        <v/>
      </c>
      <c r="K198" s="6" t="n"/>
      <c r="L198" s="8" t="n"/>
      <c r="M198" s="7" t="n"/>
      <c r="N198" s="7" t="n"/>
      <c r="O198" s="9">
        <f>IF(NOT(ISNUMBER($M198)),"",IF($L198="Fine earth / fine-earth volume",$M198*(1-IF(ISNUMBER($K198),$K198,0)/100),$M198))</f>
        <v/>
      </c>
      <c r="P198" s="9">
        <f>IF(OR(NOT(ISNUMBER($O198)),NOT(ISNUMBER($N198)),NOT(ISNUMBER($F198))),"",$O198*($N198/100)*$F198*10)</f>
        <v/>
      </c>
      <c r="Q198" s="9">
        <f>IF(OR(NOT(ISNUMBER($D198)),NOT(ISNUMBER($E198))),"",MAX(0,MIN($E198,SOIL_REPORTING_DEPTH_CM)-MIN($D198,SOIL_REPORTING_DEPTH_CM)))</f>
        <v/>
      </c>
      <c r="R198" s="9">
        <f>IF(OR(NOT(ISNUMBER($O198)),NOT(ISNUMBER($N198)),NOT(ISNUMBER($Q198))),"",$O198*($N198/100)*$Q198*10)</f>
        <v/>
      </c>
      <c r="S198" s="11">
        <f>IF(AND($A198="",$B198="",$D198=""),"",IF(AND($A198&lt;&gt;"",COUNTIF('1. Plot &amp; Site Log'!$A$5:$A$64,$A198)=0),"Plot ID not in the Plot &amp; Site Log. ","")&amp;IF(AND(ISNUMBER($D198),ISNUMBER($E198),$E198&lt;=$D198),"Bottom depth is not below top depth. ","")&amp;IF($L198="Not confirmed","Bulk-density basis not confirmed with the lab — the coarse-fragment correction may be wrong or doubled. ","")&amp;IF(AND(ISNUMBER($M198),OR($M198&lt;QC_BD_MIN,$M198&gt;QC_BD_MAX)),"Bulk density outside the plausible range for a mineral grassland soil. ","")&amp;IF(AND(ISNUMBER($N198),$N198&gt;QC_CARBON_PCT_MAX),"Organic carbon above the QC ceiling — check units, and whether this is an organic horizon. ","")&amp;IF(AND(ISNUMBER($J198),$J198&lt;QC_RECOVERY_MIN),"Recovered less than the QC minimum of the depth driven — the increments may not sit where you think. Do NOT stretch them back out. ","")&amp;IF(AND(ISNUMBER($K198),$K198&gt;0,$L198="Fine earth / total volume"),"Coarse fragments recorded and the lab basis already accounts for them — no further correction applied, which is correct. ",""))</f>
        <v/>
      </c>
      <c r="T198" s="6" t="n"/>
      <c r="U198" s="9">
        <f>IF($B198="",0,IF(COUNTIFS($B$5:$B198,$B198)=1,1,0))</f>
        <v/>
      </c>
    </row>
    <row r="199">
      <c r="A199" s="6" t="n"/>
      <c r="B199" s="6" t="n"/>
      <c r="C199" s="6" t="n"/>
      <c r="D199" s="6" t="n"/>
      <c r="E199" s="6" t="n"/>
      <c r="F199" s="9">
        <f>IF(OR($D199="",$E199=""),"",$E199-$D199)</f>
        <v/>
      </c>
      <c r="G199" s="6" t="n"/>
      <c r="H199" s="6" t="n"/>
      <c r="I199" s="6" t="n"/>
      <c r="J199" s="9">
        <f>IF(OR(NOT(ISNUMBER($H199)),NOT(ISNUMBER($I199)),$H199=0),"",$I199/$H199)</f>
        <v/>
      </c>
      <c r="K199" s="6" t="n"/>
      <c r="L199" s="8" t="n"/>
      <c r="M199" s="7" t="n"/>
      <c r="N199" s="7" t="n"/>
      <c r="O199" s="9">
        <f>IF(NOT(ISNUMBER($M199)),"",IF($L199="Fine earth / fine-earth volume",$M199*(1-IF(ISNUMBER($K199),$K199,0)/100),$M199))</f>
        <v/>
      </c>
      <c r="P199" s="9">
        <f>IF(OR(NOT(ISNUMBER($O199)),NOT(ISNUMBER($N199)),NOT(ISNUMBER($F199))),"",$O199*($N199/100)*$F199*10)</f>
        <v/>
      </c>
      <c r="Q199" s="9">
        <f>IF(OR(NOT(ISNUMBER($D199)),NOT(ISNUMBER($E199))),"",MAX(0,MIN($E199,SOIL_REPORTING_DEPTH_CM)-MIN($D199,SOIL_REPORTING_DEPTH_CM)))</f>
        <v/>
      </c>
      <c r="R199" s="9">
        <f>IF(OR(NOT(ISNUMBER($O199)),NOT(ISNUMBER($N199)),NOT(ISNUMBER($Q199))),"",$O199*($N199/100)*$Q199*10)</f>
        <v/>
      </c>
      <c r="S199" s="11">
        <f>IF(AND($A199="",$B199="",$D199=""),"",IF(AND($A199&lt;&gt;"",COUNTIF('1. Plot &amp; Site Log'!$A$5:$A$64,$A199)=0),"Plot ID not in the Plot &amp; Site Log. ","")&amp;IF(AND(ISNUMBER($D199),ISNUMBER($E199),$E199&lt;=$D199),"Bottom depth is not below top depth. ","")&amp;IF($L199="Not confirmed","Bulk-density basis not confirmed with the lab — the coarse-fragment correction may be wrong or doubled. ","")&amp;IF(AND(ISNUMBER($M199),OR($M199&lt;QC_BD_MIN,$M199&gt;QC_BD_MAX)),"Bulk density outside the plausible range for a mineral grassland soil. ","")&amp;IF(AND(ISNUMBER($N199),$N199&gt;QC_CARBON_PCT_MAX),"Organic carbon above the QC ceiling — check units, and whether this is an organic horizon. ","")&amp;IF(AND(ISNUMBER($J199),$J199&lt;QC_RECOVERY_MIN),"Recovered less than the QC minimum of the depth driven — the increments may not sit where you think. Do NOT stretch them back out. ","")&amp;IF(AND(ISNUMBER($K199),$K199&gt;0,$L199="Fine earth / total volume"),"Coarse fragments recorded and the lab basis already accounts for them — no further correction applied, which is correct. ",""))</f>
        <v/>
      </c>
      <c r="T199" s="6" t="n"/>
      <c r="U199" s="9">
        <f>IF($B199="",0,IF(COUNTIFS($B$5:$B199,$B199)=1,1,0))</f>
        <v/>
      </c>
    </row>
    <row r="200">
      <c r="A200" s="6" t="n"/>
      <c r="B200" s="6" t="n"/>
      <c r="C200" s="6" t="n"/>
      <c r="D200" s="6" t="n"/>
      <c r="E200" s="6" t="n"/>
      <c r="F200" s="9">
        <f>IF(OR($D200="",$E200=""),"",$E200-$D200)</f>
        <v/>
      </c>
      <c r="G200" s="6" t="n"/>
      <c r="H200" s="6" t="n"/>
      <c r="I200" s="6" t="n"/>
      <c r="J200" s="9">
        <f>IF(OR(NOT(ISNUMBER($H200)),NOT(ISNUMBER($I200)),$H200=0),"",$I200/$H200)</f>
        <v/>
      </c>
      <c r="K200" s="6" t="n"/>
      <c r="L200" s="8" t="n"/>
      <c r="M200" s="7" t="n"/>
      <c r="N200" s="7" t="n"/>
      <c r="O200" s="9">
        <f>IF(NOT(ISNUMBER($M200)),"",IF($L200="Fine earth / fine-earth volume",$M200*(1-IF(ISNUMBER($K200),$K200,0)/100),$M200))</f>
        <v/>
      </c>
      <c r="P200" s="9">
        <f>IF(OR(NOT(ISNUMBER($O200)),NOT(ISNUMBER($N200)),NOT(ISNUMBER($F200))),"",$O200*($N200/100)*$F200*10)</f>
        <v/>
      </c>
      <c r="Q200" s="9">
        <f>IF(OR(NOT(ISNUMBER($D200)),NOT(ISNUMBER($E200))),"",MAX(0,MIN($E200,SOIL_REPORTING_DEPTH_CM)-MIN($D200,SOIL_REPORTING_DEPTH_CM)))</f>
        <v/>
      </c>
      <c r="R200" s="9">
        <f>IF(OR(NOT(ISNUMBER($O200)),NOT(ISNUMBER($N200)),NOT(ISNUMBER($Q200))),"",$O200*($N200/100)*$Q200*10)</f>
        <v/>
      </c>
      <c r="S200" s="11">
        <f>IF(AND($A200="",$B200="",$D200=""),"",IF(AND($A200&lt;&gt;"",COUNTIF('1. Plot &amp; Site Log'!$A$5:$A$64,$A200)=0),"Plot ID not in the Plot &amp; Site Log. ","")&amp;IF(AND(ISNUMBER($D200),ISNUMBER($E200),$E200&lt;=$D200),"Bottom depth is not below top depth. ","")&amp;IF($L200="Not confirmed","Bulk-density basis not confirmed with the lab — the coarse-fragment correction may be wrong or doubled. ","")&amp;IF(AND(ISNUMBER($M200),OR($M200&lt;QC_BD_MIN,$M200&gt;QC_BD_MAX)),"Bulk density outside the plausible range for a mineral grassland soil. ","")&amp;IF(AND(ISNUMBER($N200),$N200&gt;QC_CARBON_PCT_MAX),"Organic carbon above the QC ceiling — check units, and whether this is an organic horizon. ","")&amp;IF(AND(ISNUMBER($J200),$J200&lt;QC_RECOVERY_MIN),"Recovered less than the QC minimum of the depth driven — the increments may not sit where you think. Do NOT stretch them back out. ","")&amp;IF(AND(ISNUMBER($K200),$K200&gt;0,$L200="Fine earth / total volume"),"Coarse fragments recorded and the lab basis already accounts for them — no further correction applied, which is correct. ",""))</f>
        <v/>
      </c>
      <c r="T200" s="6" t="n"/>
      <c r="U200" s="9">
        <f>IF($B200="",0,IF(COUNTIFS($B$5:$B200,$B200)=1,1,0))</f>
        <v/>
      </c>
    </row>
    <row r="201">
      <c r="A201" s="6" t="n"/>
      <c r="B201" s="6" t="n"/>
      <c r="C201" s="6" t="n"/>
      <c r="D201" s="6" t="n"/>
      <c r="E201" s="6" t="n"/>
      <c r="F201" s="9">
        <f>IF(OR($D201="",$E201=""),"",$E201-$D201)</f>
        <v/>
      </c>
      <c r="G201" s="6" t="n"/>
      <c r="H201" s="6" t="n"/>
      <c r="I201" s="6" t="n"/>
      <c r="J201" s="9">
        <f>IF(OR(NOT(ISNUMBER($H201)),NOT(ISNUMBER($I201)),$H201=0),"",$I201/$H201)</f>
        <v/>
      </c>
      <c r="K201" s="6" t="n"/>
      <c r="L201" s="8" t="n"/>
      <c r="M201" s="7" t="n"/>
      <c r="N201" s="7" t="n"/>
      <c r="O201" s="9">
        <f>IF(NOT(ISNUMBER($M201)),"",IF($L201="Fine earth / fine-earth volume",$M201*(1-IF(ISNUMBER($K201),$K201,0)/100),$M201))</f>
        <v/>
      </c>
      <c r="P201" s="9">
        <f>IF(OR(NOT(ISNUMBER($O201)),NOT(ISNUMBER($N201)),NOT(ISNUMBER($F201))),"",$O201*($N201/100)*$F201*10)</f>
        <v/>
      </c>
      <c r="Q201" s="9">
        <f>IF(OR(NOT(ISNUMBER($D201)),NOT(ISNUMBER($E201))),"",MAX(0,MIN($E201,SOIL_REPORTING_DEPTH_CM)-MIN($D201,SOIL_REPORTING_DEPTH_CM)))</f>
        <v/>
      </c>
      <c r="R201" s="9">
        <f>IF(OR(NOT(ISNUMBER($O201)),NOT(ISNUMBER($N201)),NOT(ISNUMBER($Q201))),"",$O201*($N201/100)*$Q201*10)</f>
        <v/>
      </c>
      <c r="S201" s="11">
        <f>IF(AND($A201="",$B201="",$D201=""),"",IF(AND($A201&lt;&gt;"",COUNTIF('1. Plot &amp; Site Log'!$A$5:$A$64,$A201)=0),"Plot ID not in the Plot &amp; Site Log. ","")&amp;IF(AND(ISNUMBER($D201),ISNUMBER($E201),$E201&lt;=$D201),"Bottom depth is not below top depth. ","")&amp;IF($L201="Not confirmed","Bulk-density basis not confirmed with the lab — the coarse-fragment correction may be wrong or doubled. ","")&amp;IF(AND(ISNUMBER($M201),OR($M201&lt;QC_BD_MIN,$M201&gt;QC_BD_MAX)),"Bulk density outside the plausible range for a mineral grassland soil. ","")&amp;IF(AND(ISNUMBER($N201),$N201&gt;QC_CARBON_PCT_MAX),"Organic carbon above the QC ceiling — check units, and whether this is an organic horizon. ","")&amp;IF(AND(ISNUMBER($J201),$J201&lt;QC_RECOVERY_MIN),"Recovered less than the QC minimum of the depth driven — the increments may not sit where you think. Do NOT stretch them back out. ","")&amp;IF(AND(ISNUMBER($K201),$K201&gt;0,$L201="Fine earth / total volume"),"Coarse fragments recorded and the lab basis already accounts for them — no further correction applied, which is correct. ",""))</f>
        <v/>
      </c>
      <c r="T201" s="6" t="n"/>
      <c r="U201" s="9">
        <f>IF($B201="",0,IF(COUNTIFS($B$5:$B201,$B201)=1,1,0))</f>
        <v/>
      </c>
    </row>
    <row r="202">
      <c r="A202" s="6" t="n"/>
      <c r="B202" s="6" t="n"/>
      <c r="C202" s="6" t="n"/>
      <c r="D202" s="6" t="n"/>
      <c r="E202" s="6" t="n"/>
      <c r="F202" s="9">
        <f>IF(OR($D202="",$E202=""),"",$E202-$D202)</f>
        <v/>
      </c>
      <c r="G202" s="6" t="n"/>
      <c r="H202" s="6" t="n"/>
      <c r="I202" s="6" t="n"/>
      <c r="J202" s="9">
        <f>IF(OR(NOT(ISNUMBER($H202)),NOT(ISNUMBER($I202)),$H202=0),"",$I202/$H202)</f>
        <v/>
      </c>
      <c r="K202" s="6" t="n"/>
      <c r="L202" s="8" t="n"/>
      <c r="M202" s="7" t="n"/>
      <c r="N202" s="7" t="n"/>
      <c r="O202" s="9">
        <f>IF(NOT(ISNUMBER($M202)),"",IF($L202="Fine earth / fine-earth volume",$M202*(1-IF(ISNUMBER($K202),$K202,0)/100),$M202))</f>
        <v/>
      </c>
      <c r="P202" s="9">
        <f>IF(OR(NOT(ISNUMBER($O202)),NOT(ISNUMBER($N202)),NOT(ISNUMBER($F202))),"",$O202*($N202/100)*$F202*10)</f>
        <v/>
      </c>
      <c r="Q202" s="9">
        <f>IF(OR(NOT(ISNUMBER($D202)),NOT(ISNUMBER($E202))),"",MAX(0,MIN($E202,SOIL_REPORTING_DEPTH_CM)-MIN($D202,SOIL_REPORTING_DEPTH_CM)))</f>
        <v/>
      </c>
      <c r="R202" s="9">
        <f>IF(OR(NOT(ISNUMBER($O202)),NOT(ISNUMBER($N202)),NOT(ISNUMBER($Q202))),"",$O202*($N202/100)*$Q202*10)</f>
        <v/>
      </c>
      <c r="S202" s="11">
        <f>IF(AND($A202="",$B202="",$D202=""),"",IF(AND($A202&lt;&gt;"",COUNTIF('1. Plot &amp; Site Log'!$A$5:$A$64,$A202)=0),"Plot ID not in the Plot &amp; Site Log. ","")&amp;IF(AND(ISNUMBER($D202),ISNUMBER($E202),$E202&lt;=$D202),"Bottom depth is not below top depth. ","")&amp;IF($L202="Not confirmed","Bulk-density basis not confirmed with the lab — the coarse-fragment correction may be wrong or doubled. ","")&amp;IF(AND(ISNUMBER($M202),OR($M202&lt;QC_BD_MIN,$M202&gt;QC_BD_MAX)),"Bulk density outside the plausible range for a mineral grassland soil. ","")&amp;IF(AND(ISNUMBER($N202),$N202&gt;QC_CARBON_PCT_MAX),"Organic carbon above the QC ceiling — check units, and whether this is an organic horizon. ","")&amp;IF(AND(ISNUMBER($J202),$J202&lt;QC_RECOVERY_MIN),"Recovered less than the QC minimum of the depth driven — the increments may not sit where you think. Do NOT stretch them back out. ","")&amp;IF(AND(ISNUMBER($K202),$K202&gt;0,$L202="Fine earth / total volume"),"Coarse fragments recorded and the lab basis already accounts for them — no further correction applied, which is correct. ",""))</f>
        <v/>
      </c>
      <c r="T202" s="6" t="n"/>
      <c r="U202" s="9">
        <f>IF($B202="",0,IF(COUNTIFS($B$5:$B202,$B202)=1,1,0))</f>
        <v/>
      </c>
    </row>
    <row r="203">
      <c r="A203" s="6" t="n"/>
      <c r="B203" s="6" t="n"/>
      <c r="C203" s="6" t="n"/>
      <c r="D203" s="6" t="n"/>
      <c r="E203" s="6" t="n"/>
      <c r="F203" s="9">
        <f>IF(OR($D203="",$E203=""),"",$E203-$D203)</f>
        <v/>
      </c>
      <c r="G203" s="6" t="n"/>
      <c r="H203" s="6" t="n"/>
      <c r="I203" s="6" t="n"/>
      <c r="J203" s="9">
        <f>IF(OR(NOT(ISNUMBER($H203)),NOT(ISNUMBER($I203)),$H203=0),"",$I203/$H203)</f>
        <v/>
      </c>
      <c r="K203" s="6" t="n"/>
      <c r="L203" s="8" t="n"/>
      <c r="M203" s="7" t="n"/>
      <c r="N203" s="7" t="n"/>
      <c r="O203" s="9">
        <f>IF(NOT(ISNUMBER($M203)),"",IF($L203="Fine earth / fine-earth volume",$M203*(1-IF(ISNUMBER($K203),$K203,0)/100),$M203))</f>
        <v/>
      </c>
      <c r="P203" s="9">
        <f>IF(OR(NOT(ISNUMBER($O203)),NOT(ISNUMBER($N203)),NOT(ISNUMBER($F203))),"",$O203*($N203/100)*$F203*10)</f>
        <v/>
      </c>
      <c r="Q203" s="9">
        <f>IF(OR(NOT(ISNUMBER($D203)),NOT(ISNUMBER($E203))),"",MAX(0,MIN($E203,SOIL_REPORTING_DEPTH_CM)-MIN($D203,SOIL_REPORTING_DEPTH_CM)))</f>
        <v/>
      </c>
      <c r="R203" s="9">
        <f>IF(OR(NOT(ISNUMBER($O203)),NOT(ISNUMBER($N203)),NOT(ISNUMBER($Q203))),"",$O203*($N203/100)*$Q203*10)</f>
        <v/>
      </c>
      <c r="S203" s="11">
        <f>IF(AND($A203="",$B203="",$D203=""),"",IF(AND($A203&lt;&gt;"",COUNTIF('1. Plot &amp; Site Log'!$A$5:$A$64,$A203)=0),"Plot ID not in the Plot &amp; Site Log. ","")&amp;IF(AND(ISNUMBER($D203),ISNUMBER($E203),$E203&lt;=$D203),"Bottom depth is not below top depth. ","")&amp;IF($L203="Not confirmed","Bulk-density basis not confirmed with the lab — the coarse-fragment correction may be wrong or doubled. ","")&amp;IF(AND(ISNUMBER($M203),OR($M203&lt;QC_BD_MIN,$M203&gt;QC_BD_MAX)),"Bulk density outside the plausible range for a mineral grassland soil. ","")&amp;IF(AND(ISNUMBER($N203),$N203&gt;QC_CARBON_PCT_MAX),"Organic carbon above the QC ceiling — check units, and whether this is an organic horizon. ","")&amp;IF(AND(ISNUMBER($J203),$J203&lt;QC_RECOVERY_MIN),"Recovered less than the QC minimum of the depth driven — the increments may not sit where you think. Do NOT stretch them back out. ","")&amp;IF(AND(ISNUMBER($K203),$K203&gt;0,$L203="Fine earth / total volume"),"Coarse fragments recorded and the lab basis already accounts for them — no further correction applied, which is correct. ",""))</f>
        <v/>
      </c>
      <c r="T203" s="6" t="n"/>
      <c r="U203" s="9">
        <f>IF($B203="",0,IF(COUNTIFS($B$5:$B203,$B203)=1,1,0))</f>
        <v/>
      </c>
    </row>
    <row r="204">
      <c r="A204" s="6" t="n"/>
      <c r="B204" s="6" t="n"/>
      <c r="C204" s="6" t="n"/>
      <c r="D204" s="6" t="n"/>
      <c r="E204" s="6" t="n"/>
      <c r="F204" s="9">
        <f>IF(OR($D204="",$E204=""),"",$E204-$D204)</f>
        <v/>
      </c>
      <c r="G204" s="6" t="n"/>
      <c r="H204" s="6" t="n"/>
      <c r="I204" s="6" t="n"/>
      <c r="J204" s="9">
        <f>IF(OR(NOT(ISNUMBER($H204)),NOT(ISNUMBER($I204)),$H204=0),"",$I204/$H204)</f>
        <v/>
      </c>
      <c r="K204" s="6" t="n"/>
      <c r="L204" s="8" t="n"/>
      <c r="M204" s="7" t="n"/>
      <c r="N204" s="7" t="n"/>
      <c r="O204" s="9">
        <f>IF(NOT(ISNUMBER($M204)),"",IF($L204="Fine earth / fine-earth volume",$M204*(1-IF(ISNUMBER($K204),$K204,0)/100),$M204))</f>
        <v/>
      </c>
      <c r="P204" s="9">
        <f>IF(OR(NOT(ISNUMBER($O204)),NOT(ISNUMBER($N204)),NOT(ISNUMBER($F204))),"",$O204*($N204/100)*$F204*10)</f>
        <v/>
      </c>
      <c r="Q204" s="9">
        <f>IF(OR(NOT(ISNUMBER($D204)),NOT(ISNUMBER($E204))),"",MAX(0,MIN($E204,SOIL_REPORTING_DEPTH_CM)-MIN($D204,SOIL_REPORTING_DEPTH_CM)))</f>
        <v/>
      </c>
      <c r="R204" s="9">
        <f>IF(OR(NOT(ISNUMBER($O204)),NOT(ISNUMBER($N204)),NOT(ISNUMBER($Q204))),"",$O204*($N204/100)*$Q204*10)</f>
        <v/>
      </c>
      <c r="S204" s="11">
        <f>IF(AND($A204="",$B204="",$D204=""),"",IF(AND($A204&lt;&gt;"",COUNTIF('1. Plot &amp; Site Log'!$A$5:$A$64,$A204)=0),"Plot ID not in the Plot &amp; Site Log. ","")&amp;IF(AND(ISNUMBER($D204),ISNUMBER($E204),$E204&lt;=$D204),"Bottom depth is not below top depth. ","")&amp;IF($L204="Not confirmed","Bulk-density basis not confirmed with the lab — the coarse-fragment correction may be wrong or doubled. ","")&amp;IF(AND(ISNUMBER($M204),OR($M204&lt;QC_BD_MIN,$M204&gt;QC_BD_MAX)),"Bulk density outside the plausible range for a mineral grassland soil. ","")&amp;IF(AND(ISNUMBER($N204),$N204&gt;QC_CARBON_PCT_MAX),"Organic carbon above the QC ceiling — check units, and whether this is an organic horizon. ","")&amp;IF(AND(ISNUMBER($J204),$J204&lt;QC_RECOVERY_MIN),"Recovered less than the QC minimum of the depth driven — the increments may not sit where you think. Do NOT stretch them back out. ","")&amp;IF(AND(ISNUMBER($K204),$K204&gt;0,$L204="Fine earth / total volume"),"Coarse fragments recorded and the lab basis already accounts for them — no further correction applied, which is correct. ",""))</f>
        <v/>
      </c>
      <c r="T204" s="6" t="n"/>
      <c r="U204" s="9">
        <f>IF($B204="",0,IF(COUNTIFS($B$5:$B204,$B204)=1,1,0))</f>
        <v/>
      </c>
    </row>
    <row r="205">
      <c r="A205" s="6" t="n"/>
      <c r="B205" s="6" t="n"/>
      <c r="C205" s="6" t="n"/>
      <c r="D205" s="6" t="n"/>
      <c r="E205" s="6" t="n"/>
      <c r="F205" s="9">
        <f>IF(OR($D205="",$E205=""),"",$E205-$D205)</f>
        <v/>
      </c>
      <c r="G205" s="6" t="n"/>
      <c r="H205" s="6" t="n"/>
      <c r="I205" s="6" t="n"/>
      <c r="J205" s="9">
        <f>IF(OR(NOT(ISNUMBER($H205)),NOT(ISNUMBER($I205)),$H205=0),"",$I205/$H205)</f>
        <v/>
      </c>
      <c r="K205" s="6" t="n"/>
      <c r="L205" s="8" t="n"/>
      <c r="M205" s="7" t="n"/>
      <c r="N205" s="7" t="n"/>
      <c r="O205" s="9">
        <f>IF(NOT(ISNUMBER($M205)),"",IF($L205="Fine earth / fine-earth volume",$M205*(1-IF(ISNUMBER($K205),$K205,0)/100),$M205))</f>
        <v/>
      </c>
      <c r="P205" s="9">
        <f>IF(OR(NOT(ISNUMBER($O205)),NOT(ISNUMBER($N205)),NOT(ISNUMBER($F205))),"",$O205*($N205/100)*$F205*10)</f>
        <v/>
      </c>
      <c r="Q205" s="9">
        <f>IF(OR(NOT(ISNUMBER($D205)),NOT(ISNUMBER($E205))),"",MAX(0,MIN($E205,SOIL_REPORTING_DEPTH_CM)-MIN($D205,SOIL_REPORTING_DEPTH_CM)))</f>
        <v/>
      </c>
      <c r="R205" s="9">
        <f>IF(OR(NOT(ISNUMBER($O205)),NOT(ISNUMBER($N205)),NOT(ISNUMBER($Q205))),"",$O205*($N205/100)*$Q205*10)</f>
        <v/>
      </c>
      <c r="S205" s="11">
        <f>IF(AND($A205="",$B205="",$D205=""),"",IF(AND($A205&lt;&gt;"",COUNTIF('1. Plot &amp; Site Log'!$A$5:$A$64,$A205)=0),"Plot ID not in the Plot &amp; Site Log. ","")&amp;IF(AND(ISNUMBER($D205),ISNUMBER($E205),$E205&lt;=$D205),"Bottom depth is not below top depth. ","")&amp;IF($L205="Not confirmed","Bulk-density basis not confirmed with the lab — the coarse-fragment correction may be wrong or doubled. ","")&amp;IF(AND(ISNUMBER($M205),OR($M205&lt;QC_BD_MIN,$M205&gt;QC_BD_MAX)),"Bulk density outside the plausible range for a mineral grassland soil. ","")&amp;IF(AND(ISNUMBER($N205),$N205&gt;QC_CARBON_PCT_MAX),"Organic carbon above the QC ceiling — check units, and whether this is an organic horizon. ","")&amp;IF(AND(ISNUMBER($J205),$J205&lt;QC_RECOVERY_MIN),"Recovered less than the QC minimum of the depth driven — the increments may not sit where you think. Do NOT stretch them back out. ","")&amp;IF(AND(ISNUMBER($K205),$K205&gt;0,$L205="Fine earth / total volume"),"Coarse fragments recorded and the lab basis already accounts for them — no further correction applied, which is correct. ",""))</f>
        <v/>
      </c>
      <c r="T205" s="6" t="n"/>
      <c r="U205" s="9">
        <f>IF($B205="",0,IF(COUNTIFS($B$5:$B205,$B205)=1,1,0))</f>
        <v/>
      </c>
    </row>
    <row r="206">
      <c r="A206" s="6" t="n"/>
      <c r="B206" s="6" t="n"/>
      <c r="C206" s="6" t="n"/>
      <c r="D206" s="6" t="n"/>
      <c r="E206" s="6" t="n"/>
      <c r="F206" s="9">
        <f>IF(OR($D206="",$E206=""),"",$E206-$D206)</f>
        <v/>
      </c>
      <c r="G206" s="6" t="n"/>
      <c r="H206" s="6" t="n"/>
      <c r="I206" s="6" t="n"/>
      <c r="J206" s="9">
        <f>IF(OR(NOT(ISNUMBER($H206)),NOT(ISNUMBER($I206)),$H206=0),"",$I206/$H206)</f>
        <v/>
      </c>
      <c r="K206" s="6" t="n"/>
      <c r="L206" s="8" t="n"/>
      <c r="M206" s="7" t="n"/>
      <c r="N206" s="7" t="n"/>
      <c r="O206" s="9">
        <f>IF(NOT(ISNUMBER($M206)),"",IF($L206="Fine earth / fine-earth volume",$M206*(1-IF(ISNUMBER($K206),$K206,0)/100),$M206))</f>
        <v/>
      </c>
      <c r="P206" s="9">
        <f>IF(OR(NOT(ISNUMBER($O206)),NOT(ISNUMBER($N206)),NOT(ISNUMBER($F206))),"",$O206*($N206/100)*$F206*10)</f>
        <v/>
      </c>
      <c r="Q206" s="9">
        <f>IF(OR(NOT(ISNUMBER($D206)),NOT(ISNUMBER($E206))),"",MAX(0,MIN($E206,SOIL_REPORTING_DEPTH_CM)-MIN($D206,SOIL_REPORTING_DEPTH_CM)))</f>
        <v/>
      </c>
      <c r="R206" s="9">
        <f>IF(OR(NOT(ISNUMBER($O206)),NOT(ISNUMBER($N206)),NOT(ISNUMBER($Q206))),"",$O206*($N206/100)*$Q206*10)</f>
        <v/>
      </c>
      <c r="S206" s="11">
        <f>IF(AND($A206="",$B206="",$D206=""),"",IF(AND($A206&lt;&gt;"",COUNTIF('1. Plot &amp; Site Log'!$A$5:$A$64,$A206)=0),"Plot ID not in the Plot &amp; Site Log. ","")&amp;IF(AND(ISNUMBER($D206),ISNUMBER($E206),$E206&lt;=$D206),"Bottom depth is not below top depth. ","")&amp;IF($L206="Not confirmed","Bulk-density basis not confirmed with the lab — the coarse-fragment correction may be wrong or doubled. ","")&amp;IF(AND(ISNUMBER($M206),OR($M206&lt;QC_BD_MIN,$M206&gt;QC_BD_MAX)),"Bulk density outside the plausible range for a mineral grassland soil. ","")&amp;IF(AND(ISNUMBER($N206),$N206&gt;QC_CARBON_PCT_MAX),"Organic carbon above the QC ceiling — check units, and whether this is an organic horizon. ","")&amp;IF(AND(ISNUMBER($J206),$J206&lt;QC_RECOVERY_MIN),"Recovered less than the QC minimum of the depth driven — the increments may not sit where you think. Do NOT stretch them back out. ","")&amp;IF(AND(ISNUMBER($K206),$K206&gt;0,$L206="Fine earth / total volume"),"Coarse fragments recorded and the lab basis already accounts for them — no further correction applied, which is correct. ",""))</f>
        <v/>
      </c>
      <c r="T206" s="6" t="n"/>
      <c r="U206" s="9">
        <f>IF($B206="",0,IF(COUNTIFS($B$5:$B206,$B206)=1,1,0))</f>
        <v/>
      </c>
    </row>
    <row r="207">
      <c r="A207" s="6" t="n"/>
      <c r="B207" s="6" t="n"/>
      <c r="C207" s="6" t="n"/>
      <c r="D207" s="6" t="n"/>
      <c r="E207" s="6" t="n"/>
      <c r="F207" s="9">
        <f>IF(OR($D207="",$E207=""),"",$E207-$D207)</f>
        <v/>
      </c>
      <c r="G207" s="6" t="n"/>
      <c r="H207" s="6" t="n"/>
      <c r="I207" s="6" t="n"/>
      <c r="J207" s="9">
        <f>IF(OR(NOT(ISNUMBER($H207)),NOT(ISNUMBER($I207)),$H207=0),"",$I207/$H207)</f>
        <v/>
      </c>
      <c r="K207" s="6" t="n"/>
      <c r="L207" s="8" t="n"/>
      <c r="M207" s="7" t="n"/>
      <c r="N207" s="7" t="n"/>
      <c r="O207" s="9">
        <f>IF(NOT(ISNUMBER($M207)),"",IF($L207="Fine earth / fine-earth volume",$M207*(1-IF(ISNUMBER($K207),$K207,0)/100),$M207))</f>
        <v/>
      </c>
      <c r="P207" s="9">
        <f>IF(OR(NOT(ISNUMBER($O207)),NOT(ISNUMBER($N207)),NOT(ISNUMBER($F207))),"",$O207*($N207/100)*$F207*10)</f>
        <v/>
      </c>
      <c r="Q207" s="9">
        <f>IF(OR(NOT(ISNUMBER($D207)),NOT(ISNUMBER($E207))),"",MAX(0,MIN($E207,SOIL_REPORTING_DEPTH_CM)-MIN($D207,SOIL_REPORTING_DEPTH_CM)))</f>
        <v/>
      </c>
      <c r="R207" s="9">
        <f>IF(OR(NOT(ISNUMBER($O207)),NOT(ISNUMBER($N207)),NOT(ISNUMBER($Q207))),"",$O207*($N207/100)*$Q207*10)</f>
        <v/>
      </c>
      <c r="S207" s="11">
        <f>IF(AND($A207="",$B207="",$D207=""),"",IF(AND($A207&lt;&gt;"",COUNTIF('1. Plot &amp; Site Log'!$A$5:$A$64,$A207)=0),"Plot ID not in the Plot &amp; Site Log. ","")&amp;IF(AND(ISNUMBER($D207),ISNUMBER($E207),$E207&lt;=$D207),"Bottom depth is not below top depth. ","")&amp;IF($L207="Not confirmed","Bulk-density basis not confirmed with the lab — the coarse-fragment correction may be wrong or doubled. ","")&amp;IF(AND(ISNUMBER($M207),OR($M207&lt;QC_BD_MIN,$M207&gt;QC_BD_MAX)),"Bulk density outside the plausible range for a mineral grassland soil. ","")&amp;IF(AND(ISNUMBER($N207),$N207&gt;QC_CARBON_PCT_MAX),"Organic carbon above the QC ceiling — check units, and whether this is an organic horizon. ","")&amp;IF(AND(ISNUMBER($J207),$J207&lt;QC_RECOVERY_MIN),"Recovered less than the QC minimum of the depth driven — the increments may not sit where you think. Do NOT stretch them back out. ","")&amp;IF(AND(ISNUMBER($K207),$K207&gt;0,$L207="Fine earth / total volume"),"Coarse fragments recorded and the lab basis already accounts for them — no further correction applied, which is correct. ",""))</f>
        <v/>
      </c>
      <c r="T207" s="6" t="n"/>
      <c r="U207" s="9">
        <f>IF($B207="",0,IF(COUNTIFS($B$5:$B207,$B207)=1,1,0))</f>
        <v/>
      </c>
    </row>
    <row r="208">
      <c r="A208" s="6" t="n"/>
      <c r="B208" s="6" t="n"/>
      <c r="C208" s="6" t="n"/>
      <c r="D208" s="6" t="n"/>
      <c r="E208" s="6" t="n"/>
      <c r="F208" s="9">
        <f>IF(OR($D208="",$E208=""),"",$E208-$D208)</f>
        <v/>
      </c>
      <c r="G208" s="6" t="n"/>
      <c r="H208" s="6" t="n"/>
      <c r="I208" s="6" t="n"/>
      <c r="J208" s="9">
        <f>IF(OR(NOT(ISNUMBER($H208)),NOT(ISNUMBER($I208)),$H208=0),"",$I208/$H208)</f>
        <v/>
      </c>
      <c r="K208" s="6" t="n"/>
      <c r="L208" s="8" t="n"/>
      <c r="M208" s="7" t="n"/>
      <c r="N208" s="7" t="n"/>
      <c r="O208" s="9">
        <f>IF(NOT(ISNUMBER($M208)),"",IF($L208="Fine earth / fine-earth volume",$M208*(1-IF(ISNUMBER($K208),$K208,0)/100),$M208))</f>
        <v/>
      </c>
      <c r="P208" s="9">
        <f>IF(OR(NOT(ISNUMBER($O208)),NOT(ISNUMBER($N208)),NOT(ISNUMBER($F208))),"",$O208*($N208/100)*$F208*10)</f>
        <v/>
      </c>
      <c r="Q208" s="9">
        <f>IF(OR(NOT(ISNUMBER($D208)),NOT(ISNUMBER($E208))),"",MAX(0,MIN($E208,SOIL_REPORTING_DEPTH_CM)-MIN($D208,SOIL_REPORTING_DEPTH_CM)))</f>
        <v/>
      </c>
      <c r="R208" s="9">
        <f>IF(OR(NOT(ISNUMBER($O208)),NOT(ISNUMBER($N208)),NOT(ISNUMBER($Q208))),"",$O208*($N208/100)*$Q208*10)</f>
        <v/>
      </c>
      <c r="S208" s="11">
        <f>IF(AND($A208="",$B208="",$D208=""),"",IF(AND($A208&lt;&gt;"",COUNTIF('1. Plot &amp; Site Log'!$A$5:$A$64,$A208)=0),"Plot ID not in the Plot &amp; Site Log. ","")&amp;IF(AND(ISNUMBER($D208),ISNUMBER($E208),$E208&lt;=$D208),"Bottom depth is not below top depth. ","")&amp;IF($L208="Not confirmed","Bulk-density basis not confirmed with the lab — the coarse-fragment correction may be wrong or doubled. ","")&amp;IF(AND(ISNUMBER($M208),OR($M208&lt;QC_BD_MIN,$M208&gt;QC_BD_MAX)),"Bulk density outside the plausible range for a mineral grassland soil. ","")&amp;IF(AND(ISNUMBER($N208),$N208&gt;QC_CARBON_PCT_MAX),"Organic carbon above the QC ceiling — check units, and whether this is an organic horizon. ","")&amp;IF(AND(ISNUMBER($J208),$J208&lt;QC_RECOVERY_MIN),"Recovered less than the QC minimum of the depth driven — the increments may not sit where you think. Do NOT stretch them back out. ","")&amp;IF(AND(ISNUMBER($K208),$K208&gt;0,$L208="Fine earth / total volume"),"Coarse fragments recorded and the lab basis already accounts for them — no further correction applied, which is correct. ",""))</f>
        <v/>
      </c>
      <c r="T208" s="6" t="n"/>
      <c r="U208" s="9">
        <f>IF($B208="",0,IF(COUNTIFS($B$5:$B208,$B208)=1,1,0))</f>
        <v/>
      </c>
    </row>
    <row r="209">
      <c r="A209" s="6" t="n"/>
      <c r="B209" s="6" t="n"/>
      <c r="C209" s="6" t="n"/>
      <c r="D209" s="6" t="n"/>
      <c r="E209" s="6" t="n"/>
      <c r="F209" s="9">
        <f>IF(OR($D209="",$E209=""),"",$E209-$D209)</f>
        <v/>
      </c>
      <c r="G209" s="6" t="n"/>
      <c r="H209" s="6" t="n"/>
      <c r="I209" s="6" t="n"/>
      <c r="J209" s="9">
        <f>IF(OR(NOT(ISNUMBER($H209)),NOT(ISNUMBER($I209)),$H209=0),"",$I209/$H209)</f>
        <v/>
      </c>
      <c r="K209" s="6" t="n"/>
      <c r="L209" s="8" t="n"/>
      <c r="M209" s="7" t="n"/>
      <c r="N209" s="7" t="n"/>
      <c r="O209" s="9">
        <f>IF(NOT(ISNUMBER($M209)),"",IF($L209="Fine earth / fine-earth volume",$M209*(1-IF(ISNUMBER($K209),$K209,0)/100),$M209))</f>
        <v/>
      </c>
      <c r="P209" s="9">
        <f>IF(OR(NOT(ISNUMBER($O209)),NOT(ISNUMBER($N209)),NOT(ISNUMBER($F209))),"",$O209*($N209/100)*$F209*10)</f>
        <v/>
      </c>
      <c r="Q209" s="9">
        <f>IF(OR(NOT(ISNUMBER($D209)),NOT(ISNUMBER($E209))),"",MAX(0,MIN($E209,SOIL_REPORTING_DEPTH_CM)-MIN($D209,SOIL_REPORTING_DEPTH_CM)))</f>
        <v/>
      </c>
      <c r="R209" s="9">
        <f>IF(OR(NOT(ISNUMBER($O209)),NOT(ISNUMBER($N209)),NOT(ISNUMBER($Q209))),"",$O209*($N209/100)*$Q209*10)</f>
        <v/>
      </c>
      <c r="S209" s="11">
        <f>IF(AND($A209="",$B209="",$D209=""),"",IF(AND($A209&lt;&gt;"",COUNTIF('1. Plot &amp; Site Log'!$A$5:$A$64,$A209)=0),"Plot ID not in the Plot &amp; Site Log. ","")&amp;IF(AND(ISNUMBER($D209),ISNUMBER($E209),$E209&lt;=$D209),"Bottom depth is not below top depth. ","")&amp;IF($L209="Not confirmed","Bulk-density basis not confirmed with the lab — the coarse-fragment correction may be wrong or doubled. ","")&amp;IF(AND(ISNUMBER($M209),OR($M209&lt;QC_BD_MIN,$M209&gt;QC_BD_MAX)),"Bulk density outside the plausible range for a mineral grassland soil. ","")&amp;IF(AND(ISNUMBER($N209),$N209&gt;QC_CARBON_PCT_MAX),"Organic carbon above the QC ceiling — check units, and whether this is an organic horizon. ","")&amp;IF(AND(ISNUMBER($J209),$J209&lt;QC_RECOVERY_MIN),"Recovered less than the QC minimum of the depth driven — the increments may not sit where you think. Do NOT stretch them back out. ","")&amp;IF(AND(ISNUMBER($K209),$K209&gt;0,$L209="Fine earth / total volume"),"Coarse fragments recorded and the lab basis already accounts for them — no further correction applied, which is correct. ",""))</f>
        <v/>
      </c>
      <c r="T209" s="6" t="n"/>
      <c r="U209" s="9">
        <f>IF($B209="",0,IF(COUNTIFS($B$5:$B209,$B209)=1,1,0))</f>
        <v/>
      </c>
    </row>
    <row r="210">
      <c r="A210" s="6" t="n"/>
      <c r="B210" s="6" t="n"/>
      <c r="C210" s="6" t="n"/>
      <c r="D210" s="6" t="n"/>
      <c r="E210" s="6" t="n"/>
      <c r="F210" s="9">
        <f>IF(OR($D210="",$E210=""),"",$E210-$D210)</f>
        <v/>
      </c>
      <c r="G210" s="6" t="n"/>
      <c r="H210" s="6" t="n"/>
      <c r="I210" s="6" t="n"/>
      <c r="J210" s="9">
        <f>IF(OR(NOT(ISNUMBER($H210)),NOT(ISNUMBER($I210)),$H210=0),"",$I210/$H210)</f>
        <v/>
      </c>
      <c r="K210" s="6" t="n"/>
      <c r="L210" s="8" t="n"/>
      <c r="M210" s="7" t="n"/>
      <c r="N210" s="7" t="n"/>
      <c r="O210" s="9">
        <f>IF(NOT(ISNUMBER($M210)),"",IF($L210="Fine earth / fine-earth volume",$M210*(1-IF(ISNUMBER($K210),$K210,0)/100),$M210))</f>
        <v/>
      </c>
      <c r="P210" s="9">
        <f>IF(OR(NOT(ISNUMBER($O210)),NOT(ISNUMBER($N210)),NOT(ISNUMBER($F210))),"",$O210*($N210/100)*$F210*10)</f>
        <v/>
      </c>
      <c r="Q210" s="9">
        <f>IF(OR(NOT(ISNUMBER($D210)),NOT(ISNUMBER($E210))),"",MAX(0,MIN($E210,SOIL_REPORTING_DEPTH_CM)-MIN($D210,SOIL_REPORTING_DEPTH_CM)))</f>
        <v/>
      </c>
      <c r="R210" s="9">
        <f>IF(OR(NOT(ISNUMBER($O210)),NOT(ISNUMBER($N210)),NOT(ISNUMBER($Q210))),"",$O210*($N210/100)*$Q210*10)</f>
        <v/>
      </c>
      <c r="S210" s="11">
        <f>IF(AND($A210="",$B210="",$D210=""),"",IF(AND($A210&lt;&gt;"",COUNTIF('1. Plot &amp; Site Log'!$A$5:$A$64,$A210)=0),"Plot ID not in the Plot &amp; Site Log. ","")&amp;IF(AND(ISNUMBER($D210),ISNUMBER($E210),$E210&lt;=$D210),"Bottom depth is not below top depth. ","")&amp;IF($L210="Not confirmed","Bulk-density basis not confirmed with the lab — the coarse-fragment correction may be wrong or doubled. ","")&amp;IF(AND(ISNUMBER($M210),OR($M210&lt;QC_BD_MIN,$M210&gt;QC_BD_MAX)),"Bulk density outside the plausible range for a mineral grassland soil. ","")&amp;IF(AND(ISNUMBER($N210),$N210&gt;QC_CARBON_PCT_MAX),"Organic carbon above the QC ceiling — check units, and whether this is an organic horizon. ","")&amp;IF(AND(ISNUMBER($J210),$J210&lt;QC_RECOVERY_MIN),"Recovered less than the QC minimum of the depth driven — the increments may not sit where you think. Do NOT stretch them back out. ","")&amp;IF(AND(ISNUMBER($K210),$K210&gt;0,$L210="Fine earth / total volume"),"Coarse fragments recorded and the lab basis already accounts for them — no further correction applied, which is correct. ",""))</f>
        <v/>
      </c>
      <c r="T210" s="6" t="n"/>
      <c r="U210" s="9">
        <f>IF($B210="",0,IF(COUNTIFS($B$5:$B210,$B210)=1,1,0))</f>
        <v/>
      </c>
    </row>
    <row r="211">
      <c r="A211" s="6" t="n"/>
      <c r="B211" s="6" t="n"/>
      <c r="C211" s="6" t="n"/>
      <c r="D211" s="6" t="n"/>
      <c r="E211" s="6" t="n"/>
      <c r="F211" s="9">
        <f>IF(OR($D211="",$E211=""),"",$E211-$D211)</f>
        <v/>
      </c>
      <c r="G211" s="6" t="n"/>
      <c r="H211" s="6" t="n"/>
      <c r="I211" s="6" t="n"/>
      <c r="J211" s="9">
        <f>IF(OR(NOT(ISNUMBER($H211)),NOT(ISNUMBER($I211)),$H211=0),"",$I211/$H211)</f>
        <v/>
      </c>
      <c r="K211" s="6" t="n"/>
      <c r="L211" s="8" t="n"/>
      <c r="M211" s="7" t="n"/>
      <c r="N211" s="7" t="n"/>
      <c r="O211" s="9">
        <f>IF(NOT(ISNUMBER($M211)),"",IF($L211="Fine earth / fine-earth volume",$M211*(1-IF(ISNUMBER($K211),$K211,0)/100),$M211))</f>
        <v/>
      </c>
      <c r="P211" s="9">
        <f>IF(OR(NOT(ISNUMBER($O211)),NOT(ISNUMBER($N211)),NOT(ISNUMBER($F211))),"",$O211*($N211/100)*$F211*10)</f>
        <v/>
      </c>
      <c r="Q211" s="9">
        <f>IF(OR(NOT(ISNUMBER($D211)),NOT(ISNUMBER($E211))),"",MAX(0,MIN($E211,SOIL_REPORTING_DEPTH_CM)-MIN($D211,SOIL_REPORTING_DEPTH_CM)))</f>
        <v/>
      </c>
      <c r="R211" s="9">
        <f>IF(OR(NOT(ISNUMBER($O211)),NOT(ISNUMBER($N211)),NOT(ISNUMBER($Q211))),"",$O211*($N211/100)*$Q211*10)</f>
        <v/>
      </c>
      <c r="S211" s="11">
        <f>IF(AND($A211="",$B211="",$D211=""),"",IF(AND($A211&lt;&gt;"",COUNTIF('1. Plot &amp; Site Log'!$A$5:$A$64,$A211)=0),"Plot ID not in the Plot &amp; Site Log. ","")&amp;IF(AND(ISNUMBER($D211),ISNUMBER($E211),$E211&lt;=$D211),"Bottom depth is not below top depth. ","")&amp;IF($L211="Not confirmed","Bulk-density basis not confirmed with the lab — the coarse-fragment correction may be wrong or doubled. ","")&amp;IF(AND(ISNUMBER($M211),OR($M211&lt;QC_BD_MIN,$M211&gt;QC_BD_MAX)),"Bulk density outside the plausible range for a mineral grassland soil. ","")&amp;IF(AND(ISNUMBER($N211),$N211&gt;QC_CARBON_PCT_MAX),"Organic carbon above the QC ceiling — check units, and whether this is an organic horizon. ","")&amp;IF(AND(ISNUMBER($J211),$J211&lt;QC_RECOVERY_MIN),"Recovered less than the QC minimum of the depth driven — the increments may not sit where you think. Do NOT stretch them back out. ","")&amp;IF(AND(ISNUMBER($K211),$K211&gt;0,$L211="Fine earth / total volume"),"Coarse fragments recorded and the lab basis already accounts for them — no further correction applied, which is correct. ",""))</f>
        <v/>
      </c>
      <c r="T211" s="6" t="n"/>
      <c r="U211" s="9">
        <f>IF($B211="",0,IF(COUNTIFS($B$5:$B211,$B211)=1,1,0))</f>
        <v/>
      </c>
    </row>
    <row r="212">
      <c r="A212" s="6" t="n"/>
      <c r="B212" s="6" t="n"/>
      <c r="C212" s="6" t="n"/>
      <c r="D212" s="6" t="n"/>
      <c r="E212" s="6" t="n"/>
      <c r="F212" s="9">
        <f>IF(OR($D212="",$E212=""),"",$E212-$D212)</f>
        <v/>
      </c>
      <c r="G212" s="6" t="n"/>
      <c r="H212" s="6" t="n"/>
      <c r="I212" s="6" t="n"/>
      <c r="J212" s="9">
        <f>IF(OR(NOT(ISNUMBER($H212)),NOT(ISNUMBER($I212)),$H212=0),"",$I212/$H212)</f>
        <v/>
      </c>
      <c r="K212" s="6" t="n"/>
      <c r="L212" s="8" t="n"/>
      <c r="M212" s="7" t="n"/>
      <c r="N212" s="7" t="n"/>
      <c r="O212" s="9">
        <f>IF(NOT(ISNUMBER($M212)),"",IF($L212="Fine earth / fine-earth volume",$M212*(1-IF(ISNUMBER($K212),$K212,0)/100),$M212))</f>
        <v/>
      </c>
      <c r="P212" s="9">
        <f>IF(OR(NOT(ISNUMBER($O212)),NOT(ISNUMBER($N212)),NOT(ISNUMBER($F212))),"",$O212*($N212/100)*$F212*10)</f>
        <v/>
      </c>
      <c r="Q212" s="9">
        <f>IF(OR(NOT(ISNUMBER($D212)),NOT(ISNUMBER($E212))),"",MAX(0,MIN($E212,SOIL_REPORTING_DEPTH_CM)-MIN($D212,SOIL_REPORTING_DEPTH_CM)))</f>
        <v/>
      </c>
      <c r="R212" s="9">
        <f>IF(OR(NOT(ISNUMBER($O212)),NOT(ISNUMBER($N212)),NOT(ISNUMBER($Q212))),"",$O212*($N212/100)*$Q212*10)</f>
        <v/>
      </c>
      <c r="S212" s="11">
        <f>IF(AND($A212="",$B212="",$D212=""),"",IF(AND($A212&lt;&gt;"",COUNTIF('1. Plot &amp; Site Log'!$A$5:$A$64,$A212)=0),"Plot ID not in the Plot &amp; Site Log. ","")&amp;IF(AND(ISNUMBER($D212),ISNUMBER($E212),$E212&lt;=$D212),"Bottom depth is not below top depth. ","")&amp;IF($L212="Not confirmed","Bulk-density basis not confirmed with the lab — the coarse-fragment correction may be wrong or doubled. ","")&amp;IF(AND(ISNUMBER($M212),OR($M212&lt;QC_BD_MIN,$M212&gt;QC_BD_MAX)),"Bulk density outside the plausible range for a mineral grassland soil. ","")&amp;IF(AND(ISNUMBER($N212),$N212&gt;QC_CARBON_PCT_MAX),"Organic carbon above the QC ceiling — check units, and whether this is an organic horizon. ","")&amp;IF(AND(ISNUMBER($J212),$J212&lt;QC_RECOVERY_MIN),"Recovered less than the QC minimum of the depth driven — the increments may not sit where you think. Do NOT stretch them back out. ","")&amp;IF(AND(ISNUMBER($K212),$K212&gt;0,$L212="Fine earth / total volume"),"Coarse fragments recorded and the lab basis already accounts for them — no further correction applied, which is correct. ",""))</f>
        <v/>
      </c>
      <c r="T212" s="6" t="n"/>
      <c r="U212" s="9">
        <f>IF($B212="",0,IF(COUNTIFS($B$5:$B212,$B212)=1,1,0))</f>
        <v/>
      </c>
    </row>
    <row r="213">
      <c r="A213" s="6" t="n"/>
      <c r="B213" s="6" t="n"/>
      <c r="C213" s="6" t="n"/>
      <c r="D213" s="6" t="n"/>
      <c r="E213" s="6" t="n"/>
      <c r="F213" s="9">
        <f>IF(OR($D213="",$E213=""),"",$E213-$D213)</f>
        <v/>
      </c>
      <c r="G213" s="6" t="n"/>
      <c r="H213" s="6" t="n"/>
      <c r="I213" s="6" t="n"/>
      <c r="J213" s="9">
        <f>IF(OR(NOT(ISNUMBER($H213)),NOT(ISNUMBER($I213)),$H213=0),"",$I213/$H213)</f>
        <v/>
      </c>
      <c r="K213" s="6" t="n"/>
      <c r="L213" s="8" t="n"/>
      <c r="M213" s="7" t="n"/>
      <c r="N213" s="7" t="n"/>
      <c r="O213" s="9">
        <f>IF(NOT(ISNUMBER($M213)),"",IF($L213="Fine earth / fine-earth volume",$M213*(1-IF(ISNUMBER($K213),$K213,0)/100),$M213))</f>
        <v/>
      </c>
      <c r="P213" s="9">
        <f>IF(OR(NOT(ISNUMBER($O213)),NOT(ISNUMBER($N213)),NOT(ISNUMBER($F213))),"",$O213*($N213/100)*$F213*10)</f>
        <v/>
      </c>
      <c r="Q213" s="9">
        <f>IF(OR(NOT(ISNUMBER($D213)),NOT(ISNUMBER($E213))),"",MAX(0,MIN($E213,SOIL_REPORTING_DEPTH_CM)-MIN($D213,SOIL_REPORTING_DEPTH_CM)))</f>
        <v/>
      </c>
      <c r="R213" s="9">
        <f>IF(OR(NOT(ISNUMBER($O213)),NOT(ISNUMBER($N213)),NOT(ISNUMBER($Q213))),"",$O213*($N213/100)*$Q213*10)</f>
        <v/>
      </c>
      <c r="S213" s="11">
        <f>IF(AND($A213="",$B213="",$D213=""),"",IF(AND($A213&lt;&gt;"",COUNTIF('1. Plot &amp; Site Log'!$A$5:$A$64,$A213)=0),"Plot ID not in the Plot &amp; Site Log. ","")&amp;IF(AND(ISNUMBER($D213),ISNUMBER($E213),$E213&lt;=$D213),"Bottom depth is not below top depth. ","")&amp;IF($L213="Not confirmed","Bulk-density basis not confirmed with the lab — the coarse-fragment correction may be wrong or doubled. ","")&amp;IF(AND(ISNUMBER($M213),OR($M213&lt;QC_BD_MIN,$M213&gt;QC_BD_MAX)),"Bulk density outside the plausible range for a mineral grassland soil. ","")&amp;IF(AND(ISNUMBER($N213),$N213&gt;QC_CARBON_PCT_MAX),"Organic carbon above the QC ceiling — check units, and whether this is an organic horizon. ","")&amp;IF(AND(ISNUMBER($J213),$J213&lt;QC_RECOVERY_MIN),"Recovered less than the QC minimum of the depth driven — the increments may not sit where you think. Do NOT stretch them back out. ","")&amp;IF(AND(ISNUMBER($K213),$K213&gt;0,$L213="Fine earth / total volume"),"Coarse fragments recorded and the lab basis already accounts for them — no further correction applied, which is correct. ",""))</f>
        <v/>
      </c>
      <c r="T213" s="6" t="n"/>
      <c r="U213" s="9">
        <f>IF($B213="",0,IF(COUNTIFS($B$5:$B213,$B213)=1,1,0))</f>
        <v/>
      </c>
    </row>
    <row r="214">
      <c r="A214" s="6" t="n"/>
      <c r="B214" s="6" t="n"/>
      <c r="C214" s="6" t="n"/>
      <c r="D214" s="6" t="n"/>
      <c r="E214" s="6" t="n"/>
      <c r="F214" s="9">
        <f>IF(OR($D214="",$E214=""),"",$E214-$D214)</f>
        <v/>
      </c>
      <c r="G214" s="6" t="n"/>
      <c r="H214" s="6" t="n"/>
      <c r="I214" s="6" t="n"/>
      <c r="J214" s="9">
        <f>IF(OR(NOT(ISNUMBER($H214)),NOT(ISNUMBER($I214)),$H214=0),"",$I214/$H214)</f>
        <v/>
      </c>
      <c r="K214" s="6" t="n"/>
      <c r="L214" s="8" t="n"/>
      <c r="M214" s="7" t="n"/>
      <c r="N214" s="7" t="n"/>
      <c r="O214" s="9">
        <f>IF(NOT(ISNUMBER($M214)),"",IF($L214="Fine earth / fine-earth volume",$M214*(1-IF(ISNUMBER($K214),$K214,0)/100),$M214))</f>
        <v/>
      </c>
      <c r="P214" s="9">
        <f>IF(OR(NOT(ISNUMBER($O214)),NOT(ISNUMBER($N214)),NOT(ISNUMBER($F214))),"",$O214*($N214/100)*$F214*10)</f>
        <v/>
      </c>
      <c r="Q214" s="9">
        <f>IF(OR(NOT(ISNUMBER($D214)),NOT(ISNUMBER($E214))),"",MAX(0,MIN($E214,SOIL_REPORTING_DEPTH_CM)-MIN($D214,SOIL_REPORTING_DEPTH_CM)))</f>
        <v/>
      </c>
      <c r="R214" s="9">
        <f>IF(OR(NOT(ISNUMBER($O214)),NOT(ISNUMBER($N214)),NOT(ISNUMBER($Q214))),"",$O214*($N214/100)*$Q214*10)</f>
        <v/>
      </c>
      <c r="S214" s="11">
        <f>IF(AND($A214="",$B214="",$D214=""),"",IF(AND($A214&lt;&gt;"",COUNTIF('1. Plot &amp; Site Log'!$A$5:$A$64,$A214)=0),"Plot ID not in the Plot &amp; Site Log. ","")&amp;IF(AND(ISNUMBER($D214),ISNUMBER($E214),$E214&lt;=$D214),"Bottom depth is not below top depth. ","")&amp;IF($L214="Not confirmed","Bulk-density basis not confirmed with the lab — the coarse-fragment correction may be wrong or doubled. ","")&amp;IF(AND(ISNUMBER($M214),OR($M214&lt;QC_BD_MIN,$M214&gt;QC_BD_MAX)),"Bulk density outside the plausible range for a mineral grassland soil. ","")&amp;IF(AND(ISNUMBER($N214),$N214&gt;QC_CARBON_PCT_MAX),"Organic carbon above the QC ceiling — check units, and whether this is an organic horizon. ","")&amp;IF(AND(ISNUMBER($J214),$J214&lt;QC_RECOVERY_MIN),"Recovered less than the QC minimum of the depth driven — the increments may not sit where you think. Do NOT stretch them back out. ","")&amp;IF(AND(ISNUMBER($K214),$K214&gt;0,$L214="Fine earth / total volume"),"Coarse fragments recorded and the lab basis already accounts for them — no further correction applied, which is correct. ",""))</f>
        <v/>
      </c>
      <c r="T214" s="6" t="n"/>
      <c r="U214" s="9">
        <f>IF($B214="",0,IF(COUNTIFS($B$5:$B214,$B214)=1,1,0))</f>
        <v/>
      </c>
    </row>
    <row r="215">
      <c r="A215" s="6" t="n"/>
      <c r="B215" s="6" t="n"/>
      <c r="C215" s="6" t="n"/>
      <c r="D215" s="6" t="n"/>
      <c r="E215" s="6" t="n"/>
      <c r="F215" s="9">
        <f>IF(OR($D215="",$E215=""),"",$E215-$D215)</f>
        <v/>
      </c>
      <c r="G215" s="6" t="n"/>
      <c r="H215" s="6" t="n"/>
      <c r="I215" s="6" t="n"/>
      <c r="J215" s="9">
        <f>IF(OR(NOT(ISNUMBER($H215)),NOT(ISNUMBER($I215)),$H215=0),"",$I215/$H215)</f>
        <v/>
      </c>
      <c r="K215" s="6" t="n"/>
      <c r="L215" s="8" t="n"/>
      <c r="M215" s="7" t="n"/>
      <c r="N215" s="7" t="n"/>
      <c r="O215" s="9">
        <f>IF(NOT(ISNUMBER($M215)),"",IF($L215="Fine earth / fine-earth volume",$M215*(1-IF(ISNUMBER($K215),$K215,0)/100),$M215))</f>
        <v/>
      </c>
      <c r="P215" s="9">
        <f>IF(OR(NOT(ISNUMBER($O215)),NOT(ISNUMBER($N215)),NOT(ISNUMBER($F215))),"",$O215*($N215/100)*$F215*10)</f>
        <v/>
      </c>
      <c r="Q215" s="9">
        <f>IF(OR(NOT(ISNUMBER($D215)),NOT(ISNUMBER($E215))),"",MAX(0,MIN($E215,SOIL_REPORTING_DEPTH_CM)-MIN($D215,SOIL_REPORTING_DEPTH_CM)))</f>
        <v/>
      </c>
      <c r="R215" s="9">
        <f>IF(OR(NOT(ISNUMBER($O215)),NOT(ISNUMBER($N215)),NOT(ISNUMBER($Q215))),"",$O215*($N215/100)*$Q215*10)</f>
        <v/>
      </c>
      <c r="S215" s="11">
        <f>IF(AND($A215="",$B215="",$D215=""),"",IF(AND($A215&lt;&gt;"",COUNTIF('1. Plot &amp; Site Log'!$A$5:$A$64,$A215)=0),"Plot ID not in the Plot &amp; Site Log. ","")&amp;IF(AND(ISNUMBER($D215),ISNUMBER($E215),$E215&lt;=$D215),"Bottom depth is not below top depth. ","")&amp;IF($L215="Not confirmed","Bulk-density basis not confirmed with the lab — the coarse-fragment correction may be wrong or doubled. ","")&amp;IF(AND(ISNUMBER($M215),OR($M215&lt;QC_BD_MIN,$M215&gt;QC_BD_MAX)),"Bulk density outside the plausible range for a mineral grassland soil. ","")&amp;IF(AND(ISNUMBER($N215),$N215&gt;QC_CARBON_PCT_MAX),"Organic carbon above the QC ceiling — check units, and whether this is an organic horizon. ","")&amp;IF(AND(ISNUMBER($J215),$J215&lt;QC_RECOVERY_MIN),"Recovered less than the QC minimum of the depth driven — the increments may not sit where you think. Do NOT stretch them back out. ","")&amp;IF(AND(ISNUMBER($K215),$K215&gt;0,$L215="Fine earth / total volume"),"Coarse fragments recorded and the lab basis already accounts for them — no further correction applied, which is correct. ",""))</f>
        <v/>
      </c>
      <c r="T215" s="6" t="n"/>
      <c r="U215" s="9">
        <f>IF($B215="",0,IF(COUNTIFS($B$5:$B215,$B215)=1,1,0))</f>
        <v/>
      </c>
    </row>
    <row r="216">
      <c r="A216" s="6" t="n"/>
      <c r="B216" s="6" t="n"/>
      <c r="C216" s="6" t="n"/>
      <c r="D216" s="6" t="n"/>
      <c r="E216" s="6" t="n"/>
      <c r="F216" s="9">
        <f>IF(OR($D216="",$E216=""),"",$E216-$D216)</f>
        <v/>
      </c>
      <c r="G216" s="6" t="n"/>
      <c r="H216" s="6" t="n"/>
      <c r="I216" s="6" t="n"/>
      <c r="J216" s="9">
        <f>IF(OR(NOT(ISNUMBER($H216)),NOT(ISNUMBER($I216)),$H216=0),"",$I216/$H216)</f>
        <v/>
      </c>
      <c r="K216" s="6" t="n"/>
      <c r="L216" s="8" t="n"/>
      <c r="M216" s="7" t="n"/>
      <c r="N216" s="7" t="n"/>
      <c r="O216" s="9">
        <f>IF(NOT(ISNUMBER($M216)),"",IF($L216="Fine earth / fine-earth volume",$M216*(1-IF(ISNUMBER($K216),$K216,0)/100),$M216))</f>
        <v/>
      </c>
      <c r="P216" s="9">
        <f>IF(OR(NOT(ISNUMBER($O216)),NOT(ISNUMBER($N216)),NOT(ISNUMBER($F216))),"",$O216*($N216/100)*$F216*10)</f>
        <v/>
      </c>
      <c r="Q216" s="9">
        <f>IF(OR(NOT(ISNUMBER($D216)),NOT(ISNUMBER($E216))),"",MAX(0,MIN($E216,SOIL_REPORTING_DEPTH_CM)-MIN($D216,SOIL_REPORTING_DEPTH_CM)))</f>
        <v/>
      </c>
      <c r="R216" s="9">
        <f>IF(OR(NOT(ISNUMBER($O216)),NOT(ISNUMBER($N216)),NOT(ISNUMBER($Q216))),"",$O216*($N216/100)*$Q216*10)</f>
        <v/>
      </c>
      <c r="S216" s="11">
        <f>IF(AND($A216="",$B216="",$D216=""),"",IF(AND($A216&lt;&gt;"",COUNTIF('1. Plot &amp; Site Log'!$A$5:$A$64,$A216)=0),"Plot ID not in the Plot &amp; Site Log. ","")&amp;IF(AND(ISNUMBER($D216),ISNUMBER($E216),$E216&lt;=$D216),"Bottom depth is not below top depth. ","")&amp;IF($L216="Not confirmed","Bulk-density basis not confirmed with the lab — the coarse-fragment correction may be wrong or doubled. ","")&amp;IF(AND(ISNUMBER($M216),OR($M216&lt;QC_BD_MIN,$M216&gt;QC_BD_MAX)),"Bulk density outside the plausible range for a mineral grassland soil. ","")&amp;IF(AND(ISNUMBER($N216),$N216&gt;QC_CARBON_PCT_MAX),"Organic carbon above the QC ceiling — check units, and whether this is an organic horizon. ","")&amp;IF(AND(ISNUMBER($J216),$J216&lt;QC_RECOVERY_MIN),"Recovered less than the QC minimum of the depth driven — the increments may not sit where you think. Do NOT stretch them back out. ","")&amp;IF(AND(ISNUMBER($K216),$K216&gt;0,$L216="Fine earth / total volume"),"Coarse fragments recorded and the lab basis already accounts for them — no further correction applied, which is correct. ",""))</f>
        <v/>
      </c>
      <c r="T216" s="6" t="n"/>
      <c r="U216" s="9">
        <f>IF($B216="",0,IF(COUNTIFS($B$5:$B216,$B216)=1,1,0))</f>
        <v/>
      </c>
    </row>
    <row r="217">
      <c r="A217" s="6" t="n"/>
      <c r="B217" s="6" t="n"/>
      <c r="C217" s="6" t="n"/>
      <c r="D217" s="6" t="n"/>
      <c r="E217" s="6" t="n"/>
      <c r="F217" s="9">
        <f>IF(OR($D217="",$E217=""),"",$E217-$D217)</f>
        <v/>
      </c>
      <c r="G217" s="6" t="n"/>
      <c r="H217" s="6" t="n"/>
      <c r="I217" s="6" t="n"/>
      <c r="J217" s="9">
        <f>IF(OR(NOT(ISNUMBER($H217)),NOT(ISNUMBER($I217)),$H217=0),"",$I217/$H217)</f>
        <v/>
      </c>
      <c r="K217" s="6" t="n"/>
      <c r="L217" s="8" t="n"/>
      <c r="M217" s="7" t="n"/>
      <c r="N217" s="7" t="n"/>
      <c r="O217" s="9">
        <f>IF(NOT(ISNUMBER($M217)),"",IF($L217="Fine earth / fine-earth volume",$M217*(1-IF(ISNUMBER($K217),$K217,0)/100),$M217))</f>
        <v/>
      </c>
      <c r="P217" s="9">
        <f>IF(OR(NOT(ISNUMBER($O217)),NOT(ISNUMBER($N217)),NOT(ISNUMBER($F217))),"",$O217*($N217/100)*$F217*10)</f>
        <v/>
      </c>
      <c r="Q217" s="9">
        <f>IF(OR(NOT(ISNUMBER($D217)),NOT(ISNUMBER($E217))),"",MAX(0,MIN($E217,SOIL_REPORTING_DEPTH_CM)-MIN($D217,SOIL_REPORTING_DEPTH_CM)))</f>
        <v/>
      </c>
      <c r="R217" s="9">
        <f>IF(OR(NOT(ISNUMBER($O217)),NOT(ISNUMBER($N217)),NOT(ISNUMBER($Q217))),"",$O217*($N217/100)*$Q217*10)</f>
        <v/>
      </c>
      <c r="S217" s="11">
        <f>IF(AND($A217="",$B217="",$D217=""),"",IF(AND($A217&lt;&gt;"",COUNTIF('1. Plot &amp; Site Log'!$A$5:$A$64,$A217)=0),"Plot ID not in the Plot &amp; Site Log. ","")&amp;IF(AND(ISNUMBER($D217),ISNUMBER($E217),$E217&lt;=$D217),"Bottom depth is not below top depth. ","")&amp;IF($L217="Not confirmed","Bulk-density basis not confirmed with the lab — the coarse-fragment correction may be wrong or doubled. ","")&amp;IF(AND(ISNUMBER($M217),OR($M217&lt;QC_BD_MIN,$M217&gt;QC_BD_MAX)),"Bulk density outside the plausible range for a mineral grassland soil. ","")&amp;IF(AND(ISNUMBER($N217),$N217&gt;QC_CARBON_PCT_MAX),"Organic carbon above the QC ceiling — check units, and whether this is an organic horizon. ","")&amp;IF(AND(ISNUMBER($J217),$J217&lt;QC_RECOVERY_MIN),"Recovered less than the QC minimum of the depth driven — the increments may not sit where you think. Do NOT stretch them back out. ","")&amp;IF(AND(ISNUMBER($K217),$K217&gt;0,$L217="Fine earth / total volume"),"Coarse fragments recorded and the lab basis already accounts for them — no further correction applied, which is correct. ",""))</f>
        <v/>
      </c>
      <c r="T217" s="6" t="n"/>
      <c r="U217" s="9">
        <f>IF($B217="",0,IF(COUNTIFS($B$5:$B217,$B217)=1,1,0))</f>
        <v/>
      </c>
    </row>
    <row r="218">
      <c r="A218" s="6" t="n"/>
      <c r="B218" s="6" t="n"/>
      <c r="C218" s="6" t="n"/>
      <c r="D218" s="6" t="n"/>
      <c r="E218" s="6" t="n"/>
      <c r="F218" s="9">
        <f>IF(OR($D218="",$E218=""),"",$E218-$D218)</f>
        <v/>
      </c>
      <c r="G218" s="6" t="n"/>
      <c r="H218" s="6" t="n"/>
      <c r="I218" s="6" t="n"/>
      <c r="J218" s="9">
        <f>IF(OR(NOT(ISNUMBER($H218)),NOT(ISNUMBER($I218)),$H218=0),"",$I218/$H218)</f>
        <v/>
      </c>
      <c r="K218" s="6" t="n"/>
      <c r="L218" s="8" t="n"/>
      <c r="M218" s="7" t="n"/>
      <c r="N218" s="7" t="n"/>
      <c r="O218" s="9">
        <f>IF(NOT(ISNUMBER($M218)),"",IF($L218="Fine earth / fine-earth volume",$M218*(1-IF(ISNUMBER($K218),$K218,0)/100),$M218))</f>
        <v/>
      </c>
      <c r="P218" s="9">
        <f>IF(OR(NOT(ISNUMBER($O218)),NOT(ISNUMBER($N218)),NOT(ISNUMBER($F218))),"",$O218*($N218/100)*$F218*10)</f>
        <v/>
      </c>
      <c r="Q218" s="9">
        <f>IF(OR(NOT(ISNUMBER($D218)),NOT(ISNUMBER($E218))),"",MAX(0,MIN($E218,SOIL_REPORTING_DEPTH_CM)-MIN($D218,SOIL_REPORTING_DEPTH_CM)))</f>
        <v/>
      </c>
      <c r="R218" s="9">
        <f>IF(OR(NOT(ISNUMBER($O218)),NOT(ISNUMBER($N218)),NOT(ISNUMBER($Q218))),"",$O218*($N218/100)*$Q218*10)</f>
        <v/>
      </c>
      <c r="S218" s="11">
        <f>IF(AND($A218="",$B218="",$D218=""),"",IF(AND($A218&lt;&gt;"",COUNTIF('1. Plot &amp; Site Log'!$A$5:$A$64,$A218)=0),"Plot ID not in the Plot &amp; Site Log. ","")&amp;IF(AND(ISNUMBER($D218),ISNUMBER($E218),$E218&lt;=$D218),"Bottom depth is not below top depth. ","")&amp;IF($L218="Not confirmed","Bulk-density basis not confirmed with the lab — the coarse-fragment correction may be wrong or doubled. ","")&amp;IF(AND(ISNUMBER($M218),OR($M218&lt;QC_BD_MIN,$M218&gt;QC_BD_MAX)),"Bulk density outside the plausible range for a mineral grassland soil. ","")&amp;IF(AND(ISNUMBER($N218),$N218&gt;QC_CARBON_PCT_MAX),"Organic carbon above the QC ceiling — check units, and whether this is an organic horizon. ","")&amp;IF(AND(ISNUMBER($J218),$J218&lt;QC_RECOVERY_MIN),"Recovered less than the QC minimum of the depth driven — the increments may not sit where you think. Do NOT stretch them back out. ","")&amp;IF(AND(ISNUMBER($K218),$K218&gt;0,$L218="Fine earth / total volume"),"Coarse fragments recorded and the lab basis already accounts for them — no further correction applied, which is correct. ",""))</f>
        <v/>
      </c>
      <c r="T218" s="6" t="n"/>
      <c r="U218" s="9">
        <f>IF($B218="",0,IF(COUNTIFS($B$5:$B218,$B218)=1,1,0))</f>
        <v/>
      </c>
    </row>
    <row r="219">
      <c r="A219" s="6" t="n"/>
      <c r="B219" s="6" t="n"/>
      <c r="C219" s="6" t="n"/>
      <c r="D219" s="6" t="n"/>
      <c r="E219" s="6" t="n"/>
      <c r="F219" s="9">
        <f>IF(OR($D219="",$E219=""),"",$E219-$D219)</f>
        <v/>
      </c>
      <c r="G219" s="6" t="n"/>
      <c r="H219" s="6" t="n"/>
      <c r="I219" s="6" t="n"/>
      <c r="J219" s="9">
        <f>IF(OR(NOT(ISNUMBER($H219)),NOT(ISNUMBER($I219)),$H219=0),"",$I219/$H219)</f>
        <v/>
      </c>
      <c r="K219" s="6" t="n"/>
      <c r="L219" s="8" t="n"/>
      <c r="M219" s="7" t="n"/>
      <c r="N219" s="7" t="n"/>
      <c r="O219" s="9">
        <f>IF(NOT(ISNUMBER($M219)),"",IF($L219="Fine earth / fine-earth volume",$M219*(1-IF(ISNUMBER($K219),$K219,0)/100),$M219))</f>
        <v/>
      </c>
      <c r="P219" s="9">
        <f>IF(OR(NOT(ISNUMBER($O219)),NOT(ISNUMBER($N219)),NOT(ISNUMBER($F219))),"",$O219*($N219/100)*$F219*10)</f>
        <v/>
      </c>
      <c r="Q219" s="9">
        <f>IF(OR(NOT(ISNUMBER($D219)),NOT(ISNUMBER($E219))),"",MAX(0,MIN($E219,SOIL_REPORTING_DEPTH_CM)-MIN($D219,SOIL_REPORTING_DEPTH_CM)))</f>
        <v/>
      </c>
      <c r="R219" s="9">
        <f>IF(OR(NOT(ISNUMBER($O219)),NOT(ISNUMBER($N219)),NOT(ISNUMBER($Q219))),"",$O219*($N219/100)*$Q219*10)</f>
        <v/>
      </c>
      <c r="S219" s="11">
        <f>IF(AND($A219="",$B219="",$D219=""),"",IF(AND($A219&lt;&gt;"",COUNTIF('1. Plot &amp; Site Log'!$A$5:$A$64,$A219)=0),"Plot ID not in the Plot &amp; Site Log. ","")&amp;IF(AND(ISNUMBER($D219),ISNUMBER($E219),$E219&lt;=$D219),"Bottom depth is not below top depth. ","")&amp;IF($L219="Not confirmed","Bulk-density basis not confirmed with the lab — the coarse-fragment correction may be wrong or doubled. ","")&amp;IF(AND(ISNUMBER($M219),OR($M219&lt;QC_BD_MIN,$M219&gt;QC_BD_MAX)),"Bulk density outside the plausible range for a mineral grassland soil. ","")&amp;IF(AND(ISNUMBER($N219),$N219&gt;QC_CARBON_PCT_MAX),"Organic carbon above the QC ceiling — check units, and whether this is an organic horizon. ","")&amp;IF(AND(ISNUMBER($J219),$J219&lt;QC_RECOVERY_MIN),"Recovered less than the QC minimum of the depth driven — the increments may not sit where you think. Do NOT stretch them back out. ","")&amp;IF(AND(ISNUMBER($K219),$K219&gt;0,$L219="Fine earth / total volume"),"Coarse fragments recorded and the lab basis already accounts for them — no further correction applied, which is correct. ",""))</f>
        <v/>
      </c>
      <c r="T219" s="6" t="n"/>
      <c r="U219" s="9">
        <f>IF($B219="",0,IF(COUNTIFS($B$5:$B219,$B219)=1,1,0))</f>
        <v/>
      </c>
    </row>
    <row r="220">
      <c r="A220" s="6" t="n"/>
      <c r="B220" s="6" t="n"/>
      <c r="C220" s="6" t="n"/>
      <c r="D220" s="6" t="n"/>
      <c r="E220" s="6" t="n"/>
      <c r="F220" s="9">
        <f>IF(OR($D220="",$E220=""),"",$E220-$D220)</f>
        <v/>
      </c>
      <c r="G220" s="6" t="n"/>
      <c r="H220" s="6" t="n"/>
      <c r="I220" s="6" t="n"/>
      <c r="J220" s="9">
        <f>IF(OR(NOT(ISNUMBER($H220)),NOT(ISNUMBER($I220)),$H220=0),"",$I220/$H220)</f>
        <v/>
      </c>
      <c r="K220" s="6" t="n"/>
      <c r="L220" s="8" t="n"/>
      <c r="M220" s="7" t="n"/>
      <c r="N220" s="7" t="n"/>
      <c r="O220" s="9">
        <f>IF(NOT(ISNUMBER($M220)),"",IF($L220="Fine earth / fine-earth volume",$M220*(1-IF(ISNUMBER($K220),$K220,0)/100),$M220))</f>
        <v/>
      </c>
      <c r="P220" s="9">
        <f>IF(OR(NOT(ISNUMBER($O220)),NOT(ISNUMBER($N220)),NOT(ISNUMBER($F220))),"",$O220*($N220/100)*$F220*10)</f>
        <v/>
      </c>
      <c r="Q220" s="9">
        <f>IF(OR(NOT(ISNUMBER($D220)),NOT(ISNUMBER($E220))),"",MAX(0,MIN($E220,SOIL_REPORTING_DEPTH_CM)-MIN($D220,SOIL_REPORTING_DEPTH_CM)))</f>
        <v/>
      </c>
      <c r="R220" s="9">
        <f>IF(OR(NOT(ISNUMBER($O220)),NOT(ISNUMBER($N220)),NOT(ISNUMBER($Q220))),"",$O220*($N220/100)*$Q220*10)</f>
        <v/>
      </c>
      <c r="S220" s="11">
        <f>IF(AND($A220="",$B220="",$D220=""),"",IF(AND($A220&lt;&gt;"",COUNTIF('1. Plot &amp; Site Log'!$A$5:$A$64,$A220)=0),"Plot ID not in the Plot &amp; Site Log. ","")&amp;IF(AND(ISNUMBER($D220),ISNUMBER($E220),$E220&lt;=$D220),"Bottom depth is not below top depth. ","")&amp;IF($L220="Not confirmed","Bulk-density basis not confirmed with the lab — the coarse-fragment correction may be wrong or doubled. ","")&amp;IF(AND(ISNUMBER($M220),OR($M220&lt;QC_BD_MIN,$M220&gt;QC_BD_MAX)),"Bulk density outside the plausible range for a mineral grassland soil. ","")&amp;IF(AND(ISNUMBER($N220),$N220&gt;QC_CARBON_PCT_MAX),"Organic carbon above the QC ceiling — check units, and whether this is an organic horizon. ","")&amp;IF(AND(ISNUMBER($J220),$J220&lt;QC_RECOVERY_MIN),"Recovered less than the QC minimum of the depth driven — the increments may not sit where you think. Do NOT stretch them back out. ","")&amp;IF(AND(ISNUMBER($K220),$K220&gt;0,$L220="Fine earth / total volume"),"Coarse fragments recorded and the lab basis already accounts for them — no further correction applied, which is correct. ",""))</f>
        <v/>
      </c>
      <c r="T220" s="6" t="n"/>
      <c r="U220" s="9">
        <f>IF($B220="",0,IF(COUNTIFS($B$5:$B220,$B220)=1,1,0))</f>
        <v/>
      </c>
    </row>
    <row r="221">
      <c r="A221" s="6" t="n"/>
      <c r="B221" s="6" t="n"/>
      <c r="C221" s="6" t="n"/>
      <c r="D221" s="6" t="n"/>
      <c r="E221" s="6" t="n"/>
      <c r="F221" s="9">
        <f>IF(OR($D221="",$E221=""),"",$E221-$D221)</f>
        <v/>
      </c>
      <c r="G221" s="6" t="n"/>
      <c r="H221" s="6" t="n"/>
      <c r="I221" s="6" t="n"/>
      <c r="J221" s="9">
        <f>IF(OR(NOT(ISNUMBER($H221)),NOT(ISNUMBER($I221)),$H221=0),"",$I221/$H221)</f>
        <v/>
      </c>
      <c r="K221" s="6" t="n"/>
      <c r="L221" s="8" t="n"/>
      <c r="M221" s="7" t="n"/>
      <c r="N221" s="7" t="n"/>
      <c r="O221" s="9">
        <f>IF(NOT(ISNUMBER($M221)),"",IF($L221="Fine earth / fine-earth volume",$M221*(1-IF(ISNUMBER($K221),$K221,0)/100),$M221))</f>
        <v/>
      </c>
      <c r="P221" s="9">
        <f>IF(OR(NOT(ISNUMBER($O221)),NOT(ISNUMBER($N221)),NOT(ISNUMBER($F221))),"",$O221*($N221/100)*$F221*10)</f>
        <v/>
      </c>
      <c r="Q221" s="9">
        <f>IF(OR(NOT(ISNUMBER($D221)),NOT(ISNUMBER($E221))),"",MAX(0,MIN($E221,SOIL_REPORTING_DEPTH_CM)-MIN($D221,SOIL_REPORTING_DEPTH_CM)))</f>
        <v/>
      </c>
      <c r="R221" s="9">
        <f>IF(OR(NOT(ISNUMBER($O221)),NOT(ISNUMBER($N221)),NOT(ISNUMBER($Q221))),"",$O221*($N221/100)*$Q221*10)</f>
        <v/>
      </c>
      <c r="S221" s="11">
        <f>IF(AND($A221="",$B221="",$D221=""),"",IF(AND($A221&lt;&gt;"",COUNTIF('1. Plot &amp; Site Log'!$A$5:$A$64,$A221)=0),"Plot ID not in the Plot &amp; Site Log. ","")&amp;IF(AND(ISNUMBER($D221),ISNUMBER($E221),$E221&lt;=$D221),"Bottom depth is not below top depth. ","")&amp;IF($L221="Not confirmed","Bulk-density basis not confirmed with the lab — the coarse-fragment correction may be wrong or doubled. ","")&amp;IF(AND(ISNUMBER($M221),OR($M221&lt;QC_BD_MIN,$M221&gt;QC_BD_MAX)),"Bulk density outside the plausible range for a mineral grassland soil. ","")&amp;IF(AND(ISNUMBER($N221),$N221&gt;QC_CARBON_PCT_MAX),"Organic carbon above the QC ceiling — check units, and whether this is an organic horizon. ","")&amp;IF(AND(ISNUMBER($J221),$J221&lt;QC_RECOVERY_MIN),"Recovered less than the QC minimum of the depth driven — the increments may not sit where you think. Do NOT stretch them back out. ","")&amp;IF(AND(ISNUMBER($K221),$K221&gt;0,$L221="Fine earth / total volume"),"Coarse fragments recorded and the lab basis already accounts for them — no further correction applied, which is correct. ",""))</f>
        <v/>
      </c>
      <c r="T221" s="6" t="n"/>
      <c r="U221" s="9">
        <f>IF($B221="",0,IF(COUNTIFS($B$5:$B221,$B221)=1,1,0))</f>
        <v/>
      </c>
    </row>
    <row r="222">
      <c r="A222" s="6" t="n"/>
      <c r="B222" s="6" t="n"/>
      <c r="C222" s="6" t="n"/>
      <c r="D222" s="6" t="n"/>
      <c r="E222" s="6" t="n"/>
      <c r="F222" s="9">
        <f>IF(OR($D222="",$E222=""),"",$E222-$D222)</f>
        <v/>
      </c>
      <c r="G222" s="6" t="n"/>
      <c r="H222" s="6" t="n"/>
      <c r="I222" s="6" t="n"/>
      <c r="J222" s="9">
        <f>IF(OR(NOT(ISNUMBER($H222)),NOT(ISNUMBER($I222)),$H222=0),"",$I222/$H222)</f>
        <v/>
      </c>
      <c r="K222" s="6" t="n"/>
      <c r="L222" s="8" t="n"/>
      <c r="M222" s="7" t="n"/>
      <c r="N222" s="7" t="n"/>
      <c r="O222" s="9">
        <f>IF(NOT(ISNUMBER($M222)),"",IF($L222="Fine earth / fine-earth volume",$M222*(1-IF(ISNUMBER($K222),$K222,0)/100),$M222))</f>
        <v/>
      </c>
      <c r="P222" s="9">
        <f>IF(OR(NOT(ISNUMBER($O222)),NOT(ISNUMBER($N222)),NOT(ISNUMBER($F222))),"",$O222*($N222/100)*$F222*10)</f>
        <v/>
      </c>
      <c r="Q222" s="9">
        <f>IF(OR(NOT(ISNUMBER($D222)),NOT(ISNUMBER($E222))),"",MAX(0,MIN($E222,SOIL_REPORTING_DEPTH_CM)-MIN($D222,SOIL_REPORTING_DEPTH_CM)))</f>
        <v/>
      </c>
      <c r="R222" s="9">
        <f>IF(OR(NOT(ISNUMBER($O222)),NOT(ISNUMBER($N222)),NOT(ISNUMBER($Q222))),"",$O222*($N222/100)*$Q222*10)</f>
        <v/>
      </c>
      <c r="S222" s="11">
        <f>IF(AND($A222="",$B222="",$D222=""),"",IF(AND($A222&lt;&gt;"",COUNTIF('1. Plot &amp; Site Log'!$A$5:$A$64,$A222)=0),"Plot ID not in the Plot &amp; Site Log. ","")&amp;IF(AND(ISNUMBER($D222),ISNUMBER($E222),$E222&lt;=$D222),"Bottom depth is not below top depth. ","")&amp;IF($L222="Not confirmed","Bulk-density basis not confirmed with the lab — the coarse-fragment correction may be wrong or doubled. ","")&amp;IF(AND(ISNUMBER($M222),OR($M222&lt;QC_BD_MIN,$M222&gt;QC_BD_MAX)),"Bulk density outside the plausible range for a mineral grassland soil. ","")&amp;IF(AND(ISNUMBER($N222),$N222&gt;QC_CARBON_PCT_MAX),"Organic carbon above the QC ceiling — check units, and whether this is an organic horizon. ","")&amp;IF(AND(ISNUMBER($J222),$J222&lt;QC_RECOVERY_MIN),"Recovered less than the QC minimum of the depth driven — the increments may not sit where you think. Do NOT stretch them back out. ","")&amp;IF(AND(ISNUMBER($K222),$K222&gt;0,$L222="Fine earth / total volume"),"Coarse fragments recorded and the lab basis already accounts for them — no further correction applied, which is correct. ",""))</f>
        <v/>
      </c>
      <c r="T222" s="6" t="n"/>
      <c r="U222" s="9">
        <f>IF($B222="",0,IF(COUNTIFS($B$5:$B222,$B222)=1,1,0))</f>
        <v/>
      </c>
    </row>
    <row r="223">
      <c r="A223" s="6" t="n"/>
      <c r="B223" s="6" t="n"/>
      <c r="C223" s="6" t="n"/>
      <c r="D223" s="6" t="n"/>
      <c r="E223" s="6" t="n"/>
      <c r="F223" s="9">
        <f>IF(OR($D223="",$E223=""),"",$E223-$D223)</f>
        <v/>
      </c>
      <c r="G223" s="6" t="n"/>
      <c r="H223" s="6" t="n"/>
      <c r="I223" s="6" t="n"/>
      <c r="J223" s="9">
        <f>IF(OR(NOT(ISNUMBER($H223)),NOT(ISNUMBER($I223)),$H223=0),"",$I223/$H223)</f>
        <v/>
      </c>
      <c r="K223" s="6" t="n"/>
      <c r="L223" s="8" t="n"/>
      <c r="M223" s="7" t="n"/>
      <c r="N223" s="7" t="n"/>
      <c r="O223" s="9">
        <f>IF(NOT(ISNUMBER($M223)),"",IF($L223="Fine earth / fine-earth volume",$M223*(1-IF(ISNUMBER($K223),$K223,0)/100),$M223))</f>
        <v/>
      </c>
      <c r="P223" s="9">
        <f>IF(OR(NOT(ISNUMBER($O223)),NOT(ISNUMBER($N223)),NOT(ISNUMBER($F223))),"",$O223*($N223/100)*$F223*10)</f>
        <v/>
      </c>
      <c r="Q223" s="9">
        <f>IF(OR(NOT(ISNUMBER($D223)),NOT(ISNUMBER($E223))),"",MAX(0,MIN($E223,SOIL_REPORTING_DEPTH_CM)-MIN($D223,SOIL_REPORTING_DEPTH_CM)))</f>
        <v/>
      </c>
      <c r="R223" s="9">
        <f>IF(OR(NOT(ISNUMBER($O223)),NOT(ISNUMBER($N223)),NOT(ISNUMBER($Q223))),"",$O223*($N223/100)*$Q223*10)</f>
        <v/>
      </c>
      <c r="S223" s="11">
        <f>IF(AND($A223="",$B223="",$D223=""),"",IF(AND($A223&lt;&gt;"",COUNTIF('1. Plot &amp; Site Log'!$A$5:$A$64,$A223)=0),"Plot ID not in the Plot &amp; Site Log. ","")&amp;IF(AND(ISNUMBER($D223),ISNUMBER($E223),$E223&lt;=$D223),"Bottom depth is not below top depth. ","")&amp;IF($L223="Not confirmed","Bulk-density basis not confirmed with the lab — the coarse-fragment correction may be wrong or doubled. ","")&amp;IF(AND(ISNUMBER($M223),OR($M223&lt;QC_BD_MIN,$M223&gt;QC_BD_MAX)),"Bulk density outside the plausible range for a mineral grassland soil. ","")&amp;IF(AND(ISNUMBER($N223),$N223&gt;QC_CARBON_PCT_MAX),"Organic carbon above the QC ceiling — check units, and whether this is an organic horizon. ","")&amp;IF(AND(ISNUMBER($J223),$J223&lt;QC_RECOVERY_MIN),"Recovered less than the QC minimum of the depth driven — the increments may not sit where you think. Do NOT stretch them back out. ","")&amp;IF(AND(ISNUMBER($K223),$K223&gt;0,$L223="Fine earth / total volume"),"Coarse fragments recorded and the lab basis already accounts for them — no further correction applied, which is correct. ",""))</f>
        <v/>
      </c>
      <c r="T223" s="6" t="n"/>
      <c r="U223" s="9">
        <f>IF($B223="",0,IF(COUNTIFS($B$5:$B223,$B223)=1,1,0))</f>
        <v/>
      </c>
    </row>
    <row r="224">
      <c r="A224" s="6" t="n"/>
      <c r="B224" s="6" t="n"/>
      <c r="C224" s="6" t="n"/>
      <c r="D224" s="6" t="n"/>
      <c r="E224" s="6" t="n"/>
      <c r="F224" s="9">
        <f>IF(OR($D224="",$E224=""),"",$E224-$D224)</f>
        <v/>
      </c>
      <c r="G224" s="6" t="n"/>
      <c r="H224" s="6" t="n"/>
      <c r="I224" s="6" t="n"/>
      <c r="J224" s="9">
        <f>IF(OR(NOT(ISNUMBER($H224)),NOT(ISNUMBER($I224)),$H224=0),"",$I224/$H224)</f>
        <v/>
      </c>
      <c r="K224" s="6" t="n"/>
      <c r="L224" s="8" t="n"/>
      <c r="M224" s="7" t="n"/>
      <c r="N224" s="7" t="n"/>
      <c r="O224" s="9">
        <f>IF(NOT(ISNUMBER($M224)),"",IF($L224="Fine earth / fine-earth volume",$M224*(1-IF(ISNUMBER($K224),$K224,0)/100),$M224))</f>
        <v/>
      </c>
      <c r="P224" s="9">
        <f>IF(OR(NOT(ISNUMBER($O224)),NOT(ISNUMBER($N224)),NOT(ISNUMBER($F224))),"",$O224*($N224/100)*$F224*10)</f>
        <v/>
      </c>
      <c r="Q224" s="9">
        <f>IF(OR(NOT(ISNUMBER($D224)),NOT(ISNUMBER($E224))),"",MAX(0,MIN($E224,SOIL_REPORTING_DEPTH_CM)-MIN($D224,SOIL_REPORTING_DEPTH_CM)))</f>
        <v/>
      </c>
      <c r="R224" s="9">
        <f>IF(OR(NOT(ISNUMBER($O224)),NOT(ISNUMBER($N224)),NOT(ISNUMBER($Q224))),"",$O224*($N224/100)*$Q224*10)</f>
        <v/>
      </c>
      <c r="S224" s="11">
        <f>IF(AND($A224="",$B224="",$D224=""),"",IF(AND($A224&lt;&gt;"",COUNTIF('1. Plot &amp; Site Log'!$A$5:$A$64,$A224)=0),"Plot ID not in the Plot &amp; Site Log. ","")&amp;IF(AND(ISNUMBER($D224),ISNUMBER($E224),$E224&lt;=$D224),"Bottom depth is not below top depth. ","")&amp;IF($L224="Not confirmed","Bulk-density basis not confirmed with the lab — the coarse-fragment correction may be wrong or doubled. ","")&amp;IF(AND(ISNUMBER($M224),OR($M224&lt;QC_BD_MIN,$M224&gt;QC_BD_MAX)),"Bulk density outside the plausible range for a mineral grassland soil. ","")&amp;IF(AND(ISNUMBER($N224),$N224&gt;QC_CARBON_PCT_MAX),"Organic carbon above the QC ceiling — check units, and whether this is an organic horizon. ","")&amp;IF(AND(ISNUMBER($J224),$J224&lt;QC_RECOVERY_MIN),"Recovered less than the QC minimum of the depth driven — the increments may not sit where you think. Do NOT stretch them back out. ","")&amp;IF(AND(ISNUMBER($K224),$K224&gt;0,$L224="Fine earth / total volume"),"Coarse fragments recorded and the lab basis already accounts for them — no further correction applied, which is correct. ",""))</f>
        <v/>
      </c>
      <c r="T224" s="6" t="n"/>
      <c r="U224" s="9">
        <f>IF($B224="",0,IF(COUNTIFS($B$5:$B224,$B224)=1,1,0))</f>
        <v/>
      </c>
    </row>
    <row r="225">
      <c r="A225" s="6" t="n"/>
      <c r="B225" s="6" t="n"/>
      <c r="C225" s="6" t="n"/>
      <c r="D225" s="6" t="n"/>
      <c r="E225" s="6" t="n"/>
      <c r="F225" s="9">
        <f>IF(OR($D225="",$E225=""),"",$E225-$D225)</f>
        <v/>
      </c>
      <c r="G225" s="6" t="n"/>
      <c r="H225" s="6" t="n"/>
      <c r="I225" s="6" t="n"/>
      <c r="J225" s="9">
        <f>IF(OR(NOT(ISNUMBER($H225)),NOT(ISNUMBER($I225)),$H225=0),"",$I225/$H225)</f>
        <v/>
      </c>
      <c r="K225" s="6" t="n"/>
      <c r="L225" s="8" t="n"/>
      <c r="M225" s="7" t="n"/>
      <c r="N225" s="7" t="n"/>
      <c r="O225" s="9">
        <f>IF(NOT(ISNUMBER($M225)),"",IF($L225="Fine earth / fine-earth volume",$M225*(1-IF(ISNUMBER($K225),$K225,0)/100),$M225))</f>
        <v/>
      </c>
      <c r="P225" s="9">
        <f>IF(OR(NOT(ISNUMBER($O225)),NOT(ISNUMBER($N225)),NOT(ISNUMBER($F225))),"",$O225*($N225/100)*$F225*10)</f>
        <v/>
      </c>
      <c r="Q225" s="9">
        <f>IF(OR(NOT(ISNUMBER($D225)),NOT(ISNUMBER($E225))),"",MAX(0,MIN($E225,SOIL_REPORTING_DEPTH_CM)-MIN($D225,SOIL_REPORTING_DEPTH_CM)))</f>
        <v/>
      </c>
      <c r="R225" s="9">
        <f>IF(OR(NOT(ISNUMBER($O225)),NOT(ISNUMBER($N225)),NOT(ISNUMBER($Q225))),"",$O225*($N225/100)*$Q225*10)</f>
        <v/>
      </c>
      <c r="S225" s="11">
        <f>IF(AND($A225="",$B225="",$D225=""),"",IF(AND($A225&lt;&gt;"",COUNTIF('1. Plot &amp; Site Log'!$A$5:$A$64,$A225)=0),"Plot ID not in the Plot &amp; Site Log. ","")&amp;IF(AND(ISNUMBER($D225),ISNUMBER($E225),$E225&lt;=$D225),"Bottom depth is not below top depth. ","")&amp;IF($L225="Not confirmed","Bulk-density basis not confirmed with the lab — the coarse-fragment correction may be wrong or doubled. ","")&amp;IF(AND(ISNUMBER($M225),OR($M225&lt;QC_BD_MIN,$M225&gt;QC_BD_MAX)),"Bulk density outside the plausible range for a mineral grassland soil. ","")&amp;IF(AND(ISNUMBER($N225),$N225&gt;QC_CARBON_PCT_MAX),"Organic carbon above the QC ceiling — check units, and whether this is an organic horizon. ","")&amp;IF(AND(ISNUMBER($J225),$J225&lt;QC_RECOVERY_MIN),"Recovered less than the QC minimum of the depth driven — the increments may not sit where you think. Do NOT stretch them back out. ","")&amp;IF(AND(ISNUMBER($K225),$K225&gt;0,$L225="Fine earth / total volume"),"Coarse fragments recorded and the lab basis already accounts for them — no further correction applied, which is correct. ",""))</f>
        <v/>
      </c>
      <c r="T225" s="6" t="n"/>
      <c r="U225" s="9">
        <f>IF($B225="",0,IF(COUNTIFS($B$5:$B225,$B225)=1,1,0))</f>
        <v/>
      </c>
    </row>
    <row r="226">
      <c r="A226" s="6" t="n"/>
      <c r="B226" s="6" t="n"/>
      <c r="C226" s="6" t="n"/>
      <c r="D226" s="6" t="n"/>
      <c r="E226" s="6" t="n"/>
      <c r="F226" s="9">
        <f>IF(OR($D226="",$E226=""),"",$E226-$D226)</f>
        <v/>
      </c>
      <c r="G226" s="6" t="n"/>
      <c r="H226" s="6" t="n"/>
      <c r="I226" s="6" t="n"/>
      <c r="J226" s="9">
        <f>IF(OR(NOT(ISNUMBER($H226)),NOT(ISNUMBER($I226)),$H226=0),"",$I226/$H226)</f>
        <v/>
      </c>
      <c r="K226" s="6" t="n"/>
      <c r="L226" s="8" t="n"/>
      <c r="M226" s="7" t="n"/>
      <c r="N226" s="7" t="n"/>
      <c r="O226" s="9">
        <f>IF(NOT(ISNUMBER($M226)),"",IF($L226="Fine earth / fine-earth volume",$M226*(1-IF(ISNUMBER($K226),$K226,0)/100),$M226))</f>
        <v/>
      </c>
      <c r="P226" s="9">
        <f>IF(OR(NOT(ISNUMBER($O226)),NOT(ISNUMBER($N226)),NOT(ISNUMBER($F226))),"",$O226*($N226/100)*$F226*10)</f>
        <v/>
      </c>
      <c r="Q226" s="9">
        <f>IF(OR(NOT(ISNUMBER($D226)),NOT(ISNUMBER($E226))),"",MAX(0,MIN($E226,SOIL_REPORTING_DEPTH_CM)-MIN($D226,SOIL_REPORTING_DEPTH_CM)))</f>
        <v/>
      </c>
      <c r="R226" s="9">
        <f>IF(OR(NOT(ISNUMBER($O226)),NOT(ISNUMBER($N226)),NOT(ISNUMBER($Q226))),"",$O226*($N226/100)*$Q226*10)</f>
        <v/>
      </c>
      <c r="S226" s="11">
        <f>IF(AND($A226="",$B226="",$D226=""),"",IF(AND($A226&lt;&gt;"",COUNTIF('1. Plot &amp; Site Log'!$A$5:$A$64,$A226)=0),"Plot ID not in the Plot &amp; Site Log. ","")&amp;IF(AND(ISNUMBER($D226),ISNUMBER($E226),$E226&lt;=$D226),"Bottom depth is not below top depth. ","")&amp;IF($L226="Not confirmed","Bulk-density basis not confirmed with the lab — the coarse-fragment correction may be wrong or doubled. ","")&amp;IF(AND(ISNUMBER($M226),OR($M226&lt;QC_BD_MIN,$M226&gt;QC_BD_MAX)),"Bulk density outside the plausible range for a mineral grassland soil. ","")&amp;IF(AND(ISNUMBER($N226),$N226&gt;QC_CARBON_PCT_MAX),"Organic carbon above the QC ceiling — check units, and whether this is an organic horizon. ","")&amp;IF(AND(ISNUMBER($J226),$J226&lt;QC_RECOVERY_MIN),"Recovered less than the QC minimum of the depth driven — the increments may not sit where you think. Do NOT stretch them back out. ","")&amp;IF(AND(ISNUMBER($K226),$K226&gt;0,$L226="Fine earth / total volume"),"Coarse fragments recorded and the lab basis already accounts for them — no further correction applied, which is correct. ",""))</f>
        <v/>
      </c>
      <c r="T226" s="6" t="n"/>
      <c r="U226" s="9">
        <f>IF($B226="",0,IF(COUNTIFS($B$5:$B226,$B226)=1,1,0))</f>
        <v/>
      </c>
    </row>
    <row r="227">
      <c r="A227" s="6" t="n"/>
      <c r="B227" s="6" t="n"/>
      <c r="C227" s="6" t="n"/>
      <c r="D227" s="6" t="n"/>
      <c r="E227" s="6" t="n"/>
      <c r="F227" s="9">
        <f>IF(OR($D227="",$E227=""),"",$E227-$D227)</f>
        <v/>
      </c>
      <c r="G227" s="6" t="n"/>
      <c r="H227" s="6" t="n"/>
      <c r="I227" s="6" t="n"/>
      <c r="J227" s="9">
        <f>IF(OR(NOT(ISNUMBER($H227)),NOT(ISNUMBER($I227)),$H227=0),"",$I227/$H227)</f>
        <v/>
      </c>
      <c r="K227" s="6" t="n"/>
      <c r="L227" s="8" t="n"/>
      <c r="M227" s="7" t="n"/>
      <c r="N227" s="7" t="n"/>
      <c r="O227" s="9">
        <f>IF(NOT(ISNUMBER($M227)),"",IF($L227="Fine earth / fine-earth volume",$M227*(1-IF(ISNUMBER($K227),$K227,0)/100),$M227))</f>
        <v/>
      </c>
      <c r="P227" s="9">
        <f>IF(OR(NOT(ISNUMBER($O227)),NOT(ISNUMBER($N227)),NOT(ISNUMBER($F227))),"",$O227*($N227/100)*$F227*10)</f>
        <v/>
      </c>
      <c r="Q227" s="9">
        <f>IF(OR(NOT(ISNUMBER($D227)),NOT(ISNUMBER($E227))),"",MAX(0,MIN($E227,SOIL_REPORTING_DEPTH_CM)-MIN($D227,SOIL_REPORTING_DEPTH_CM)))</f>
        <v/>
      </c>
      <c r="R227" s="9">
        <f>IF(OR(NOT(ISNUMBER($O227)),NOT(ISNUMBER($N227)),NOT(ISNUMBER($Q227))),"",$O227*($N227/100)*$Q227*10)</f>
        <v/>
      </c>
      <c r="S227" s="11">
        <f>IF(AND($A227="",$B227="",$D227=""),"",IF(AND($A227&lt;&gt;"",COUNTIF('1. Plot &amp; Site Log'!$A$5:$A$64,$A227)=0),"Plot ID not in the Plot &amp; Site Log. ","")&amp;IF(AND(ISNUMBER($D227),ISNUMBER($E227),$E227&lt;=$D227),"Bottom depth is not below top depth. ","")&amp;IF($L227="Not confirmed","Bulk-density basis not confirmed with the lab — the coarse-fragment correction may be wrong or doubled. ","")&amp;IF(AND(ISNUMBER($M227),OR($M227&lt;QC_BD_MIN,$M227&gt;QC_BD_MAX)),"Bulk density outside the plausible range for a mineral grassland soil. ","")&amp;IF(AND(ISNUMBER($N227),$N227&gt;QC_CARBON_PCT_MAX),"Organic carbon above the QC ceiling — check units, and whether this is an organic horizon. ","")&amp;IF(AND(ISNUMBER($J227),$J227&lt;QC_RECOVERY_MIN),"Recovered less than the QC minimum of the depth driven — the increments may not sit where you think. Do NOT stretch them back out. ","")&amp;IF(AND(ISNUMBER($K227),$K227&gt;0,$L227="Fine earth / total volume"),"Coarse fragments recorded and the lab basis already accounts for them — no further correction applied, which is correct. ",""))</f>
        <v/>
      </c>
      <c r="T227" s="6" t="n"/>
      <c r="U227" s="9">
        <f>IF($B227="",0,IF(COUNTIFS($B$5:$B227,$B227)=1,1,0))</f>
        <v/>
      </c>
    </row>
    <row r="228">
      <c r="A228" s="6" t="n"/>
      <c r="B228" s="6" t="n"/>
      <c r="C228" s="6" t="n"/>
      <c r="D228" s="6" t="n"/>
      <c r="E228" s="6" t="n"/>
      <c r="F228" s="9">
        <f>IF(OR($D228="",$E228=""),"",$E228-$D228)</f>
        <v/>
      </c>
      <c r="G228" s="6" t="n"/>
      <c r="H228" s="6" t="n"/>
      <c r="I228" s="6" t="n"/>
      <c r="J228" s="9">
        <f>IF(OR(NOT(ISNUMBER($H228)),NOT(ISNUMBER($I228)),$H228=0),"",$I228/$H228)</f>
        <v/>
      </c>
      <c r="K228" s="6" t="n"/>
      <c r="L228" s="8" t="n"/>
      <c r="M228" s="7" t="n"/>
      <c r="N228" s="7" t="n"/>
      <c r="O228" s="9">
        <f>IF(NOT(ISNUMBER($M228)),"",IF($L228="Fine earth / fine-earth volume",$M228*(1-IF(ISNUMBER($K228),$K228,0)/100),$M228))</f>
        <v/>
      </c>
      <c r="P228" s="9">
        <f>IF(OR(NOT(ISNUMBER($O228)),NOT(ISNUMBER($N228)),NOT(ISNUMBER($F228))),"",$O228*($N228/100)*$F228*10)</f>
        <v/>
      </c>
      <c r="Q228" s="9">
        <f>IF(OR(NOT(ISNUMBER($D228)),NOT(ISNUMBER($E228))),"",MAX(0,MIN($E228,SOIL_REPORTING_DEPTH_CM)-MIN($D228,SOIL_REPORTING_DEPTH_CM)))</f>
        <v/>
      </c>
      <c r="R228" s="9">
        <f>IF(OR(NOT(ISNUMBER($O228)),NOT(ISNUMBER($N228)),NOT(ISNUMBER($Q228))),"",$O228*($N228/100)*$Q228*10)</f>
        <v/>
      </c>
      <c r="S228" s="11">
        <f>IF(AND($A228="",$B228="",$D228=""),"",IF(AND($A228&lt;&gt;"",COUNTIF('1. Plot &amp; Site Log'!$A$5:$A$64,$A228)=0),"Plot ID not in the Plot &amp; Site Log. ","")&amp;IF(AND(ISNUMBER($D228),ISNUMBER($E228),$E228&lt;=$D228),"Bottom depth is not below top depth. ","")&amp;IF($L228="Not confirmed","Bulk-density basis not confirmed with the lab — the coarse-fragment correction may be wrong or doubled. ","")&amp;IF(AND(ISNUMBER($M228),OR($M228&lt;QC_BD_MIN,$M228&gt;QC_BD_MAX)),"Bulk density outside the plausible range for a mineral grassland soil. ","")&amp;IF(AND(ISNUMBER($N228),$N228&gt;QC_CARBON_PCT_MAX),"Organic carbon above the QC ceiling — check units, and whether this is an organic horizon. ","")&amp;IF(AND(ISNUMBER($J228),$J228&lt;QC_RECOVERY_MIN),"Recovered less than the QC minimum of the depth driven — the increments may not sit where you think. Do NOT stretch them back out. ","")&amp;IF(AND(ISNUMBER($K228),$K228&gt;0,$L228="Fine earth / total volume"),"Coarse fragments recorded and the lab basis already accounts for them — no further correction applied, which is correct. ",""))</f>
        <v/>
      </c>
      <c r="T228" s="6" t="n"/>
      <c r="U228" s="9">
        <f>IF($B228="",0,IF(COUNTIFS($B$5:$B228,$B228)=1,1,0))</f>
        <v/>
      </c>
    </row>
    <row r="229">
      <c r="A229" s="6" t="n"/>
      <c r="B229" s="6" t="n"/>
      <c r="C229" s="6" t="n"/>
      <c r="D229" s="6" t="n"/>
      <c r="E229" s="6" t="n"/>
      <c r="F229" s="9">
        <f>IF(OR($D229="",$E229=""),"",$E229-$D229)</f>
        <v/>
      </c>
      <c r="G229" s="6" t="n"/>
      <c r="H229" s="6" t="n"/>
      <c r="I229" s="6" t="n"/>
      <c r="J229" s="9">
        <f>IF(OR(NOT(ISNUMBER($H229)),NOT(ISNUMBER($I229)),$H229=0),"",$I229/$H229)</f>
        <v/>
      </c>
      <c r="K229" s="6" t="n"/>
      <c r="L229" s="8" t="n"/>
      <c r="M229" s="7" t="n"/>
      <c r="N229" s="7" t="n"/>
      <c r="O229" s="9">
        <f>IF(NOT(ISNUMBER($M229)),"",IF($L229="Fine earth / fine-earth volume",$M229*(1-IF(ISNUMBER($K229),$K229,0)/100),$M229))</f>
        <v/>
      </c>
      <c r="P229" s="9">
        <f>IF(OR(NOT(ISNUMBER($O229)),NOT(ISNUMBER($N229)),NOT(ISNUMBER($F229))),"",$O229*($N229/100)*$F229*10)</f>
        <v/>
      </c>
      <c r="Q229" s="9">
        <f>IF(OR(NOT(ISNUMBER($D229)),NOT(ISNUMBER($E229))),"",MAX(0,MIN($E229,SOIL_REPORTING_DEPTH_CM)-MIN($D229,SOIL_REPORTING_DEPTH_CM)))</f>
        <v/>
      </c>
      <c r="R229" s="9">
        <f>IF(OR(NOT(ISNUMBER($O229)),NOT(ISNUMBER($N229)),NOT(ISNUMBER($Q229))),"",$O229*($N229/100)*$Q229*10)</f>
        <v/>
      </c>
      <c r="S229" s="11">
        <f>IF(AND($A229="",$B229="",$D229=""),"",IF(AND($A229&lt;&gt;"",COUNTIF('1. Plot &amp; Site Log'!$A$5:$A$64,$A229)=0),"Plot ID not in the Plot &amp; Site Log. ","")&amp;IF(AND(ISNUMBER($D229),ISNUMBER($E229),$E229&lt;=$D229),"Bottom depth is not below top depth. ","")&amp;IF($L229="Not confirmed","Bulk-density basis not confirmed with the lab — the coarse-fragment correction may be wrong or doubled. ","")&amp;IF(AND(ISNUMBER($M229),OR($M229&lt;QC_BD_MIN,$M229&gt;QC_BD_MAX)),"Bulk density outside the plausible range for a mineral grassland soil. ","")&amp;IF(AND(ISNUMBER($N229),$N229&gt;QC_CARBON_PCT_MAX),"Organic carbon above the QC ceiling — check units, and whether this is an organic horizon. ","")&amp;IF(AND(ISNUMBER($J229),$J229&lt;QC_RECOVERY_MIN),"Recovered less than the QC minimum of the depth driven — the increments may not sit where you think. Do NOT stretch them back out. ","")&amp;IF(AND(ISNUMBER($K229),$K229&gt;0,$L229="Fine earth / total volume"),"Coarse fragments recorded and the lab basis already accounts for them — no further correction applied, which is correct. ",""))</f>
        <v/>
      </c>
      <c r="T229" s="6" t="n"/>
      <c r="U229" s="9">
        <f>IF($B229="",0,IF(COUNTIFS($B$5:$B229,$B229)=1,1,0))</f>
        <v/>
      </c>
    </row>
    <row r="230">
      <c r="A230" s="6" t="n"/>
      <c r="B230" s="6" t="n"/>
      <c r="C230" s="6" t="n"/>
      <c r="D230" s="6" t="n"/>
      <c r="E230" s="6" t="n"/>
      <c r="F230" s="9">
        <f>IF(OR($D230="",$E230=""),"",$E230-$D230)</f>
        <v/>
      </c>
      <c r="G230" s="6" t="n"/>
      <c r="H230" s="6" t="n"/>
      <c r="I230" s="6" t="n"/>
      <c r="J230" s="9">
        <f>IF(OR(NOT(ISNUMBER($H230)),NOT(ISNUMBER($I230)),$H230=0),"",$I230/$H230)</f>
        <v/>
      </c>
      <c r="K230" s="6" t="n"/>
      <c r="L230" s="8" t="n"/>
      <c r="M230" s="7" t="n"/>
      <c r="N230" s="7" t="n"/>
      <c r="O230" s="9">
        <f>IF(NOT(ISNUMBER($M230)),"",IF($L230="Fine earth / fine-earth volume",$M230*(1-IF(ISNUMBER($K230),$K230,0)/100),$M230))</f>
        <v/>
      </c>
      <c r="P230" s="9">
        <f>IF(OR(NOT(ISNUMBER($O230)),NOT(ISNUMBER($N230)),NOT(ISNUMBER($F230))),"",$O230*($N230/100)*$F230*10)</f>
        <v/>
      </c>
      <c r="Q230" s="9">
        <f>IF(OR(NOT(ISNUMBER($D230)),NOT(ISNUMBER($E230))),"",MAX(0,MIN($E230,SOIL_REPORTING_DEPTH_CM)-MIN($D230,SOIL_REPORTING_DEPTH_CM)))</f>
        <v/>
      </c>
      <c r="R230" s="9">
        <f>IF(OR(NOT(ISNUMBER($O230)),NOT(ISNUMBER($N230)),NOT(ISNUMBER($Q230))),"",$O230*($N230/100)*$Q230*10)</f>
        <v/>
      </c>
      <c r="S230" s="11">
        <f>IF(AND($A230="",$B230="",$D230=""),"",IF(AND($A230&lt;&gt;"",COUNTIF('1. Plot &amp; Site Log'!$A$5:$A$64,$A230)=0),"Plot ID not in the Plot &amp; Site Log. ","")&amp;IF(AND(ISNUMBER($D230),ISNUMBER($E230),$E230&lt;=$D230),"Bottom depth is not below top depth. ","")&amp;IF($L230="Not confirmed","Bulk-density basis not confirmed with the lab — the coarse-fragment correction may be wrong or doubled. ","")&amp;IF(AND(ISNUMBER($M230),OR($M230&lt;QC_BD_MIN,$M230&gt;QC_BD_MAX)),"Bulk density outside the plausible range for a mineral grassland soil. ","")&amp;IF(AND(ISNUMBER($N230),$N230&gt;QC_CARBON_PCT_MAX),"Organic carbon above the QC ceiling — check units, and whether this is an organic horizon. ","")&amp;IF(AND(ISNUMBER($J230),$J230&lt;QC_RECOVERY_MIN),"Recovered less than the QC minimum of the depth driven — the increments may not sit where you think. Do NOT stretch them back out. ","")&amp;IF(AND(ISNUMBER($K230),$K230&gt;0,$L230="Fine earth / total volume"),"Coarse fragments recorded and the lab basis already accounts for them — no further correction applied, which is correct. ",""))</f>
        <v/>
      </c>
      <c r="T230" s="6" t="n"/>
      <c r="U230" s="9">
        <f>IF($B230="",0,IF(COUNTIFS($B$5:$B230,$B230)=1,1,0))</f>
        <v/>
      </c>
    </row>
    <row r="231">
      <c r="A231" s="6" t="n"/>
      <c r="B231" s="6" t="n"/>
      <c r="C231" s="6" t="n"/>
      <c r="D231" s="6" t="n"/>
      <c r="E231" s="6" t="n"/>
      <c r="F231" s="9">
        <f>IF(OR($D231="",$E231=""),"",$E231-$D231)</f>
        <v/>
      </c>
      <c r="G231" s="6" t="n"/>
      <c r="H231" s="6" t="n"/>
      <c r="I231" s="6" t="n"/>
      <c r="J231" s="9">
        <f>IF(OR(NOT(ISNUMBER($H231)),NOT(ISNUMBER($I231)),$H231=0),"",$I231/$H231)</f>
        <v/>
      </c>
      <c r="K231" s="6" t="n"/>
      <c r="L231" s="8" t="n"/>
      <c r="M231" s="7" t="n"/>
      <c r="N231" s="7" t="n"/>
      <c r="O231" s="9">
        <f>IF(NOT(ISNUMBER($M231)),"",IF($L231="Fine earth / fine-earth volume",$M231*(1-IF(ISNUMBER($K231),$K231,0)/100),$M231))</f>
        <v/>
      </c>
      <c r="P231" s="9">
        <f>IF(OR(NOT(ISNUMBER($O231)),NOT(ISNUMBER($N231)),NOT(ISNUMBER($F231))),"",$O231*($N231/100)*$F231*10)</f>
        <v/>
      </c>
      <c r="Q231" s="9">
        <f>IF(OR(NOT(ISNUMBER($D231)),NOT(ISNUMBER($E231))),"",MAX(0,MIN($E231,SOIL_REPORTING_DEPTH_CM)-MIN($D231,SOIL_REPORTING_DEPTH_CM)))</f>
        <v/>
      </c>
      <c r="R231" s="9">
        <f>IF(OR(NOT(ISNUMBER($O231)),NOT(ISNUMBER($N231)),NOT(ISNUMBER($Q231))),"",$O231*($N231/100)*$Q231*10)</f>
        <v/>
      </c>
      <c r="S231" s="11">
        <f>IF(AND($A231="",$B231="",$D231=""),"",IF(AND($A231&lt;&gt;"",COUNTIF('1. Plot &amp; Site Log'!$A$5:$A$64,$A231)=0),"Plot ID not in the Plot &amp; Site Log. ","")&amp;IF(AND(ISNUMBER($D231),ISNUMBER($E231),$E231&lt;=$D231),"Bottom depth is not below top depth. ","")&amp;IF($L231="Not confirmed","Bulk-density basis not confirmed with the lab — the coarse-fragment correction may be wrong or doubled. ","")&amp;IF(AND(ISNUMBER($M231),OR($M231&lt;QC_BD_MIN,$M231&gt;QC_BD_MAX)),"Bulk density outside the plausible range for a mineral grassland soil. ","")&amp;IF(AND(ISNUMBER($N231),$N231&gt;QC_CARBON_PCT_MAX),"Organic carbon above the QC ceiling — check units, and whether this is an organic horizon. ","")&amp;IF(AND(ISNUMBER($J231),$J231&lt;QC_RECOVERY_MIN),"Recovered less than the QC minimum of the depth driven — the increments may not sit where you think. Do NOT stretch them back out. ","")&amp;IF(AND(ISNUMBER($K231),$K231&gt;0,$L231="Fine earth / total volume"),"Coarse fragments recorded and the lab basis already accounts for them — no further correction applied, which is correct. ",""))</f>
        <v/>
      </c>
      <c r="T231" s="6" t="n"/>
      <c r="U231" s="9">
        <f>IF($B231="",0,IF(COUNTIFS($B$5:$B231,$B231)=1,1,0))</f>
        <v/>
      </c>
    </row>
    <row r="232">
      <c r="A232" s="6" t="n"/>
      <c r="B232" s="6" t="n"/>
      <c r="C232" s="6" t="n"/>
      <c r="D232" s="6" t="n"/>
      <c r="E232" s="6" t="n"/>
      <c r="F232" s="9">
        <f>IF(OR($D232="",$E232=""),"",$E232-$D232)</f>
        <v/>
      </c>
      <c r="G232" s="6" t="n"/>
      <c r="H232" s="6" t="n"/>
      <c r="I232" s="6" t="n"/>
      <c r="J232" s="9">
        <f>IF(OR(NOT(ISNUMBER($H232)),NOT(ISNUMBER($I232)),$H232=0),"",$I232/$H232)</f>
        <v/>
      </c>
      <c r="K232" s="6" t="n"/>
      <c r="L232" s="8" t="n"/>
      <c r="M232" s="7" t="n"/>
      <c r="N232" s="7" t="n"/>
      <c r="O232" s="9">
        <f>IF(NOT(ISNUMBER($M232)),"",IF($L232="Fine earth / fine-earth volume",$M232*(1-IF(ISNUMBER($K232),$K232,0)/100),$M232))</f>
        <v/>
      </c>
      <c r="P232" s="9">
        <f>IF(OR(NOT(ISNUMBER($O232)),NOT(ISNUMBER($N232)),NOT(ISNUMBER($F232))),"",$O232*($N232/100)*$F232*10)</f>
        <v/>
      </c>
      <c r="Q232" s="9">
        <f>IF(OR(NOT(ISNUMBER($D232)),NOT(ISNUMBER($E232))),"",MAX(0,MIN($E232,SOIL_REPORTING_DEPTH_CM)-MIN($D232,SOIL_REPORTING_DEPTH_CM)))</f>
        <v/>
      </c>
      <c r="R232" s="9">
        <f>IF(OR(NOT(ISNUMBER($O232)),NOT(ISNUMBER($N232)),NOT(ISNUMBER($Q232))),"",$O232*($N232/100)*$Q232*10)</f>
        <v/>
      </c>
      <c r="S232" s="11">
        <f>IF(AND($A232="",$B232="",$D232=""),"",IF(AND($A232&lt;&gt;"",COUNTIF('1. Plot &amp; Site Log'!$A$5:$A$64,$A232)=0),"Plot ID not in the Plot &amp; Site Log. ","")&amp;IF(AND(ISNUMBER($D232),ISNUMBER($E232),$E232&lt;=$D232),"Bottom depth is not below top depth. ","")&amp;IF($L232="Not confirmed","Bulk-density basis not confirmed with the lab — the coarse-fragment correction may be wrong or doubled. ","")&amp;IF(AND(ISNUMBER($M232),OR($M232&lt;QC_BD_MIN,$M232&gt;QC_BD_MAX)),"Bulk density outside the plausible range for a mineral grassland soil. ","")&amp;IF(AND(ISNUMBER($N232),$N232&gt;QC_CARBON_PCT_MAX),"Organic carbon above the QC ceiling — check units, and whether this is an organic horizon. ","")&amp;IF(AND(ISNUMBER($J232),$J232&lt;QC_RECOVERY_MIN),"Recovered less than the QC minimum of the depth driven — the increments may not sit where you think. Do NOT stretch them back out. ","")&amp;IF(AND(ISNUMBER($K232),$K232&gt;0,$L232="Fine earth / total volume"),"Coarse fragments recorded and the lab basis already accounts for them — no further correction applied, which is correct. ",""))</f>
        <v/>
      </c>
      <c r="T232" s="6" t="n"/>
      <c r="U232" s="9">
        <f>IF($B232="",0,IF(COUNTIFS($B$5:$B232,$B232)=1,1,0))</f>
        <v/>
      </c>
    </row>
    <row r="233">
      <c r="A233" s="6" t="n"/>
      <c r="B233" s="6" t="n"/>
      <c r="C233" s="6" t="n"/>
      <c r="D233" s="6" t="n"/>
      <c r="E233" s="6" t="n"/>
      <c r="F233" s="9">
        <f>IF(OR($D233="",$E233=""),"",$E233-$D233)</f>
        <v/>
      </c>
      <c r="G233" s="6" t="n"/>
      <c r="H233" s="6" t="n"/>
      <c r="I233" s="6" t="n"/>
      <c r="J233" s="9">
        <f>IF(OR(NOT(ISNUMBER($H233)),NOT(ISNUMBER($I233)),$H233=0),"",$I233/$H233)</f>
        <v/>
      </c>
      <c r="K233" s="6" t="n"/>
      <c r="L233" s="8" t="n"/>
      <c r="M233" s="7" t="n"/>
      <c r="N233" s="7" t="n"/>
      <c r="O233" s="9">
        <f>IF(NOT(ISNUMBER($M233)),"",IF($L233="Fine earth / fine-earth volume",$M233*(1-IF(ISNUMBER($K233),$K233,0)/100),$M233))</f>
        <v/>
      </c>
      <c r="P233" s="9">
        <f>IF(OR(NOT(ISNUMBER($O233)),NOT(ISNUMBER($N233)),NOT(ISNUMBER($F233))),"",$O233*($N233/100)*$F233*10)</f>
        <v/>
      </c>
      <c r="Q233" s="9">
        <f>IF(OR(NOT(ISNUMBER($D233)),NOT(ISNUMBER($E233))),"",MAX(0,MIN($E233,SOIL_REPORTING_DEPTH_CM)-MIN($D233,SOIL_REPORTING_DEPTH_CM)))</f>
        <v/>
      </c>
      <c r="R233" s="9">
        <f>IF(OR(NOT(ISNUMBER($O233)),NOT(ISNUMBER($N233)),NOT(ISNUMBER($Q233))),"",$O233*($N233/100)*$Q233*10)</f>
        <v/>
      </c>
      <c r="S233" s="11">
        <f>IF(AND($A233="",$B233="",$D233=""),"",IF(AND($A233&lt;&gt;"",COUNTIF('1. Plot &amp; Site Log'!$A$5:$A$64,$A233)=0),"Plot ID not in the Plot &amp; Site Log. ","")&amp;IF(AND(ISNUMBER($D233),ISNUMBER($E233),$E233&lt;=$D233),"Bottom depth is not below top depth. ","")&amp;IF($L233="Not confirmed","Bulk-density basis not confirmed with the lab — the coarse-fragment correction may be wrong or doubled. ","")&amp;IF(AND(ISNUMBER($M233),OR($M233&lt;QC_BD_MIN,$M233&gt;QC_BD_MAX)),"Bulk density outside the plausible range for a mineral grassland soil. ","")&amp;IF(AND(ISNUMBER($N233),$N233&gt;QC_CARBON_PCT_MAX),"Organic carbon above the QC ceiling — check units, and whether this is an organic horizon. ","")&amp;IF(AND(ISNUMBER($J233),$J233&lt;QC_RECOVERY_MIN),"Recovered less than the QC minimum of the depth driven — the increments may not sit where you think. Do NOT stretch them back out. ","")&amp;IF(AND(ISNUMBER($K233),$K233&gt;0,$L233="Fine earth / total volume"),"Coarse fragments recorded and the lab basis already accounts for them — no further correction applied, which is correct. ",""))</f>
        <v/>
      </c>
      <c r="T233" s="6" t="n"/>
      <c r="U233" s="9">
        <f>IF($B233="",0,IF(COUNTIFS($B$5:$B233,$B233)=1,1,0))</f>
        <v/>
      </c>
    </row>
    <row r="234">
      <c r="A234" s="6" t="n"/>
      <c r="B234" s="6" t="n"/>
      <c r="C234" s="6" t="n"/>
      <c r="D234" s="6" t="n"/>
      <c r="E234" s="6" t="n"/>
      <c r="F234" s="9">
        <f>IF(OR($D234="",$E234=""),"",$E234-$D234)</f>
        <v/>
      </c>
      <c r="G234" s="6" t="n"/>
      <c r="H234" s="6" t="n"/>
      <c r="I234" s="6" t="n"/>
      <c r="J234" s="9">
        <f>IF(OR(NOT(ISNUMBER($H234)),NOT(ISNUMBER($I234)),$H234=0),"",$I234/$H234)</f>
        <v/>
      </c>
      <c r="K234" s="6" t="n"/>
      <c r="L234" s="8" t="n"/>
      <c r="M234" s="7" t="n"/>
      <c r="N234" s="7" t="n"/>
      <c r="O234" s="9">
        <f>IF(NOT(ISNUMBER($M234)),"",IF($L234="Fine earth / fine-earth volume",$M234*(1-IF(ISNUMBER($K234),$K234,0)/100),$M234))</f>
        <v/>
      </c>
      <c r="P234" s="9">
        <f>IF(OR(NOT(ISNUMBER($O234)),NOT(ISNUMBER($N234)),NOT(ISNUMBER($F234))),"",$O234*($N234/100)*$F234*10)</f>
        <v/>
      </c>
      <c r="Q234" s="9">
        <f>IF(OR(NOT(ISNUMBER($D234)),NOT(ISNUMBER($E234))),"",MAX(0,MIN($E234,SOIL_REPORTING_DEPTH_CM)-MIN($D234,SOIL_REPORTING_DEPTH_CM)))</f>
        <v/>
      </c>
      <c r="R234" s="9">
        <f>IF(OR(NOT(ISNUMBER($O234)),NOT(ISNUMBER($N234)),NOT(ISNUMBER($Q234))),"",$O234*($N234/100)*$Q234*10)</f>
        <v/>
      </c>
      <c r="S234" s="11">
        <f>IF(AND($A234="",$B234="",$D234=""),"",IF(AND($A234&lt;&gt;"",COUNTIF('1. Plot &amp; Site Log'!$A$5:$A$64,$A234)=0),"Plot ID not in the Plot &amp; Site Log. ","")&amp;IF(AND(ISNUMBER($D234),ISNUMBER($E234),$E234&lt;=$D234),"Bottom depth is not below top depth. ","")&amp;IF($L234="Not confirmed","Bulk-density basis not confirmed with the lab — the coarse-fragment correction may be wrong or doubled. ","")&amp;IF(AND(ISNUMBER($M234),OR($M234&lt;QC_BD_MIN,$M234&gt;QC_BD_MAX)),"Bulk density outside the plausible range for a mineral grassland soil. ","")&amp;IF(AND(ISNUMBER($N234),$N234&gt;QC_CARBON_PCT_MAX),"Organic carbon above the QC ceiling — check units, and whether this is an organic horizon. ","")&amp;IF(AND(ISNUMBER($J234),$J234&lt;QC_RECOVERY_MIN),"Recovered less than the QC minimum of the depth driven — the increments may not sit where you think. Do NOT stretch them back out. ","")&amp;IF(AND(ISNUMBER($K234),$K234&gt;0,$L234="Fine earth / total volume"),"Coarse fragments recorded and the lab basis already accounts for them — no further correction applied, which is correct. ",""))</f>
        <v/>
      </c>
      <c r="T234" s="6" t="n"/>
      <c r="U234" s="9">
        <f>IF($B234="",0,IF(COUNTIFS($B$5:$B234,$B234)=1,1,0))</f>
        <v/>
      </c>
    </row>
    <row r="235">
      <c r="A235" s="6" t="n"/>
      <c r="B235" s="6" t="n"/>
      <c r="C235" s="6" t="n"/>
      <c r="D235" s="6" t="n"/>
      <c r="E235" s="6" t="n"/>
      <c r="F235" s="9">
        <f>IF(OR($D235="",$E235=""),"",$E235-$D235)</f>
        <v/>
      </c>
      <c r="G235" s="6" t="n"/>
      <c r="H235" s="6" t="n"/>
      <c r="I235" s="6" t="n"/>
      <c r="J235" s="9">
        <f>IF(OR(NOT(ISNUMBER($H235)),NOT(ISNUMBER($I235)),$H235=0),"",$I235/$H235)</f>
        <v/>
      </c>
      <c r="K235" s="6" t="n"/>
      <c r="L235" s="8" t="n"/>
      <c r="M235" s="7" t="n"/>
      <c r="N235" s="7" t="n"/>
      <c r="O235" s="9">
        <f>IF(NOT(ISNUMBER($M235)),"",IF($L235="Fine earth / fine-earth volume",$M235*(1-IF(ISNUMBER($K235),$K235,0)/100),$M235))</f>
        <v/>
      </c>
      <c r="P235" s="9">
        <f>IF(OR(NOT(ISNUMBER($O235)),NOT(ISNUMBER($N235)),NOT(ISNUMBER($F235))),"",$O235*($N235/100)*$F235*10)</f>
        <v/>
      </c>
      <c r="Q235" s="9">
        <f>IF(OR(NOT(ISNUMBER($D235)),NOT(ISNUMBER($E235))),"",MAX(0,MIN($E235,SOIL_REPORTING_DEPTH_CM)-MIN($D235,SOIL_REPORTING_DEPTH_CM)))</f>
        <v/>
      </c>
      <c r="R235" s="9">
        <f>IF(OR(NOT(ISNUMBER($O235)),NOT(ISNUMBER($N235)),NOT(ISNUMBER($Q235))),"",$O235*($N235/100)*$Q235*10)</f>
        <v/>
      </c>
      <c r="S235" s="11">
        <f>IF(AND($A235="",$B235="",$D235=""),"",IF(AND($A235&lt;&gt;"",COUNTIF('1. Plot &amp; Site Log'!$A$5:$A$64,$A235)=0),"Plot ID not in the Plot &amp; Site Log. ","")&amp;IF(AND(ISNUMBER($D235),ISNUMBER($E235),$E235&lt;=$D235),"Bottom depth is not below top depth. ","")&amp;IF($L235="Not confirmed","Bulk-density basis not confirmed with the lab — the coarse-fragment correction may be wrong or doubled. ","")&amp;IF(AND(ISNUMBER($M235),OR($M235&lt;QC_BD_MIN,$M235&gt;QC_BD_MAX)),"Bulk density outside the plausible range for a mineral grassland soil. ","")&amp;IF(AND(ISNUMBER($N235),$N235&gt;QC_CARBON_PCT_MAX),"Organic carbon above the QC ceiling — check units, and whether this is an organic horizon. ","")&amp;IF(AND(ISNUMBER($J235),$J235&lt;QC_RECOVERY_MIN),"Recovered less than the QC minimum of the depth driven — the increments may not sit where you think. Do NOT stretch them back out. ","")&amp;IF(AND(ISNUMBER($K235),$K235&gt;0,$L235="Fine earth / total volume"),"Coarse fragments recorded and the lab basis already accounts for them — no further correction applied, which is correct. ",""))</f>
        <v/>
      </c>
      <c r="T235" s="6" t="n"/>
      <c r="U235" s="9">
        <f>IF($B235="",0,IF(COUNTIFS($B$5:$B235,$B235)=1,1,0))</f>
        <v/>
      </c>
    </row>
    <row r="236">
      <c r="A236" s="6" t="n"/>
      <c r="B236" s="6" t="n"/>
      <c r="C236" s="6" t="n"/>
      <c r="D236" s="6" t="n"/>
      <c r="E236" s="6" t="n"/>
      <c r="F236" s="9">
        <f>IF(OR($D236="",$E236=""),"",$E236-$D236)</f>
        <v/>
      </c>
      <c r="G236" s="6" t="n"/>
      <c r="H236" s="6" t="n"/>
      <c r="I236" s="6" t="n"/>
      <c r="J236" s="9">
        <f>IF(OR(NOT(ISNUMBER($H236)),NOT(ISNUMBER($I236)),$H236=0),"",$I236/$H236)</f>
        <v/>
      </c>
      <c r="K236" s="6" t="n"/>
      <c r="L236" s="8" t="n"/>
      <c r="M236" s="7" t="n"/>
      <c r="N236" s="7" t="n"/>
      <c r="O236" s="9">
        <f>IF(NOT(ISNUMBER($M236)),"",IF($L236="Fine earth / fine-earth volume",$M236*(1-IF(ISNUMBER($K236),$K236,0)/100),$M236))</f>
        <v/>
      </c>
      <c r="P236" s="9">
        <f>IF(OR(NOT(ISNUMBER($O236)),NOT(ISNUMBER($N236)),NOT(ISNUMBER($F236))),"",$O236*($N236/100)*$F236*10)</f>
        <v/>
      </c>
      <c r="Q236" s="9">
        <f>IF(OR(NOT(ISNUMBER($D236)),NOT(ISNUMBER($E236))),"",MAX(0,MIN($E236,SOIL_REPORTING_DEPTH_CM)-MIN($D236,SOIL_REPORTING_DEPTH_CM)))</f>
        <v/>
      </c>
      <c r="R236" s="9">
        <f>IF(OR(NOT(ISNUMBER($O236)),NOT(ISNUMBER($N236)),NOT(ISNUMBER($Q236))),"",$O236*($N236/100)*$Q236*10)</f>
        <v/>
      </c>
      <c r="S236" s="11">
        <f>IF(AND($A236="",$B236="",$D236=""),"",IF(AND($A236&lt;&gt;"",COUNTIF('1. Plot &amp; Site Log'!$A$5:$A$64,$A236)=0),"Plot ID not in the Plot &amp; Site Log. ","")&amp;IF(AND(ISNUMBER($D236),ISNUMBER($E236),$E236&lt;=$D236),"Bottom depth is not below top depth. ","")&amp;IF($L236="Not confirmed","Bulk-density basis not confirmed with the lab — the coarse-fragment correction may be wrong or doubled. ","")&amp;IF(AND(ISNUMBER($M236),OR($M236&lt;QC_BD_MIN,$M236&gt;QC_BD_MAX)),"Bulk density outside the plausible range for a mineral grassland soil. ","")&amp;IF(AND(ISNUMBER($N236),$N236&gt;QC_CARBON_PCT_MAX),"Organic carbon above the QC ceiling — check units, and whether this is an organic horizon. ","")&amp;IF(AND(ISNUMBER($J236),$J236&lt;QC_RECOVERY_MIN),"Recovered less than the QC minimum of the depth driven — the increments may not sit where you think. Do NOT stretch them back out. ","")&amp;IF(AND(ISNUMBER($K236),$K236&gt;0,$L236="Fine earth / total volume"),"Coarse fragments recorded and the lab basis already accounts for them — no further correction applied, which is correct. ",""))</f>
        <v/>
      </c>
      <c r="T236" s="6" t="n"/>
      <c r="U236" s="9">
        <f>IF($B236="",0,IF(COUNTIFS($B$5:$B236,$B236)=1,1,0))</f>
        <v/>
      </c>
    </row>
    <row r="237">
      <c r="A237" s="6" t="n"/>
      <c r="B237" s="6" t="n"/>
      <c r="C237" s="6" t="n"/>
      <c r="D237" s="6" t="n"/>
      <c r="E237" s="6" t="n"/>
      <c r="F237" s="9">
        <f>IF(OR($D237="",$E237=""),"",$E237-$D237)</f>
        <v/>
      </c>
      <c r="G237" s="6" t="n"/>
      <c r="H237" s="6" t="n"/>
      <c r="I237" s="6" t="n"/>
      <c r="J237" s="9">
        <f>IF(OR(NOT(ISNUMBER($H237)),NOT(ISNUMBER($I237)),$H237=0),"",$I237/$H237)</f>
        <v/>
      </c>
      <c r="K237" s="6" t="n"/>
      <c r="L237" s="8" t="n"/>
      <c r="M237" s="7" t="n"/>
      <c r="N237" s="7" t="n"/>
      <c r="O237" s="9">
        <f>IF(NOT(ISNUMBER($M237)),"",IF($L237="Fine earth / fine-earth volume",$M237*(1-IF(ISNUMBER($K237),$K237,0)/100),$M237))</f>
        <v/>
      </c>
      <c r="P237" s="9">
        <f>IF(OR(NOT(ISNUMBER($O237)),NOT(ISNUMBER($N237)),NOT(ISNUMBER($F237))),"",$O237*($N237/100)*$F237*10)</f>
        <v/>
      </c>
      <c r="Q237" s="9">
        <f>IF(OR(NOT(ISNUMBER($D237)),NOT(ISNUMBER($E237))),"",MAX(0,MIN($E237,SOIL_REPORTING_DEPTH_CM)-MIN($D237,SOIL_REPORTING_DEPTH_CM)))</f>
        <v/>
      </c>
      <c r="R237" s="9">
        <f>IF(OR(NOT(ISNUMBER($O237)),NOT(ISNUMBER($N237)),NOT(ISNUMBER($Q237))),"",$O237*($N237/100)*$Q237*10)</f>
        <v/>
      </c>
      <c r="S237" s="11">
        <f>IF(AND($A237="",$B237="",$D237=""),"",IF(AND($A237&lt;&gt;"",COUNTIF('1. Plot &amp; Site Log'!$A$5:$A$64,$A237)=0),"Plot ID not in the Plot &amp; Site Log. ","")&amp;IF(AND(ISNUMBER($D237),ISNUMBER($E237),$E237&lt;=$D237),"Bottom depth is not below top depth. ","")&amp;IF($L237="Not confirmed","Bulk-density basis not confirmed with the lab — the coarse-fragment correction may be wrong or doubled. ","")&amp;IF(AND(ISNUMBER($M237),OR($M237&lt;QC_BD_MIN,$M237&gt;QC_BD_MAX)),"Bulk density outside the plausible range for a mineral grassland soil. ","")&amp;IF(AND(ISNUMBER($N237),$N237&gt;QC_CARBON_PCT_MAX),"Organic carbon above the QC ceiling — check units, and whether this is an organic horizon. ","")&amp;IF(AND(ISNUMBER($J237),$J237&lt;QC_RECOVERY_MIN),"Recovered less than the QC minimum of the depth driven — the increments may not sit where you think. Do NOT stretch them back out. ","")&amp;IF(AND(ISNUMBER($K237),$K237&gt;0,$L237="Fine earth / total volume"),"Coarse fragments recorded and the lab basis already accounts for them — no further correction applied, which is correct. ",""))</f>
        <v/>
      </c>
      <c r="T237" s="6" t="n"/>
      <c r="U237" s="9">
        <f>IF($B237="",0,IF(COUNTIFS($B$5:$B237,$B237)=1,1,0))</f>
        <v/>
      </c>
    </row>
    <row r="238">
      <c r="A238" s="6" t="n"/>
      <c r="B238" s="6" t="n"/>
      <c r="C238" s="6" t="n"/>
      <c r="D238" s="6" t="n"/>
      <c r="E238" s="6" t="n"/>
      <c r="F238" s="9">
        <f>IF(OR($D238="",$E238=""),"",$E238-$D238)</f>
        <v/>
      </c>
      <c r="G238" s="6" t="n"/>
      <c r="H238" s="6" t="n"/>
      <c r="I238" s="6" t="n"/>
      <c r="J238" s="9">
        <f>IF(OR(NOT(ISNUMBER($H238)),NOT(ISNUMBER($I238)),$H238=0),"",$I238/$H238)</f>
        <v/>
      </c>
      <c r="K238" s="6" t="n"/>
      <c r="L238" s="8" t="n"/>
      <c r="M238" s="7" t="n"/>
      <c r="N238" s="7" t="n"/>
      <c r="O238" s="9">
        <f>IF(NOT(ISNUMBER($M238)),"",IF($L238="Fine earth / fine-earth volume",$M238*(1-IF(ISNUMBER($K238),$K238,0)/100),$M238))</f>
        <v/>
      </c>
      <c r="P238" s="9">
        <f>IF(OR(NOT(ISNUMBER($O238)),NOT(ISNUMBER($N238)),NOT(ISNUMBER($F238))),"",$O238*($N238/100)*$F238*10)</f>
        <v/>
      </c>
      <c r="Q238" s="9">
        <f>IF(OR(NOT(ISNUMBER($D238)),NOT(ISNUMBER($E238))),"",MAX(0,MIN($E238,SOIL_REPORTING_DEPTH_CM)-MIN($D238,SOIL_REPORTING_DEPTH_CM)))</f>
        <v/>
      </c>
      <c r="R238" s="9">
        <f>IF(OR(NOT(ISNUMBER($O238)),NOT(ISNUMBER($N238)),NOT(ISNUMBER($Q238))),"",$O238*($N238/100)*$Q238*10)</f>
        <v/>
      </c>
      <c r="S238" s="11">
        <f>IF(AND($A238="",$B238="",$D238=""),"",IF(AND($A238&lt;&gt;"",COUNTIF('1. Plot &amp; Site Log'!$A$5:$A$64,$A238)=0),"Plot ID not in the Plot &amp; Site Log. ","")&amp;IF(AND(ISNUMBER($D238),ISNUMBER($E238),$E238&lt;=$D238),"Bottom depth is not below top depth. ","")&amp;IF($L238="Not confirmed","Bulk-density basis not confirmed with the lab — the coarse-fragment correction may be wrong or doubled. ","")&amp;IF(AND(ISNUMBER($M238),OR($M238&lt;QC_BD_MIN,$M238&gt;QC_BD_MAX)),"Bulk density outside the plausible range for a mineral grassland soil. ","")&amp;IF(AND(ISNUMBER($N238),$N238&gt;QC_CARBON_PCT_MAX),"Organic carbon above the QC ceiling — check units, and whether this is an organic horizon. ","")&amp;IF(AND(ISNUMBER($J238),$J238&lt;QC_RECOVERY_MIN),"Recovered less than the QC minimum of the depth driven — the increments may not sit where you think. Do NOT stretch them back out. ","")&amp;IF(AND(ISNUMBER($K238),$K238&gt;0,$L238="Fine earth / total volume"),"Coarse fragments recorded and the lab basis already accounts for them — no further correction applied, which is correct. ",""))</f>
        <v/>
      </c>
      <c r="T238" s="6" t="n"/>
      <c r="U238" s="9">
        <f>IF($B238="",0,IF(COUNTIFS($B$5:$B238,$B238)=1,1,0))</f>
        <v/>
      </c>
    </row>
    <row r="239">
      <c r="A239" s="6" t="n"/>
      <c r="B239" s="6" t="n"/>
      <c r="C239" s="6" t="n"/>
      <c r="D239" s="6" t="n"/>
      <c r="E239" s="6" t="n"/>
      <c r="F239" s="9">
        <f>IF(OR($D239="",$E239=""),"",$E239-$D239)</f>
        <v/>
      </c>
      <c r="G239" s="6" t="n"/>
      <c r="H239" s="6" t="n"/>
      <c r="I239" s="6" t="n"/>
      <c r="J239" s="9">
        <f>IF(OR(NOT(ISNUMBER($H239)),NOT(ISNUMBER($I239)),$H239=0),"",$I239/$H239)</f>
        <v/>
      </c>
      <c r="K239" s="6" t="n"/>
      <c r="L239" s="8" t="n"/>
      <c r="M239" s="7" t="n"/>
      <c r="N239" s="7" t="n"/>
      <c r="O239" s="9">
        <f>IF(NOT(ISNUMBER($M239)),"",IF($L239="Fine earth / fine-earth volume",$M239*(1-IF(ISNUMBER($K239),$K239,0)/100),$M239))</f>
        <v/>
      </c>
      <c r="P239" s="9">
        <f>IF(OR(NOT(ISNUMBER($O239)),NOT(ISNUMBER($N239)),NOT(ISNUMBER($F239))),"",$O239*($N239/100)*$F239*10)</f>
        <v/>
      </c>
      <c r="Q239" s="9">
        <f>IF(OR(NOT(ISNUMBER($D239)),NOT(ISNUMBER($E239))),"",MAX(0,MIN($E239,SOIL_REPORTING_DEPTH_CM)-MIN($D239,SOIL_REPORTING_DEPTH_CM)))</f>
        <v/>
      </c>
      <c r="R239" s="9">
        <f>IF(OR(NOT(ISNUMBER($O239)),NOT(ISNUMBER($N239)),NOT(ISNUMBER($Q239))),"",$O239*($N239/100)*$Q239*10)</f>
        <v/>
      </c>
      <c r="S239" s="11">
        <f>IF(AND($A239="",$B239="",$D239=""),"",IF(AND($A239&lt;&gt;"",COUNTIF('1. Plot &amp; Site Log'!$A$5:$A$64,$A239)=0),"Plot ID not in the Plot &amp; Site Log. ","")&amp;IF(AND(ISNUMBER($D239),ISNUMBER($E239),$E239&lt;=$D239),"Bottom depth is not below top depth. ","")&amp;IF($L239="Not confirmed","Bulk-density basis not confirmed with the lab — the coarse-fragment correction may be wrong or doubled. ","")&amp;IF(AND(ISNUMBER($M239),OR($M239&lt;QC_BD_MIN,$M239&gt;QC_BD_MAX)),"Bulk density outside the plausible range for a mineral grassland soil. ","")&amp;IF(AND(ISNUMBER($N239),$N239&gt;QC_CARBON_PCT_MAX),"Organic carbon above the QC ceiling — check units, and whether this is an organic horizon. ","")&amp;IF(AND(ISNUMBER($J239),$J239&lt;QC_RECOVERY_MIN),"Recovered less than the QC minimum of the depth driven — the increments may not sit where you think. Do NOT stretch them back out. ","")&amp;IF(AND(ISNUMBER($K239),$K239&gt;0,$L239="Fine earth / total volume"),"Coarse fragments recorded and the lab basis already accounts for them — no further correction applied, which is correct. ",""))</f>
        <v/>
      </c>
      <c r="T239" s="6" t="n"/>
      <c r="U239" s="9">
        <f>IF($B239="",0,IF(COUNTIFS($B$5:$B239,$B239)=1,1,0))</f>
        <v/>
      </c>
    </row>
    <row r="240">
      <c r="A240" s="6" t="n"/>
      <c r="B240" s="6" t="n"/>
      <c r="C240" s="6" t="n"/>
      <c r="D240" s="6" t="n"/>
      <c r="E240" s="6" t="n"/>
      <c r="F240" s="9">
        <f>IF(OR($D240="",$E240=""),"",$E240-$D240)</f>
        <v/>
      </c>
      <c r="G240" s="6" t="n"/>
      <c r="H240" s="6" t="n"/>
      <c r="I240" s="6" t="n"/>
      <c r="J240" s="9">
        <f>IF(OR(NOT(ISNUMBER($H240)),NOT(ISNUMBER($I240)),$H240=0),"",$I240/$H240)</f>
        <v/>
      </c>
      <c r="K240" s="6" t="n"/>
      <c r="L240" s="8" t="n"/>
      <c r="M240" s="7" t="n"/>
      <c r="N240" s="7" t="n"/>
      <c r="O240" s="9">
        <f>IF(NOT(ISNUMBER($M240)),"",IF($L240="Fine earth / fine-earth volume",$M240*(1-IF(ISNUMBER($K240),$K240,0)/100),$M240))</f>
        <v/>
      </c>
      <c r="P240" s="9">
        <f>IF(OR(NOT(ISNUMBER($O240)),NOT(ISNUMBER($N240)),NOT(ISNUMBER($F240))),"",$O240*($N240/100)*$F240*10)</f>
        <v/>
      </c>
      <c r="Q240" s="9">
        <f>IF(OR(NOT(ISNUMBER($D240)),NOT(ISNUMBER($E240))),"",MAX(0,MIN($E240,SOIL_REPORTING_DEPTH_CM)-MIN($D240,SOIL_REPORTING_DEPTH_CM)))</f>
        <v/>
      </c>
      <c r="R240" s="9">
        <f>IF(OR(NOT(ISNUMBER($O240)),NOT(ISNUMBER($N240)),NOT(ISNUMBER($Q240))),"",$O240*($N240/100)*$Q240*10)</f>
        <v/>
      </c>
      <c r="S240" s="11">
        <f>IF(AND($A240="",$B240="",$D240=""),"",IF(AND($A240&lt;&gt;"",COUNTIF('1. Plot &amp; Site Log'!$A$5:$A$64,$A240)=0),"Plot ID not in the Plot &amp; Site Log. ","")&amp;IF(AND(ISNUMBER($D240),ISNUMBER($E240),$E240&lt;=$D240),"Bottom depth is not below top depth. ","")&amp;IF($L240="Not confirmed","Bulk-density basis not confirmed with the lab — the coarse-fragment correction may be wrong or doubled. ","")&amp;IF(AND(ISNUMBER($M240),OR($M240&lt;QC_BD_MIN,$M240&gt;QC_BD_MAX)),"Bulk density outside the plausible range for a mineral grassland soil. ","")&amp;IF(AND(ISNUMBER($N240),$N240&gt;QC_CARBON_PCT_MAX),"Organic carbon above the QC ceiling — check units, and whether this is an organic horizon. ","")&amp;IF(AND(ISNUMBER($J240),$J240&lt;QC_RECOVERY_MIN),"Recovered less than the QC minimum of the depth driven — the increments may not sit where you think. Do NOT stretch them back out. ","")&amp;IF(AND(ISNUMBER($K240),$K240&gt;0,$L240="Fine earth / total volume"),"Coarse fragments recorded and the lab basis already accounts for them — no further correction applied, which is correct. ",""))</f>
        <v/>
      </c>
      <c r="T240" s="6" t="n"/>
      <c r="U240" s="9">
        <f>IF($B240="",0,IF(COUNTIFS($B$5:$B240,$B240)=1,1,0))</f>
        <v/>
      </c>
    </row>
    <row r="241">
      <c r="A241" s="6" t="n"/>
      <c r="B241" s="6" t="n"/>
      <c r="C241" s="6" t="n"/>
      <c r="D241" s="6" t="n"/>
      <c r="E241" s="6" t="n"/>
      <c r="F241" s="9">
        <f>IF(OR($D241="",$E241=""),"",$E241-$D241)</f>
        <v/>
      </c>
      <c r="G241" s="6" t="n"/>
      <c r="H241" s="6" t="n"/>
      <c r="I241" s="6" t="n"/>
      <c r="J241" s="9">
        <f>IF(OR(NOT(ISNUMBER($H241)),NOT(ISNUMBER($I241)),$H241=0),"",$I241/$H241)</f>
        <v/>
      </c>
      <c r="K241" s="6" t="n"/>
      <c r="L241" s="8" t="n"/>
      <c r="M241" s="7" t="n"/>
      <c r="N241" s="7" t="n"/>
      <c r="O241" s="9">
        <f>IF(NOT(ISNUMBER($M241)),"",IF($L241="Fine earth / fine-earth volume",$M241*(1-IF(ISNUMBER($K241),$K241,0)/100),$M241))</f>
        <v/>
      </c>
      <c r="P241" s="9">
        <f>IF(OR(NOT(ISNUMBER($O241)),NOT(ISNUMBER($N241)),NOT(ISNUMBER($F241))),"",$O241*($N241/100)*$F241*10)</f>
        <v/>
      </c>
      <c r="Q241" s="9">
        <f>IF(OR(NOT(ISNUMBER($D241)),NOT(ISNUMBER($E241))),"",MAX(0,MIN($E241,SOIL_REPORTING_DEPTH_CM)-MIN($D241,SOIL_REPORTING_DEPTH_CM)))</f>
        <v/>
      </c>
      <c r="R241" s="9">
        <f>IF(OR(NOT(ISNUMBER($O241)),NOT(ISNUMBER($N241)),NOT(ISNUMBER($Q241))),"",$O241*($N241/100)*$Q241*10)</f>
        <v/>
      </c>
      <c r="S241" s="11">
        <f>IF(AND($A241="",$B241="",$D241=""),"",IF(AND($A241&lt;&gt;"",COUNTIF('1. Plot &amp; Site Log'!$A$5:$A$64,$A241)=0),"Plot ID not in the Plot &amp; Site Log. ","")&amp;IF(AND(ISNUMBER($D241),ISNUMBER($E241),$E241&lt;=$D241),"Bottom depth is not below top depth. ","")&amp;IF($L241="Not confirmed","Bulk-density basis not confirmed with the lab — the coarse-fragment correction may be wrong or doubled. ","")&amp;IF(AND(ISNUMBER($M241),OR($M241&lt;QC_BD_MIN,$M241&gt;QC_BD_MAX)),"Bulk density outside the plausible range for a mineral grassland soil. ","")&amp;IF(AND(ISNUMBER($N241),$N241&gt;QC_CARBON_PCT_MAX),"Organic carbon above the QC ceiling — check units, and whether this is an organic horizon. ","")&amp;IF(AND(ISNUMBER($J241),$J241&lt;QC_RECOVERY_MIN),"Recovered less than the QC minimum of the depth driven — the increments may not sit where you think. Do NOT stretch them back out. ","")&amp;IF(AND(ISNUMBER($K241),$K241&gt;0,$L241="Fine earth / total volume"),"Coarse fragments recorded and the lab basis already accounts for them — no further correction applied, which is correct. ",""))</f>
        <v/>
      </c>
      <c r="T241" s="6" t="n"/>
      <c r="U241" s="9">
        <f>IF($B241="",0,IF(COUNTIFS($B$5:$B241,$B241)=1,1,0))</f>
        <v/>
      </c>
    </row>
    <row r="242">
      <c r="A242" s="6" t="n"/>
      <c r="B242" s="6" t="n"/>
      <c r="C242" s="6" t="n"/>
      <c r="D242" s="6" t="n"/>
      <c r="E242" s="6" t="n"/>
      <c r="F242" s="9">
        <f>IF(OR($D242="",$E242=""),"",$E242-$D242)</f>
        <v/>
      </c>
      <c r="G242" s="6" t="n"/>
      <c r="H242" s="6" t="n"/>
      <c r="I242" s="6" t="n"/>
      <c r="J242" s="9">
        <f>IF(OR(NOT(ISNUMBER($H242)),NOT(ISNUMBER($I242)),$H242=0),"",$I242/$H242)</f>
        <v/>
      </c>
      <c r="K242" s="6" t="n"/>
      <c r="L242" s="8" t="n"/>
      <c r="M242" s="7" t="n"/>
      <c r="N242" s="7" t="n"/>
      <c r="O242" s="9">
        <f>IF(NOT(ISNUMBER($M242)),"",IF($L242="Fine earth / fine-earth volume",$M242*(1-IF(ISNUMBER($K242),$K242,0)/100),$M242))</f>
        <v/>
      </c>
      <c r="P242" s="9">
        <f>IF(OR(NOT(ISNUMBER($O242)),NOT(ISNUMBER($N242)),NOT(ISNUMBER($F242))),"",$O242*($N242/100)*$F242*10)</f>
        <v/>
      </c>
      <c r="Q242" s="9">
        <f>IF(OR(NOT(ISNUMBER($D242)),NOT(ISNUMBER($E242))),"",MAX(0,MIN($E242,SOIL_REPORTING_DEPTH_CM)-MIN($D242,SOIL_REPORTING_DEPTH_CM)))</f>
        <v/>
      </c>
      <c r="R242" s="9">
        <f>IF(OR(NOT(ISNUMBER($O242)),NOT(ISNUMBER($N242)),NOT(ISNUMBER($Q242))),"",$O242*($N242/100)*$Q242*10)</f>
        <v/>
      </c>
      <c r="S242" s="11">
        <f>IF(AND($A242="",$B242="",$D242=""),"",IF(AND($A242&lt;&gt;"",COUNTIF('1. Plot &amp; Site Log'!$A$5:$A$64,$A242)=0),"Plot ID not in the Plot &amp; Site Log. ","")&amp;IF(AND(ISNUMBER($D242),ISNUMBER($E242),$E242&lt;=$D242),"Bottom depth is not below top depth. ","")&amp;IF($L242="Not confirmed","Bulk-density basis not confirmed with the lab — the coarse-fragment correction may be wrong or doubled. ","")&amp;IF(AND(ISNUMBER($M242),OR($M242&lt;QC_BD_MIN,$M242&gt;QC_BD_MAX)),"Bulk density outside the plausible range for a mineral grassland soil. ","")&amp;IF(AND(ISNUMBER($N242),$N242&gt;QC_CARBON_PCT_MAX),"Organic carbon above the QC ceiling — check units, and whether this is an organic horizon. ","")&amp;IF(AND(ISNUMBER($J242),$J242&lt;QC_RECOVERY_MIN),"Recovered less than the QC minimum of the depth driven — the increments may not sit where you think. Do NOT stretch them back out. ","")&amp;IF(AND(ISNUMBER($K242),$K242&gt;0,$L242="Fine earth / total volume"),"Coarse fragments recorded and the lab basis already accounts for them — no further correction applied, which is correct. ",""))</f>
        <v/>
      </c>
      <c r="T242" s="6" t="n"/>
      <c r="U242" s="9">
        <f>IF($B242="",0,IF(COUNTIFS($B$5:$B242,$B242)=1,1,0))</f>
        <v/>
      </c>
    </row>
    <row r="243">
      <c r="A243" s="6" t="n"/>
      <c r="B243" s="6" t="n"/>
      <c r="C243" s="6" t="n"/>
      <c r="D243" s="6" t="n"/>
      <c r="E243" s="6" t="n"/>
      <c r="F243" s="9">
        <f>IF(OR($D243="",$E243=""),"",$E243-$D243)</f>
        <v/>
      </c>
      <c r="G243" s="6" t="n"/>
      <c r="H243" s="6" t="n"/>
      <c r="I243" s="6" t="n"/>
      <c r="J243" s="9">
        <f>IF(OR(NOT(ISNUMBER($H243)),NOT(ISNUMBER($I243)),$H243=0),"",$I243/$H243)</f>
        <v/>
      </c>
      <c r="K243" s="6" t="n"/>
      <c r="L243" s="8" t="n"/>
      <c r="M243" s="7" t="n"/>
      <c r="N243" s="7" t="n"/>
      <c r="O243" s="9">
        <f>IF(NOT(ISNUMBER($M243)),"",IF($L243="Fine earth / fine-earth volume",$M243*(1-IF(ISNUMBER($K243),$K243,0)/100),$M243))</f>
        <v/>
      </c>
      <c r="P243" s="9">
        <f>IF(OR(NOT(ISNUMBER($O243)),NOT(ISNUMBER($N243)),NOT(ISNUMBER($F243))),"",$O243*($N243/100)*$F243*10)</f>
        <v/>
      </c>
      <c r="Q243" s="9">
        <f>IF(OR(NOT(ISNUMBER($D243)),NOT(ISNUMBER($E243))),"",MAX(0,MIN($E243,SOIL_REPORTING_DEPTH_CM)-MIN($D243,SOIL_REPORTING_DEPTH_CM)))</f>
        <v/>
      </c>
      <c r="R243" s="9">
        <f>IF(OR(NOT(ISNUMBER($O243)),NOT(ISNUMBER($N243)),NOT(ISNUMBER($Q243))),"",$O243*($N243/100)*$Q243*10)</f>
        <v/>
      </c>
      <c r="S243" s="11">
        <f>IF(AND($A243="",$B243="",$D243=""),"",IF(AND($A243&lt;&gt;"",COUNTIF('1. Plot &amp; Site Log'!$A$5:$A$64,$A243)=0),"Plot ID not in the Plot &amp; Site Log. ","")&amp;IF(AND(ISNUMBER($D243),ISNUMBER($E243),$E243&lt;=$D243),"Bottom depth is not below top depth. ","")&amp;IF($L243="Not confirmed","Bulk-density basis not confirmed with the lab — the coarse-fragment correction may be wrong or doubled. ","")&amp;IF(AND(ISNUMBER($M243),OR($M243&lt;QC_BD_MIN,$M243&gt;QC_BD_MAX)),"Bulk density outside the plausible range for a mineral grassland soil. ","")&amp;IF(AND(ISNUMBER($N243),$N243&gt;QC_CARBON_PCT_MAX),"Organic carbon above the QC ceiling — check units, and whether this is an organic horizon. ","")&amp;IF(AND(ISNUMBER($J243),$J243&lt;QC_RECOVERY_MIN),"Recovered less than the QC minimum of the depth driven — the increments may not sit where you think. Do NOT stretch them back out. ","")&amp;IF(AND(ISNUMBER($K243),$K243&gt;0,$L243="Fine earth / total volume"),"Coarse fragments recorded and the lab basis already accounts for them — no further correction applied, which is correct. ",""))</f>
        <v/>
      </c>
      <c r="T243" s="6" t="n"/>
      <c r="U243" s="9">
        <f>IF($B243="",0,IF(COUNTIFS($B$5:$B243,$B243)=1,1,0))</f>
        <v/>
      </c>
    </row>
    <row r="244">
      <c r="A244" s="6" t="n"/>
      <c r="B244" s="6" t="n"/>
      <c r="C244" s="6" t="n"/>
      <c r="D244" s="6" t="n"/>
      <c r="E244" s="6" t="n"/>
      <c r="F244" s="9">
        <f>IF(OR($D244="",$E244=""),"",$E244-$D244)</f>
        <v/>
      </c>
      <c r="G244" s="6" t="n"/>
      <c r="H244" s="6" t="n"/>
      <c r="I244" s="6" t="n"/>
      <c r="J244" s="9">
        <f>IF(OR(NOT(ISNUMBER($H244)),NOT(ISNUMBER($I244)),$H244=0),"",$I244/$H244)</f>
        <v/>
      </c>
      <c r="K244" s="6" t="n"/>
      <c r="L244" s="8" t="n"/>
      <c r="M244" s="7" t="n"/>
      <c r="N244" s="7" t="n"/>
      <c r="O244" s="9">
        <f>IF(NOT(ISNUMBER($M244)),"",IF($L244="Fine earth / fine-earth volume",$M244*(1-IF(ISNUMBER($K244),$K244,0)/100),$M244))</f>
        <v/>
      </c>
      <c r="P244" s="9">
        <f>IF(OR(NOT(ISNUMBER($O244)),NOT(ISNUMBER($N244)),NOT(ISNUMBER($F244))),"",$O244*($N244/100)*$F244*10)</f>
        <v/>
      </c>
      <c r="Q244" s="9">
        <f>IF(OR(NOT(ISNUMBER($D244)),NOT(ISNUMBER($E244))),"",MAX(0,MIN($E244,SOIL_REPORTING_DEPTH_CM)-MIN($D244,SOIL_REPORTING_DEPTH_CM)))</f>
        <v/>
      </c>
      <c r="R244" s="9">
        <f>IF(OR(NOT(ISNUMBER($O244)),NOT(ISNUMBER($N244)),NOT(ISNUMBER($Q244))),"",$O244*($N244/100)*$Q244*10)</f>
        <v/>
      </c>
      <c r="S244" s="11">
        <f>IF(AND($A244="",$B244="",$D244=""),"",IF(AND($A244&lt;&gt;"",COUNTIF('1. Plot &amp; Site Log'!$A$5:$A$64,$A244)=0),"Plot ID not in the Plot &amp; Site Log. ","")&amp;IF(AND(ISNUMBER($D244),ISNUMBER($E244),$E244&lt;=$D244),"Bottom depth is not below top depth. ","")&amp;IF($L244="Not confirmed","Bulk-density basis not confirmed with the lab — the coarse-fragment correction may be wrong or doubled. ","")&amp;IF(AND(ISNUMBER($M244),OR($M244&lt;QC_BD_MIN,$M244&gt;QC_BD_MAX)),"Bulk density outside the plausible range for a mineral grassland soil. ","")&amp;IF(AND(ISNUMBER($N244),$N244&gt;QC_CARBON_PCT_MAX),"Organic carbon above the QC ceiling — check units, and whether this is an organic horizon. ","")&amp;IF(AND(ISNUMBER($J244),$J244&lt;QC_RECOVERY_MIN),"Recovered less than the QC minimum of the depth driven — the increments may not sit where you think. Do NOT stretch them back out. ","")&amp;IF(AND(ISNUMBER($K244),$K244&gt;0,$L244="Fine earth / total volume"),"Coarse fragments recorded and the lab basis already accounts for them — no further correction applied, which is correct. ",""))</f>
        <v/>
      </c>
      <c r="T244" s="6" t="n"/>
      <c r="U244" s="9">
        <f>IF($B244="",0,IF(COUNTIFS($B$5:$B244,$B244)=1,1,0))</f>
        <v/>
      </c>
    </row>
    <row r="245">
      <c r="A245" s="6" t="n"/>
      <c r="B245" s="6" t="n"/>
      <c r="C245" s="6" t="n"/>
      <c r="D245" s="6" t="n"/>
      <c r="E245" s="6" t="n"/>
      <c r="F245" s="9">
        <f>IF(OR($D245="",$E245=""),"",$E245-$D245)</f>
        <v/>
      </c>
      <c r="G245" s="6" t="n"/>
      <c r="H245" s="6" t="n"/>
      <c r="I245" s="6" t="n"/>
      <c r="J245" s="9">
        <f>IF(OR(NOT(ISNUMBER($H245)),NOT(ISNUMBER($I245)),$H245=0),"",$I245/$H245)</f>
        <v/>
      </c>
      <c r="K245" s="6" t="n"/>
      <c r="L245" s="8" t="n"/>
      <c r="M245" s="7" t="n"/>
      <c r="N245" s="7" t="n"/>
      <c r="O245" s="9">
        <f>IF(NOT(ISNUMBER($M245)),"",IF($L245="Fine earth / fine-earth volume",$M245*(1-IF(ISNUMBER($K245),$K245,0)/100),$M245))</f>
        <v/>
      </c>
      <c r="P245" s="9">
        <f>IF(OR(NOT(ISNUMBER($O245)),NOT(ISNUMBER($N245)),NOT(ISNUMBER($F245))),"",$O245*($N245/100)*$F245*10)</f>
        <v/>
      </c>
      <c r="Q245" s="9">
        <f>IF(OR(NOT(ISNUMBER($D245)),NOT(ISNUMBER($E245))),"",MAX(0,MIN($E245,SOIL_REPORTING_DEPTH_CM)-MIN($D245,SOIL_REPORTING_DEPTH_CM)))</f>
        <v/>
      </c>
      <c r="R245" s="9">
        <f>IF(OR(NOT(ISNUMBER($O245)),NOT(ISNUMBER($N245)),NOT(ISNUMBER($Q245))),"",$O245*($N245/100)*$Q245*10)</f>
        <v/>
      </c>
      <c r="S245" s="11">
        <f>IF(AND($A245="",$B245="",$D245=""),"",IF(AND($A245&lt;&gt;"",COUNTIF('1. Plot &amp; Site Log'!$A$5:$A$64,$A245)=0),"Plot ID not in the Plot &amp; Site Log. ","")&amp;IF(AND(ISNUMBER($D245),ISNUMBER($E245),$E245&lt;=$D245),"Bottom depth is not below top depth. ","")&amp;IF($L245="Not confirmed","Bulk-density basis not confirmed with the lab — the coarse-fragment correction may be wrong or doubled. ","")&amp;IF(AND(ISNUMBER($M245),OR($M245&lt;QC_BD_MIN,$M245&gt;QC_BD_MAX)),"Bulk density outside the plausible range for a mineral grassland soil. ","")&amp;IF(AND(ISNUMBER($N245),$N245&gt;QC_CARBON_PCT_MAX),"Organic carbon above the QC ceiling — check units, and whether this is an organic horizon. ","")&amp;IF(AND(ISNUMBER($J245),$J245&lt;QC_RECOVERY_MIN),"Recovered less than the QC minimum of the depth driven — the increments may not sit where you think. Do NOT stretch them back out. ","")&amp;IF(AND(ISNUMBER($K245),$K245&gt;0,$L245="Fine earth / total volume"),"Coarse fragments recorded and the lab basis already accounts for them — no further correction applied, which is correct. ",""))</f>
        <v/>
      </c>
      <c r="T245" s="6" t="n"/>
      <c r="U245" s="9">
        <f>IF($B245="",0,IF(COUNTIFS($B$5:$B245,$B245)=1,1,0))</f>
        <v/>
      </c>
    </row>
    <row r="246">
      <c r="A246" s="6" t="n"/>
      <c r="B246" s="6" t="n"/>
      <c r="C246" s="6" t="n"/>
      <c r="D246" s="6" t="n"/>
      <c r="E246" s="6" t="n"/>
      <c r="F246" s="9">
        <f>IF(OR($D246="",$E246=""),"",$E246-$D246)</f>
        <v/>
      </c>
      <c r="G246" s="6" t="n"/>
      <c r="H246" s="6" t="n"/>
      <c r="I246" s="6" t="n"/>
      <c r="J246" s="9">
        <f>IF(OR(NOT(ISNUMBER($H246)),NOT(ISNUMBER($I246)),$H246=0),"",$I246/$H246)</f>
        <v/>
      </c>
      <c r="K246" s="6" t="n"/>
      <c r="L246" s="8" t="n"/>
      <c r="M246" s="7" t="n"/>
      <c r="N246" s="7" t="n"/>
      <c r="O246" s="9">
        <f>IF(NOT(ISNUMBER($M246)),"",IF($L246="Fine earth / fine-earth volume",$M246*(1-IF(ISNUMBER($K246),$K246,0)/100),$M246))</f>
        <v/>
      </c>
      <c r="P246" s="9">
        <f>IF(OR(NOT(ISNUMBER($O246)),NOT(ISNUMBER($N246)),NOT(ISNUMBER($F246))),"",$O246*($N246/100)*$F246*10)</f>
        <v/>
      </c>
      <c r="Q246" s="9">
        <f>IF(OR(NOT(ISNUMBER($D246)),NOT(ISNUMBER($E246))),"",MAX(0,MIN($E246,SOIL_REPORTING_DEPTH_CM)-MIN($D246,SOIL_REPORTING_DEPTH_CM)))</f>
        <v/>
      </c>
      <c r="R246" s="9">
        <f>IF(OR(NOT(ISNUMBER($O246)),NOT(ISNUMBER($N246)),NOT(ISNUMBER($Q246))),"",$O246*($N246/100)*$Q246*10)</f>
        <v/>
      </c>
      <c r="S246" s="11">
        <f>IF(AND($A246="",$B246="",$D246=""),"",IF(AND($A246&lt;&gt;"",COUNTIF('1. Plot &amp; Site Log'!$A$5:$A$64,$A246)=0),"Plot ID not in the Plot &amp; Site Log. ","")&amp;IF(AND(ISNUMBER($D246),ISNUMBER($E246),$E246&lt;=$D246),"Bottom depth is not below top depth. ","")&amp;IF($L246="Not confirmed","Bulk-density basis not confirmed with the lab — the coarse-fragment correction may be wrong or doubled. ","")&amp;IF(AND(ISNUMBER($M246),OR($M246&lt;QC_BD_MIN,$M246&gt;QC_BD_MAX)),"Bulk density outside the plausible range for a mineral grassland soil. ","")&amp;IF(AND(ISNUMBER($N246),$N246&gt;QC_CARBON_PCT_MAX),"Organic carbon above the QC ceiling — check units, and whether this is an organic horizon. ","")&amp;IF(AND(ISNUMBER($J246),$J246&lt;QC_RECOVERY_MIN),"Recovered less than the QC minimum of the depth driven — the increments may not sit where you think. Do NOT stretch them back out. ","")&amp;IF(AND(ISNUMBER($K246),$K246&gt;0,$L246="Fine earth / total volume"),"Coarse fragments recorded and the lab basis already accounts for them — no further correction applied, which is correct. ",""))</f>
        <v/>
      </c>
      <c r="T246" s="6" t="n"/>
      <c r="U246" s="9">
        <f>IF($B246="",0,IF(COUNTIFS($B$5:$B246,$B246)=1,1,0))</f>
        <v/>
      </c>
    </row>
    <row r="247">
      <c r="A247" s="6" t="n"/>
      <c r="B247" s="6" t="n"/>
      <c r="C247" s="6" t="n"/>
      <c r="D247" s="6" t="n"/>
      <c r="E247" s="6" t="n"/>
      <c r="F247" s="9">
        <f>IF(OR($D247="",$E247=""),"",$E247-$D247)</f>
        <v/>
      </c>
      <c r="G247" s="6" t="n"/>
      <c r="H247" s="6" t="n"/>
      <c r="I247" s="6" t="n"/>
      <c r="J247" s="9">
        <f>IF(OR(NOT(ISNUMBER($H247)),NOT(ISNUMBER($I247)),$H247=0),"",$I247/$H247)</f>
        <v/>
      </c>
      <c r="K247" s="6" t="n"/>
      <c r="L247" s="8" t="n"/>
      <c r="M247" s="7" t="n"/>
      <c r="N247" s="7" t="n"/>
      <c r="O247" s="9">
        <f>IF(NOT(ISNUMBER($M247)),"",IF($L247="Fine earth / fine-earth volume",$M247*(1-IF(ISNUMBER($K247),$K247,0)/100),$M247))</f>
        <v/>
      </c>
      <c r="P247" s="9">
        <f>IF(OR(NOT(ISNUMBER($O247)),NOT(ISNUMBER($N247)),NOT(ISNUMBER($F247))),"",$O247*($N247/100)*$F247*10)</f>
        <v/>
      </c>
      <c r="Q247" s="9">
        <f>IF(OR(NOT(ISNUMBER($D247)),NOT(ISNUMBER($E247))),"",MAX(0,MIN($E247,SOIL_REPORTING_DEPTH_CM)-MIN($D247,SOIL_REPORTING_DEPTH_CM)))</f>
        <v/>
      </c>
      <c r="R247" s="9">
        <f>IF(OR(NOT(ISNUMBER($O247)),NOT(ISNUMBER($N247)),NOT(ISNUMBER($Q247))),"",$O247*($N247/100)*$Q247*10)</f>
        <v/>
      </c>
      <c r="S247" s="11">
        <f>IF(AND($A247="",$B247="",$D247=""),"",IF(AND($A247&lt;&gt;"",COUNTIF('1. Plot &amp; Site Log'!$A$5:$A$64,$A247)=0),"Plot ID not in the Plot &amp; Site Log. ","")&amp;IF(AND(ISNUMBER($D247),ISNUMBER($E247),$E247&lt;=$D247),"Bottom depth is not below top depth. ","")&amp;IF($L247="Not confirmed","Bulk-density basis not confirmed with the lab — the coarse-fragment correction may be wrong or doubled. ","")&amp;IF(AND(ISNUMBER($M247),OR($M247&lt;QC_BD_MIN,$M247&gt;QC_BD_MAX)),"Bulk density outside the plausible range for a mineral grassland soil. ","")&amp;IF(AND(ISNUMBER($N247),$N247&gt;QC_CARBON_PCT_MAX),"Organic carbon above the QC ceiling — check units, and whether this is an organic horizon. ","")&amp;IF(AND(ISNUMBER($J247),$J247&lt;QC_RECOVERY_MIN),"Recovered less than the QC minimum of the depth driven — the increments may not sit where you think. Do NOT stretch them back out. ","")&amp;IF(AND(ISNUMBER($K247),$K247&gt;0,$L247="Fine earth / total volume"),"Coarse fragments recorded and the lab basis already accounts for them — no further correction applied, which is correct. ",""))</f>
        <v/>
      </c>
      <c r="T247" s="6" t="n"/>
      <c r="U247" s="9">
        <f>IF($B247="",0,IF(COUNTIFS($B$5:$B247,$B247)=1,1,0))</f>
        <v/>
      </c>
    </row>
    <row r="248">
      <c r="A248" s="6" t="n"/>
      <c r="B248" s="6" t="n"/>
      <c r="C248" s="6" t="n"/>
      <c r="D248" s="6" t="n"/>
      <c r="E248" s="6" t="n"/>
      <c r="F248" s="9">
        <f>IF(OR($D248="",$E248=""),"",$E248-$D248)</f>
        <v/>
      </c>
      <c r="G248" s="6" t="n"/>
      <c r="H248" s="6" t="n"/>
      <c r="I248" s="6" t="n"/>
      <c r="J248" s="9">
        <f>IF(OR(NOT(ISNUMBER($H248)),NOT(ISNUMBER($I248)),$H248=0),"",$I248/$H248)</f>
        <v/>
      </c>
      <c r="K248" s="6" t="n"/>
      <c r="L248" s="8" t="n"/>
      <c r="M248" s="7" t="n"/>
      <c r="N248" s="7" t="n"/>
      <c r="O248" s="9">
        <f>IF(NOT(ISNUMBER($M248)),"",IF($L248="Fine earth / fine-earth volume",$M248*(1-IF(ISNUMBER($K248),$K248,0)/100),$M248))</f>
        <v/>
      </c>
      <c r="P248" s="9">
        <f>IF(OR(NOT(ISNUMBER($O248)),NOT(ISNUMBER($N248)),NOT(ISNUMBER($F248))),"",$O248*($N248/100)*$F248*10)</f>
        <v/>
      </c>
      <c r="Q248" s="9">
        <f>IF(OR(NOT(ISNUMBER($D248)),NOT(ISNUMBER($E248))),"",MAX(0,MIN($E248,SOIL_REPORTING_DEPTH_CM)-MIN($D248,SOIL_REPORTING_DEPTH_CM)))</f>
        <v/>
      </c>
      <c r="R248" s="9">
        <f>IF(OR(NOT(ISNUMBER($O248)),NOT(ISNUMBER($N248)),NOT(ISNUMBER($Q248))),"",$O248*($N248/100)*$Q248*10)</f>
        <v/>
      </c>
      <c r="S248" s="11">
        <f>IF(AND($A248="",$B248="",$D248=""),"",IF(AND($A248&lt;&gt;"",COUNTIF('1. Plot &amp; Site Log'!$A$5:$A$64,$A248)=0),"Plot ID not in the Plot &amp; Site Log. ","")&amp;IF(AND(ISNUMBER($D248),ISNUMBER($E248),$E248&lt;=$D248),"Bottom depth is not below top depth. ","")&amp;IF($L248="Not confirmed","Bulk-density basis not confirmed with the lab — the coarse-fragment correction may be wrong or doubled. ","")&amp;IF(AND(ISNUMBER($M248),OR($M248&lt;QC_BD_MIN,$M248&gt;QC_BD_MAX)),"Bulk density outside the plausible range for a mineral grassland soil. ","")&amp;IF(AND(ISNUMBER($N248),$N248&gt;QC_CARBON_PCT_MAX),"Organic carbon above the QC ceiling — check units, and whether this is an organic horizon. ","")&amp;IF(AND(ISNUMBER($J248),$J248&lt;QC_RECOVERY_MIN),"Recovered less than the QC minimum of the depth driven — the increments may not sit where you think. Do NOT stretch them back out. ","")&amp;IF(AND(ISNUMBER($K248),$K248&gt;0,$L248="Fine earth / total volume"),"Coarse fragments recorded and the lab basis already accounts for them — no further correction applied, which is correct. ",""))</f>
        <v/>
      </c>
      <c r="T248" s="6" t="n"/>
      <c r="U248" s="9">
        <f>IF($B248="",0,IF(COUNTIFS($B$5:$B248,$B248)=1,1,0))</f>
        <v/>
      </c>
    </row>
    <row r="249">
      <c r="A249" s="6" t="n"/>
      <c r="B249" s="6" t="n"/>
      <c r="C249" s="6" t="n"/>
      <c r="D249" s="6" t="n"/>
      <c r="E249" s="6" t="n"/>
      <c r="F249" s="9">
        <f>IF(OR($D249="",$E249=""),"",$E249-$D249)</f>
        <v/>
      </c>
      <c r="G249" s="6" t="n"/>
      <c r="H249" s="6" t="n"/>
      <c r="I249" s="6" t="n"/>
      <c r="J249" s="9">
        <f>IF(OR(NOT(ISNUMBER($H249)),NOT(ISNUMBER($I249)),$H249=0),"",$I249/$H249)</f>
        <v/>
      </c>
      <c r="K249" s="6" t="n"/>
      <c r="L249" s="8" t="n"/>
      <c r="M249" s="7" t="n"/>
      <c r="N249" s="7" t="n"/>
      <c r="O249" s="9">
        <f>IF(NOT(ISNUMBER($M249)),"",IF($L249="Fine earth / fine-earth volume",$M249*(1-IF(ISNUMBER($K249),$K249,0)/100),$M249))</f>
        <v/>
      </c>
      <c r="P249" s="9">
        <f>IF(OR(NOT(ISNUMBER($O249)),NOT(ISNUMBER($N249)),NOT(ISNUMBER($F249))),"",$O249*($N249/100)*$F249*10)</f>
        <v/>
      </c>
      <c r="Q249" s="9">
        <f>IF(OR(NOT(ISNUMBER($D249)),NOT(ISNUMBER($E249))),"",MAX(0,MIN($E249,SOIL_REPORTING_DEPTH_CM)-MIN($D249,SOIL_REPORTING_DEPTH_CM)))</f>
        <v/>
      </c>
      <c r="R249" s="9">
        <f>IF(OR(NOT(ISNUMBER($O249)),NOT(ISNUMBER($N249)),NOT(ISNUMBER($Q249))),"",$O249*($N249/100)*$Q249*10)</f>
        <v/>
      </c>
      <c r="S249" s="11">
        <f>IF(AND($A249="",$B249="",$D249=""),"",IF(AND($A249&lt;&gt;"",COUNTIF('1. Plot &amp; Site Log'!$A$5:$A$64,$A249)=0),"Plot ID not in the Plot &amp; Site Log. ","")&amp;IF(AND(ISNUMBER($D249),ISNUMBER($E249),$E249&lt;=$D249),"Bottom depth is not below top depth. ","")&amp;IF($L249="Not confirmed","Bulk-density basis not confirmed with the lab — the coarse-fragment correction may be wrong or doubled. ","")&amp;IF(AND(ISNUMBER($M249),OR($M249&lt;QC_BD_MIN,$M249&gt;QC_BD_MAX)),"Bulk density outside the plausible range for a mineral grassland soil. ","")&amp;IF(AND(ISNUMBER($N249),$N249&gt;QC_CARBON_PCT_MAX),"Organic carbon above the QC ceiling — check units, and whether this is an organic horizon. ","")&amp;IF(AND(ISNUMBER($J249),$J249&lt;QC_RECOVERY_MIN),"Recovered less than the QC minimum of the depth driven — the increments may not sit where you think. Do NOT stretch them back out. ","")&amp;IF(AND(ISNUMBER($K249),$K249&gt;0,$L249="Fine earth / total volume"),"Coarse fragments recorded and the lab basis already accounts for them — no further correction applied, which is correct. ",""))</f>
        <v/>
      </c>
      <c r="T249" s="6" t="n"/>
      <c r="U249" s="9">
        <f>IF($B249="",0,IF(COUNTIFS($B$5:$B249,$B249)=1,1,0))</f>
        <v/>
      </c>
    </row>
    <row r="250">
      <c r="A250" s="6" t="n"/>
      <c r="B250" s="6" t="n"/>
      <c r="C250" s="6" t="n"/>
      <c r="D250" s="6" t="n"/>
      <c r="E250" s="6" t="n"/>
      <c r="F250" s="9">
        <f>IF(OR($D250="",$E250=""),"",$E250-$D250)</f>
        <v/>
      </c>
      <c r="G250" s="6" t="n"/>
      <c r="H250" s="6" t="n"/>
      <c r="I250" s="6" t="n"/>
      <c r="J250" s="9">
        <f>IF(OR(NOT(ISNUMBER($H250)),NOT(ISNUMBER($I250)),$H250=0),"",$I250/$H250)</f>
        <v/>
      </c>
      <c r="K250" s="6" t="n"/>
      <c r="L250" s="8" t="n"/>
      <c r="M250" s="7" t="n"/>
      <c r="N250" s="7" t="n"/>
      <c r="O250" s="9">
        <f>IF(NOT(ISNUMBER($M250)),"",IF($L250="Fine earth / fine-earth volume",$M250*(1-IF(ISNUMBER($K250),$K250,0)/100),$M250))</f>
        <v/>
      </c>
      <c r="P250" s="9">
        <f>IF(OR(NOT(ISNUMBER($O250)),NOT(ISNUMBER($N250)),NOT(ISNUMBER($F250))),"",$O250*($N250/100)*$F250*10)</f>
        <v/>
      </c>
      <c r="Q250" s="9">
        <f>IF(OR(NOT(ISNUMBER($D250)),NOT(ISNUMBER($E250))),"",MAX(0,MIN($E250,SOIL_REPORTING_DEPTH_CM)-MIN($D250,SOIL_REPORTING_DEPTH_CM)))</f>
        <v/>
      </c>
      <c r="R250" s="9">
        <f>IF(OR(NOT(ISNUMBER($O250)),NOT(ISNUMBER($N250)),NOT(ISNUMBER($Q250))),"",$O250*($N250/100)*$Q250*10)</f>
        <v/>
      </c>
      <c r="S250" s="11">
        <f>IF(AND($A250="",$B250="",$D250=""),"",IF(AND($A250&lt;&gt;"",COUNTIF('1. Plot &amp; Site Log'!$A$5:$A$64,$A250)=0),"Plot ID not in the Plot &amp; Site Log. ","")&amp;IF(AND(ISNUMBER($D250),ISNUMBER($E250),$E250&lt;=$D250),"Bottom depth is not below top depth. ","")&amp;IF($L250="Not confirmed","Bulk-density basis not confirmed with the lab — the coarse-fragment correction may be wrong or doubled. ","")&amp;IF(AND(ISNUMBER($M250),OR($M250&lt;QC_BD_MIN,$M250&gt;QC_BD_MAX)),"Bulk density outside the plausible range for a mineral grassland soil. ","")&amp;IF(AND(ISNUMBER($N250),$N250&gt;QC_CARBON_PCT_MAX),"Organic carbon above the QC ceiling — check units, and whether this is an organic horizon. ","")&amp;IF(AND(ISNUMBER($J250),$J250&lt;QC_RECOVERY_MIN),"Recovered less than the QC minimum of the depth driven — the increments may not sit where you think. Do NOT stretch them back out. ","")&amp;IF(AND(ISNUMBER($K250),$K250&gt;0,$L250="Fine earth / total volume"),"Coarse fragments recorded and the lab basis already accounts for them — no further correction applied, which is correct. ",""))</f>
        <v/>
      </c>
      <c r="T250" s="6" t="n"/>
      <c r="U250" s="9">
        <f>IF($B250="",0,IF(COUNTIFS($B$5:$B250,$B250)=1,1,0))</f>
        <v/>
      </c>
    </row>
    <row r="251">
      <c r="A251" s="6" t="n"/>
      <c r="B251" s="6" t="n"/>
      <c r="C251" s="6" t="n"/>
      <c r="D251" s="6" t="n"/>
      <c r="E251" s="6" t="n"/>
      <c r="F251" s="9">
        <f>IF(OR($D251="",$E251=""),"",$E251-$D251)</f>
        <v/>
      </c>
      <c r="G251" s="6" t="n"/>
      <c r="H251" s="6" t="n"/>
      <c r="I251" s="6" t="n"/>
      <c r="J251" s="9">
        <f>IF(OR(NOT(ISNUMBER($H251)),NOT(ISNUMBER($I251)),$H251=0),"",$I251/$H251)</f>
        <v/>
      </c>
      <c r="K251" s="6" t="n"/>
      <c r="L251" s="8" t="n"/>
      <c r="M251" s="7" t="n"/>
      <c r="N251" s="7" t="n"/>
      <c r="O251" s="9">
        <f>IF(NOT(ISNUMBER($M251)),"",IF($L251="Fine earth / fine-earth volume",$M251*(1-IF(ISNUMBER($K251),$K251,0)/100),$M251))</f>
        <v/>
      </c>
      <c r="P251" s="9">
        <f>IF(OR(NOT(ISNUMBER($O251)),NOT(ISNUMBER($N251)),NOT(ISNUMBER($F251))),"",$O251*($N251/100)*$F251*10)</f>
        <v/>
      </c>
      <c r="Q251" s="9">
        <f>IF(OR(NOT(ISNUMBER($D251)),NOT(ISNUMBER($E251))),"",MAX(0,MIN($E251,SOIL_REPORTING_DEPTH_CM)-MIN($D251,SOIL_REPORTING_DEPTH_CM)))</f>
        <v/>
      </c>
      <c r="R251" s="9">
        <f>IF(OR(NOT(ISNUMBER($O251)),NOT(ISNUMBER($N251)),NOT(ISNUMBER($Q251))),"",$O251*($N251/100)*$Q251*10)</f>
        <v/>
      </c>
      <c r="S251" s="11">
        <f>IF(AND($A251="",$B251="",$D251=""),"",IF(AND($A251&lt;&gt;"",COUNTIF('1. Plot &amp; Site Log'!$A$5:$A$64,$A251)=0),"Plot ID not in the Plot &amp; Site Log. ","")&amp;IF(AND(ISNUMBER($D251),ISNUMBER($E251),$E251&lt;=$D251),"Bottom depth is not below top depth. ","")&amp;IF($L251="Not confirmed","Bulk-density basis not confirmed with the lab — the coarse-fragment correction may be wrong or doubled. ","")&amp;IF(AND(ISNUMBER($M251),OR($M251&lt;QC_BD_MIN,$M251&gt;QC_BD_MAX)),"Bulk density outside the plausible range for a mineral grassland soil. ","")&amp;IF(AND(ISNUMBER($N251),$N251&gt;QC_CARBON_PCT_MAX),"Organic carbon above the QC ceiling — check units, and whether this is an organic horizon. ","")&amp;IF(AND(ISNUMBER($J251),$J251&lt;QC_RECOVERY_MIN),"Recovered less than the QC minimum of the depth driven — the increments may not sit where you think. Do NOT stretch them back out. ","")&amp;IF(AND(ISNUMBER($K251),$K251&gt;0,$L251="Fine earth / total volume"),"Coarse fragments recorded and the lab basis already accounts for them — no further correction applied, which is correct. ",""))</f>
        <v/>
      </c>
      <c r="T251" s="6" t="n"/>
      <c r="U251" s="9">
        <f>IF($B251="",0,IF(COUNTIFS($B$5:$B251,$B251)=1,1,0))</f>
        <v/>
      </c>
    </row>
    <row r="252">
      <c r="A252" s="6" t="n"/>
      <c r="B252" s="6" t="n"/>
      <c r="C252" s="6" t="n"/>
      <c r="D252" s="6" t="n"/>
      <c r="E252" s="6" t="n"/>
      <c r="F252" s="9">
        <f>IF(OR($D252="",$E252=""),"",$E252-$D252)</f>
        <v/>
      </c>
      <c r="G252" s="6" t="n"/>
      <c r="H252" s="6" t="n"/>
      <c r="I252" s="6" t="n"/>
      <c r="J252" s="9">
        <f>IF(OR(NOT(ISNUMBER($H252)),NOT(ISNUMBER($I252)),$H252=0),"",$I252/$H252)</f>
        <v/>
      </c>
      <c r="K252" s="6" t="n"/>
      <c r="L252" s="8" t="n"/>
      <c r="M252" s="7" t="n"/>
      <c r="N252" s="7" t="n"/>
      <c r="O252" s="9">
        <f>IF(NOT(ISNUMBER($M252)),"",IF($L252="Fine earth / fine-earth volume",$M252*(1-IF(ISNUMBER($K252),$K252,0)/100),$M252))</f>
        <v/>
      </c>
      <c r="P252" s="9">
        <f>IF(OR(NOT(ISNUMBER($O252)),NOT(ISNUMBER($N252)),NOT(ISNUMBER($F252))),"",$O252*($N252/100)*$F252*10)</f>
        <v/>
      </c>
      <c r="Q252" s="9">
        <f>IF(OR(NOT(ISNUMBER($D252)),NOT(ISNUMBER($E252))),"",MAX(0,MIN($E252,SOIL_REPORTING_DEPTH_CM)-MIN($D252,SOIL_REPORTING_DEPTH_CM)))</f>
        <v/>
      </c>
      <c r="R252" s="9">
        <f>IF(OR(NOT(ISNUMBER($O252)),NOT(ISNUMBER($N252)),NOT(ISNUMBER($Q252))),"",$O252*($N252/100)*$Q252*10)</f>
        <v/>
      </c>
      <c r="S252" s="11">
        <f>IF(AND($A252="",$B252="",$D252=""),"",IF(AND($A252&lt;&gt;"",COUNTIF('1. Plot &amp; Site Log'!$A$5:$A$64,$A252)=0),"Plot ID not in the Plot &amp; Site Log. ","")&amp;IF(AND(ISNUMBER($D252),ISNUMBER($E252),$E252&lt;=$D252),"Bottom depth is not below top depth. ","")&amp;IF($L252="Not confirmed","Bulk-density basis not confirmed with the lab — the coarse-fragment correction may be wrong or doubled. ","")&amp;IF(AND(ISNUMBER($M252),OR($M252&lt;QC_BD_MIN,$M252&gt;QC_BD_MAX)),"Bulk density outside the plausible range for a mineral grassland soil. ","")&amp;IF(AND(ISNUMBER($N252),$N252&gt;QC_CARBON_PCT_MAX),"Organic carbon above the QC ceiling — check units, and whether this is an organic horizon. ","")&amp;IF(AND(ISNUMBER($J252),$J252&lt;QC_RECOVERY_MIN),"Recovered less than the QC minimum of the depth driven — the increments may not sit where you think. Do NOT stretch them back out. ","")&amp;IF(AND(ISNUMBER($K252),$K252&gt;0,$L252="Fine earth / total volume"),"Coarse fragments recorded and the lab basis already accounts for them — no further correction applied, which is correct. ",""))</f>
        <v/>
      </c>
      <c r="T252" s="6" t="n"/>
      <c r="U252" s="9">
        <f>IF($B252="",0,IF(COUNTIFS($B$5:$B252,$B252)=1,1,0))</f>
        <v/>
      </c>
    </row>
    <row r="253">
      <c r="A253" s="6" t="n"/>
      <c r="B253" s="6" t="n"/>
      <c r="C253" s="6" t="n"/>
      <c r="D253" s="6" t="n"/>
      <c r="E253" s="6" t="n"/>
      <c r="F253" s="9">
        <f>IF(OR($D253="",$E253=""),"",$E253-$D253)</f>
        <v/>
      </c>
      <c r="G253" s="6" t="n"/>
      <c r="H253" s="6" t="n"/>
      <c r="I253" s="6" t="n"/>
      <c r="J253" s="9">
        <f>IF(OR(NOT(ISNUMBER($H253)),NOT(ISNUMBER($I253)),$H253=0),"",$I253/$H253)</f>
        <v/>
      </c>
      <c r="K253" s="6" t="n"/>
      <c r="L253" s="8" t="n"/>
      <c r="M253" s="7" t="n"/>
      <c r="N253" s="7" t="n"/>
      <c r="O253" s="9">
        <f>IF(NOT(ISNUMBER($M253)),"",IF($L253="Fine earth / fine-earth volume",$M253*(1-IF(ISNUMBER($K253),$K253,0)/100),$M253))</f>
        <v/>
      </c>
      <c r="P253" s="9">
        <f>IF(OR(NOT(ISNUMBER($O253)),NOT(ISNUMBER($N253)),NOT(ISNUMBER($F253))),"",$O253*($N253/100)*$F253*10)</f>
        <v/>
      </c>
      <c r="Q253" s="9">
        <f>IF(OR(NOT(ISNUMBER($D253)),NOT(ISNUMBER($E253))),"",MAX(0,MIN($E253,SOIL_REPORTING_DEPTH_CM)-MIN($D253,SOIL_REPORTING_DEPTH_CM)))</f>
        <v/>
      </c>
      <c r="R253" s="9">
        <f>IF(OR(NOT(ISNUMBER($O253)),NOT(ISNUMBER($N253)),NOT(ISNUMBER($Q253))),"",$O253*($N253/100)*$Q253*10)</f>
        <v/>
      </c>
      <c r="S253" s="11">
        <f>IF(AND($A253="",$B253="",$D253=""),"",IF(AND($A253&lt;&gt;"",COUNTIF('1. Plot &amp; Site Log'!$A$5:$A$64,$A253)=0),"Plot ID not in the Plot &amp; Site Log. ","")&amp;IF(AND(ISNUMBER($D253),ISNUMBER($E253),$E253&lt;=$D253),"Bottom depth is not below top depth. ","")&amp;IF($L253="Not confirmed","Bulk-density basis not confirmed with the lab — the coarse-fragment correction may be wrong or doubled. ","")&amp;IF(AND(ISNUMBER($M253),OR($M253&lt;QC_BD_MIN,$M253&gt;QC_BD_MAX)),"Bulk density outside the plausible range for a mineral grassland soil. ","")&amp;IF(AND(ISNUMBER($N253),$N253&gt;QC_CARBON_PCT_MAX),"Organic carbon above the QC ceiling — check units, and whether this is an organic horizon. ","")&amp;IF(AND(ISNUMBER($J253),$J253&lt;QC_RECOVERY_MIN),"Recovered less than the QC minimum of the depth driven — the increments may not sit where you think. Do NOT stretch them back out. ","")&amp;IF(AND(ISNUMBER($K253),$K253&gt;0,$L253="Fine earth / total volume"),"Coarse fragments recorded and the lab basis already accounts for them — no further correction applied, which is correct. ",""))</f>
        <v/>
      </c>
      <c r="T253" s="6" t="n"/>
      <c r="U253" s="9">
        <f>IF($B253="",0,IF(COUNTIFS($B$5:$B253,$B253)=1,1,0))</f>
        <v/>
      </c>
    </row>
    <row r="254">
      <c r="A254" s="6" t="n"/>
      <c r="B254" s="6" t="n"/>
      <c r="C254" s="6" t="n"/>
      <c r="D254" s="6" t="n"/>
      <c r="E254" s="6" t="n"/>
      <c r="F254" s="9">
        <f>IF(OR($D254="",$E254=""),"",$E254-$D254)</f>
        <v/>
      </c>
      <c r="G254" s="6" t="n"/>
      <c r="H254" s="6" t="n"/>
      <c r="I254" s="6" t="n"/>
      <c r="J254" s="9">
        <f>IF(OR(NOT(ISNUMBER($H254)),NOT(ISNUMBER($I254)),$H254=0),"",$I254/$H254)</f>
        <v/>
      </c>
      <c r="K254" s="6" t="n"/>
      <c r="L254" s="8" t="n"/>
      <c r="M254" s="7" t="n"/>
      <c r="N254" s="7" t="n"/>
      <c r="O254" s="9">
        <f>IF(NOT(ISNUMBER($M254)),"",IF($L254="Fine earth / fine-earth volume",$M254*(1-IF(ISNUMBER($K254),$K254,0)/100),$M254))</f>
        <v/>
      </c>
      <c r="P254" s="9">
        <f>IF(OR(NOT(ISNUMBER($O254)),NOT(ISNUMBER($N254)),NOT(ISNUMBER($F254))),"",$O254*($N254/100)*$F254*10)</f>
        <v/>
      </c>
      <c r="Q254" s="9">
        <f>IF(OR(NOT(ISNUMBER($D254)),NOT(ISNUMBER($E254))),"",MAX(0,MIN($E254,SOIL_REPORTING_DEPTH_CM)-MIN($D254,SOIL_REPORTING_DEPTH_CM)))</f>
        <v/>
      </c>
      <c r="R254" s="9">
        <f>IF(OR(NOT(ISNUMBER($O254)),NOT(ISNUMBER($N254)),NOT(ISNUMBER($Q254))),"",$O254*($N254/100)*$Q254*10)</f>
        <v/>
      </c>
      <c r="S254" s="11">
        <f>IF(AND($A254="",$B254="",$D254=""),"",IF(AND($A254&lt;&gt;"",COUNTIF('1. Plot &amp; Site Log'!$A$5:$A$64,$A254)=0),"Plot ID not in the Plot &amp; Site Log. ","")&amp;IF(AND(ISNUMBER($D254),ISNUMBER($E254),$E254&lt;=$D254),"Bottom depth is not below top depth. ","")&amp;IF($L254="Not confirmed","Bulk-density basis not confirmed with the lab — the coarse-fragment correction may be wrong or doubled. ","")&amp;IF(AND(ISNUMBER($M254),OR($M254&lt;QC_BD_MIN,$M254&gt;QC_BD_MAX)),"Bulk density outside the plausible range for a mineral grassland soil. ","")&amp;IF(AND(ISNUMBER($N254),$N254&gt;QC_CARBON_PCT_MAX),"Organic carbon above the QC ceiling — check units, and whether this is an organic horizon. ","")&amp;IF(AND(ISNUMBER($J254),$J254&lt;QC_RECOVERY_MIN),"Recovered less than the QC minimum of the depth driven — the increments may not sit where you think. Do NOT stretch them back out. ","")&amp;IF(AND(ISNUMBER($K254),$K254&gt;0,$L254="Fine earth / total volume"),"Coarse fragments recorded and the lab basis already accounts for them — no further correction applied, which is correct. ",""))</f>
        <v/>
      </c>
      <c r="T254" s="6" t="n"/>
      <c r="U254" s="9">
        <f>IF($B254="",0,IF(COUNTIFS($B$5:$B254,$B254)=1,1,0))</f>
        <v/>
      </c>
    </row>
    <row r="255">
      <c r="A255" s="6" t="n"/>
      <c r="B255" s="6" t="n"/>
      <c r="C255" s="6" t="n"/>
      <c r="D255" s="6" t="n"/>
      <c r="E255" s="6" t="n"/>
      <c r="F255" s="9">
        <f>IF(OR($D255="",$E255=""),"",$E255-$D255)</f>
        <v/>
      </c>
      <c r="G255" s="6" t="n"/>
      <c r="H255" s="6" t="n"/>
      <c r="I255" s="6" t="n"/>
      <c r="J255" s="9">
        <f>IF(OR(NOT(ISNUMBER($H255)),NOT(ISNUMBER($I255)),$H255=0),"",$I255/$H255)</f>
        <v/>
      </c>
      <c r="K255" s="6" t="n"/>
      <c r="L255" s="8" t="n"/>
      <c r="M255" s="7" t="n"/>
      <c r="N255" s="7" t="n"/>
      <c r="O255" s="9">
        <f>IF(NOT(ISNUMBER($M255)),"",IF($L255="Fine earth / fine-earth volume",$M255*(1-IF(ISNUMBER($K255),$K255,0)/100),$M255))</f>
        <v/>
      </c>
      <c r="P255" s="9">
        <f>IF(OR(NOT(ISNUMBER($O255)),NOT(ISNUMBER($N255)),NOT(ISNUMBER($F255))),"",$O255*($N255/100)*$F255*10)</f>
        <v/>
      </c>
      <c r="Q255" s="9">
        <f>IF(OR(NOT(ISNUMBER($D255)),NOT(ISNUMBER($E255))),"",MAX(0,MIN($E255,SOIL_REPORTING_DEPTH_CM)-MIN($D255,SOIL_REPORTING_DEPTH_CM)))</f>
        <v/>
      </c>
      <c r="R255" s="9">
        <f>IF(OR(NOT(ISNUMBER($O255)),NOT(ISNUMBER($N255)),NOT(ISNUMBER($Q255))),"",$O255*($N255/100)*$Q255*10)</f>
        <v/>
      </c>
      <c r="S255" s="11">
        <f>IF(AND($A255="",$B255="",$D255=""),"",IF(AND($A255&lt;&gt;"",COUNTIF('1. Plot &amp; Site Log'!$A$5:$A$64,$A255)=0),"Plot ID not in the Plot &amp; Site Log. ","")&amp;IF(AND(ISNUMBER($D255),ISNUMBER($E255),$E255&lt;=$D255),"Bottom depth is not below top depth. ","")&amp;IF($L255="Not confirmed","Bulk-density basis not confirmed with the lab — the coarse-fragment correction may be wrong or doubled. ","")&amp;IF(AND(ISNUMBER($M255),OR($M255&lt;QC_BD_MIN,$M255&gt;QC_BD_MAX)),"Bulk density outside the plausible range for a mineral grassland soil. ","")&amp;IF(AND(ISNUMBER($N255),$N255&gt;QC_CARBON_PCT_MAX),"Organic carbon above the QC ceiling — check units, and whether this is an organic horizon. ","")&amp;IF(AND(ISNUMBER($J255),$J255&lt;QC_RECOVERY_MIN),"Recovered less than the QC minimum of the depth driven — the increments may not sit where you think. Do NOT stretch them back out. ","")&amp;IF(AND(ISNUMBER($K255),$K255&gt;0,$L255="Fine earth / total volume"),"Coarse fragments recorded and the lab basis already accounts for them — no further correction applied, which is correct. ",""))</f>
        <v/>
      </c>
      <c r="T255" s="6" t="n"/>
      <c r="U255" s="9">
        <f>IF($B255="",0,IF(COUNTIFS($B$5:$B255,$B255)=1,1,0))</f>
        <v/>
      </c>
    </row>
    <row r="256">
      <c r="A256" s="6" t="n"/>
      <c r="B256" s="6" t="n"/>
      <c r="C256" s="6" t="n"/>
      <c r="D256" s="6" t="n"/>
      <c r="E256" s="6" t="n"/>
      <c r="F256" s="9">
        <f>IF(OR($D256="",$E256=""),"",$E256-$D256)</f>
        <v/>
      </c>
      <c r="G256" s="6" t="n"/>
      <c r="H256" s="6" t="n"/>
      <c r="I256" s="6" t="n"/>
      <c r="J256" s="9">
        <f>IF(OR(NOT(ISNUMBER($H256)),NOT(ISNUMBER($I256)),$H256=0),"",$I256/$H256)</f>
        <v/>
      </c>
      <c r="K256" s="6" t="n"/>
      <c r="L256" s="8" t="n"/>
      <c r="M256" s="7" t="n"/>
      <c r="N256" s="7" t="n"/>
      <c r="O256" s="9">
        <f>IF(NOT(ISNUMBER($M256)),"",IF($L256="Fine earth / fine-earth volume",$M256*(1-IF(ISNUMBER($K256),$K256,0)/100),$M256))</f>
        <v/>
      </c>
      <c r="P256" s="9">
        <f>IF(OR(NOT(ISNUMBER($O256)),NOT(ISNUMBER($N256)),NOT(ISNUMBER($F256))),"",$O256*($N256/100)*$F256*10)</f>
        <v/>
      </c>
      <c r="Q256" s="9">
        <f>IF(OR(NOT(ISNUMBER($D256)),NOT(ISNUMBER($E256))),"",MAX(0,MIN($E256,SOIL_REPORTING_DEPTH_CM)-MIN($D256,SOIL_REPORTING_DEPTH_CM)))</f>
        <v/>
      </c>
      <c r="R256" s="9">
        <f>IF(OR(NOT(ISNUMBER($O256)),NOT(ISNUMBER($N256)),NOT(ISNUMBER($Q256))),"",$O256*($N256/100)*$Q256*10)</f>
        <v/>
      </c>
      <c r="S256" s="11">
        <f>IF(AND($A256="",$B256="",$D256=""),"",IF(AND($A256&lt;&gt;"",COUNTIF('1. Plot &amp; Site Log'!$A$5:$A$64,$A256)=0),"Plot ID not in the Plot &amp; Site Log. ","")&amp;IF(AND(ISNUMBER($D256),ISNUMBER($E256),$E256&lt;=$D256),"Bottom depth is not below top depth. ","")&amp;IF($L256="Not confirmed","Bulk-density basis not confirmed with the lab — the coarse-fragment correction may be wrong or doubled. ","")&amp;IF(AND(ISNUMBER($M256),OR($M256&lt;QC_BD_MIN,$M256&gt;QC_BD_MAX)),"Bulk density outside the plausible range for a mineral grassland soil. ","")&amp;IF(AND(ISNUMBER($N256),$N256&gt;QC_CARBON_PCT_MAX),"Organic carbon above the QC ceiling — check units, and whether this is an organic horizon. ","")&amp;IF(AND(ISNUMBER($J256),$J256&lt;QC_RECOVERY_MIN),"Recovered less than the QC minimum of the depth driven — the increments may not sit where you think. Do NOT stretch them back out. ","")&amp;IF(AND(ISNUMBER($K256),$K256&gt;0,$L256="Fine earth / total volume"),"Coarse fragments recorded and the lab basis already accounts for them — no further correction applied, which is correct. ",""))</f>
        <v/>
      </c>
      <c r="T256" s="6" t="n"/>
      <c r="U256" s="9">
        <f>IF($B256="",0,IF(COUNTIFS($B$5:$B256,$B256)=1,1,0))</f>
        <v/>
      </c>
    </row>
    <row r="257">
      <c r="A257" s="6" t="n"/>
      <c r="B257" s="6" t="n"/>
      <c r="C257" s="6" t="n"/>
      <c r="D257" s="6" t="n"/>
      <c r="E257" s="6" t="n"/>
      <c r="F257" s="9">
        <f>IF(OR($D257="",$E257=""),"",$E257-$D257)</f>
        <v/>
      </c>
      <c r="G257" s="6" t="n"/>
      <c r="H257" s="6" t="n"/>
      <c r="I257" s="6" t="n"/>
      <c r="J257" s="9">
        <f>IF(OR(NOT(ISNUMBER($H257)),NOT(ISNUMBER($I257)),$H257=0),"",$I257/$H257)</f>
        <v/>
      </c>
      <c r="K257" s="6" t="n"/>
      <c r="L257" s="8" t="n"/>
      <c r="M257" s="7" t="n"/>
      <c r="N257" s="7" t="n"/>
      <c r="O257" s="9">
        <f>IF(NOT(ISNUMBER($M257)),"",IF($L257="Fine earth / fine-earth volume",$M257*(1-IF(ISNUMBER($K257),$K257,0)/100),$M257))</f>
        <v/>
      </c>
      <c r="P257" s="9">
        <f>IF(OR(NOT(ISNUMBER($O257)),NOT(ISNUMBER($N257)),NOT(ISNUMBER($F257))),"",$O257*($N257/100)*$F257*10)</f>
        <v/>
      </c>
      <c r="Q257" s="9">
        <f>IF(OR(NOT(ISNUMBER($D257)),NOT(ISNUMBER($E257))),"",MAX(0,MIN($E257,SOIL_REPORTING_DEPTH_CM)-MIN($D257,SOIL_REPORTING_DEPTH_CM)))</f>
        <v/>
      </c>
      <c r="R257" s="9">
        <f>IF(OR(NOT(ISNUMBER($O257)),NOT(ISNUMBER($N257)),NOT(ISNUMBER($Q257))),"",$O257*($N257/100)*$Q257*10)</f>
        <v/>
      </c>
      <c r="S257" s="11">
        <f>IF(AND($A257="",$B257="",$D257=""),"",IF(AND($A257&lt;&gt;"",COUNTIF('1. Plot &amp; Site Log'!$A$5:$A$64,$A257)=0),"Plot ID not in the Plot &amp; Site Log. ","")&amp;IF(AND(ISNUMBER($D257),ISNUMBER($E257),$E257&lt;=$D257),"Bottom depth is not below top depth. ","")&amp;IF($L257="Not confirmed","Bulk-density basis not confirmed with the lab — the coarse-fragment correction may be wrong or doubled. ","")&amp;IF(AND(ISNUMBER($M257),OR($M257&lt;QC_BD_MIN,$M257&gt;QC_BD_MAX)),"Bulk density outside the plausible range for a mineral grassland soil. ","")&amp;IF(AND(ISNUMBER($N257),$N257&gt;QC_CARBON_PCT_MAX),"Organic carbon above the QC ceiling — check units, and whether this is an organic horizon. ","")&amp;IF(AND(ISNUMBER($J257),$J257&lt;QC_RECOVERY_MIN),"Recovered less than the QC minimum of the depth driven — the increments may not sit where you think. Do NOT stretch them back out. ","")&amp;IF(AND(ISNUMBER($K257),$K257&gt;0,$L257="Fine earth / total volume"),"Coarse fragments recorded and the lab basis already accounts for them — no further correction applied, which is correct. ",""))</f>
        <v/>
      </c>
      <c r="T257" s="6" t="n"/>
      <c r="U257" s="9">
        <f>IF($B257="",0,IF(COUNTIFS($B$5:$B257,$B257)=1,1,0))</f>
        <v/>
      </c>
    </row>
    <row r="258">
      <c r="A258" s="6" t="n"/>
      <c r="B258" s="6" t="n"/>
      <c r="C258" s="6" t="n"/>
      <c r="D258" s="6" t="n"/>
      <c r="E258" s="6" t="n"/>
      <c r="F258" s="9">
        <f>IF(OR($D258="",$E258=""),"",$E258-$D258)</f>
        <v/>
      </c>
      <c r="G258" s="6" t="n"/>
      <c r="H258" s="6" t="n"/>
      <c r="I258" s="6" t="n"/>
      <c r="J258" s="9">
        <f>IF(OR(NOT(ISNUMBER($H258)),NOT(ISNUMBER($I258)),$H258=0),"",$I258/$H258)</f>
        <v/>
      </c>
      <c r="K258" s="6" t="n"/>
      <c r="L258" s="8" t="n"/>
      <c r="M258" s="7" t="n"/>
      <c r="N258" s="7" t="n"/>
      <c r="O258" s="9">
        <f>IF(NOT(ISNUMBER($M258)),"",IF($L258="Fine earth / fine-earth volume",$M258*(1-IF(ISNUMBER($K258),$K258,0)/100),$M258))</f>
        <v/>
      </c>
      <c r="P258" s="9">
        <f>IF(OR(NOT(ISNUMBER($O258)),NOT(ISNUMBER($N258)),NOT(ISNUMBER($F258))),"",$O258*($N258/100)*$F258*10)</f>
        <v/>
      </c>
      <c r="Q258" s="9">
        <f>IF(OR(NOT(ISNUMBER($D258)),NOT(ISNUMBER($E258))),"",MAX(0,MIN($E258,SOIL_REPORTING_DEPTH_CM)-MIN($D258,SOIL_REPORTING_DEPTH_CM)))</f>
        <v/>
      </c>
      <c r="R258" s="9">
        <f>IF(OR(NOT(ISNUMBER($O258)),NOT(ISNUMBER($N258)),NOT(ISNUMBER($Q258))),"",$O258*($N258/100)*$Q258*10)</f>
        <v/>
      </c>
      <c r="S258" s="11">
        <f>IF(AND($A258="",$B258="",$D258=""),"",IF(AND($A258&lt;&gt;"",COUNTIF('1. Plot &amp; Site Log'!$A$5:$A$64,$A258)=0),"Plot ID not in the Plot &amp; Site Log. ","")&amp;IF(AND(ISNUMBER($D258),ISNUMBER($E258),$E258&lt;=$D258),"Bottom depth is not below top depth. ","")&amp;IF($L258="Not confirmed","Bulk-density basis not confirmed with the lab — the coarse-fragment correction may be wrong or doubled. ","")&amp;IF(AND(ISNUMBER($M258),OR($M258&lt;QC_BD_MIN,$M258&gt;QC_BD_MAX)),"Bulk density outside the plausible range for a mineral grassland soil. ","")&amp;IF(AND(ISNUMBER($N258),$N258&gt;QC_CARBON_PCT_MAX),"Organic carbon above the QC ceiling — check units, and whether this is an organic horizon. ","")&amp;IF(AND(ISNUMBER($J258),$J258&lt;QC_RECOVERY_MIN),"Recovered less than the QC minimum of the depth driven — the increments may not sit where you think. Do NOT stretch them back out. ","")&amp;IF(AND(ISNUMBER($K258),$K258&gt;0,$L258="Fine earth / total volume"),"Coarse fragments recorded and the lab basis already accounts for them — no further correction applied, which is correct. ",""))</f>
        <v/>
      </c>
      <c r="T258" s="6" t="n"/>
      <c r="U258" s="9">
        <f>IF($B258="",0,IF(COUNTIFS($B$5:$B258,$B258)=1,1,0))</f>
        <v/>
      </c>
    </row>
    <row r="259">
      <c r="A259" s="6" t="n"/>
      <c r="B259" s="6" t="n"/>
      <c r="C259" s="6" t="n"/>
      <c r="D259" s="6" t="n"/>
      <c r="E259" s="6" t="n"/>
      <c r="F259" s="9">
        <f>IF(OR($D259="",$E259=""),"",$E259-$D259)</f>
        <v/>
      </c>
      <c r="G259" s="6" t="n"/>
      <c r="H259" s="6" t="n"/>
      <c r="I259" s="6" t="n"/>
      <c r="J259" s="9">
        <f>IF(OR(NOT(ISNUMBER($H259)),NOT(ISNUMBER($I259)),$H259=0),"",$I259/$H259)</f>
        <v/>
      </c>
      <c r="K259" s="6" t="n"/>
      <c r="L259" s="8" t="n"/>
      <c r="M259" s="7" t="n"/>
      <c r="N259" s="7" t="n"/>
      <c r="O259" s="9">
        <f>IF(NOT(ISNUMBER($M259)),"",IF($L259="Fine earth / fine-earth volume",$M259*(1-IF(ISNUMBER($K259),$K259,0)/100),$M259))</f>
        <v/>
      </c>
      <c r="P259" s="9">
        <f>IF(OR(NOT(ISNUMBER($O259)),NOT(ISNUMBER($N259)),NOT(ISNUMBER($F259))),"",$O259*($N259/100)*$F259*10)</f>
        <v/>
      </c>
      <c r="Q259" s="9">
        <f>IF(OR(NOT(ISNUMBER($D259)),NOT(ISNUMBER($E259))),"",MAX(0,MIN($E259,SOIL_REPORTING_DEPTH_CM)-MIN($D259,SOIL_REPORTING_DEPTH_CM)))</f>
        <v/>
      </c>
      <c r="R259" s="9">
        <f>IF(OR(NOT(ISNUMBER($O259)),NOT(ISNUMBER($N259)),NOT(ISNUMBER($Q259))),"",$O259*($N259/100)*$Q259*10)</f>
        <v/>
      </c>
      <c r="S259" s="11">
        <f>IF(AND($A259="",$B259="",$D259=""),"",IF(AND($A259&lt;&gt;"",COUNTIF('1. Plot &amp; Site Log'!$A$5:$A$64,$A259)=0),"Plot ID not in the Plot &amp; Site Log. ","")&amp;IF(AND(ISNUMBER($D259),ISNUMBER($E259),$E259&lt;=$D259),"Bottom depth is not below top depth. ","")&amp;IF($L259="Not confirmed","Bulk-density basis not confirmed with the lab — the coarse-fragment correction may be wrong or doubled. ","")&amp;IF(AND(ISNUMBER($M259),OR($M259&lt;QC_BD_MIN,$M259&gt;QC_BD_MAX)),"Bulk density outside the plausible range for a mineral grassland soil. ","")&amp;IF(AND(ISNUMBER($N259),$N259&gt;QC_CARBON_PCT_MAX),"Organic carbon above the QC ceiling — check units, and whether this is an organic horizon. ","")&amp;IF(AND(ISNUMBER($J259),$J259&lt;QC_RECOVERY_MIN),"Recovered less than the QC minimum of the depth driven — the increments may not sit where you think. Do NOT stretch them back out. ","")&amp;IF(AND(ISNUMBER($K259),$K259&gt;0,$L259="Fine earth / total volume"),"Coarse fragments recorded and the lab basis already accounts for them — no further correction applied, which is correct. ",""))</f>
        <v/>
      </c>
      <c r="T259" s="6" t="n"/>
      <c r="U259" s="9">
        <f>IF($B259="",0,IF(COUNTIFS($B$5:$B259,$B259)=1,1,0))</f>
        <v/>
      </c>
    </row>
    <row r="260">
      <c r="A260" s="6" t="n"/>
      <c r="B260" s="6" t="n"/>
      <c r="C260" s="6" t="n"/>
      <c r="D260" s="6" t="n"/>
      <c r="E260" s="6" t="n"/>
      <c r="F260" s="9">
        <f>IF(OR($D260="",$E260=""),"",$E260-$D260)</f>
        <v/>
      </c>
      <c r="G260" s="6" t="n"/>
      <c r="H260" s="6" t="n"/>
      <c r="I260" s="6" t="n"/>
      <c r="J260" s="9">
        <f>IF(OR(NOT(ISNUMBER($H260)),NOT(ISNUMBER($I260)),$H260=0),"",$I260/$H260)</f>
        <v/>
      </c>
      <c r="K260" s="6" t="n"/>
      <c r="L260" s="8" t="n"/>
      <c r="M260" s="7" t="n"/>
      <c r="N260" s="7" t="n"/>
      <c r="O260" s="9">
        <f>IF(NOT(ISNUMBER($M260)),"",IF($L260="Fine earth / fine-earth volume",$M260*(1-IF(ISNUMBER($K260),$K260,0)/100),$M260))</f>
        <v/>
      </c>
      <c r="P260" s="9">
        <f>IF(OR(NOT(ISNUMBER($O260)),NOT(ISNUMBER($N260)),NOT(ISNUMBER($F260))),"",$O260*($N260/100)*$F260*10)</f>
        <v/>
      </c>
      <c r="Q260" s="9">
        <f>IF(OR(NOT(ISNUMBER($D260)),NOT(ISNUMBER($E260))),"",MAX(0,MIN($E260,SOIL_REPORTING_DEPTH_CM)-MIN($D260,SOIL_REPORTING_DEPTH_CM)))</f>
        <v/>
      </c>
      <c r="R260" s="9">
        <f>IF(OR(NOT(ISNUMBER($O260)),NOT(ISNUMBER($N260)),NOT(ISNUMBER($Q260))),"",$O260*($N260/100)*$Q260*10)</f>
        <v/>
      </c>
      <c r="S260" s="11">
        <f>IF(AND($A260="",$B260="",$D260=""),"",IF(AND($A260&lt;&gt;"",COUNTIF('1. Plot &amp; Site Log'!$A$5:$A$64,$A260)=0),"Plot ID not in the Plot &amp; Site Log. ","")&amp;IF(AND(ISNUMBER($D260),ISNUMBER($E260),$E260&lt;=$D260),"Bottom depth is not below top depth. ","")&amp;IF($L260="Not confirmed","Bulk-density basis not confirmed with the lab — the coarse-fragment correction may be wrong or doubled. ","")&amp;IF(AND(ISNUMBER($M260),OR($M260&lt;QC_BD_MIN,$M260&gt;QC_BD_MAX)),"Bulk density outside the plausible range for a mineral grassland soil. ","")&amp;IF(AND(ISNUMBER($N260),$N260&gt;QC_CARBON_PCT_MAX),"Organic carbon above the QC ceiling — check units, and whether this is an organic horizon. ","")&amp;IF(AND(ISNUMBER($J260),$J260&lt;QC_RECOVERY_MIN),"Recovered less than the QC minimum of the depth driven — the increments may not sit where you think. Do NOT stretch them back out. ","")&amp;IF(AND(ISNUMBER($K260),$K260&gt;0,$L260="Fine earth / total volume"),"Coarse fragments recorded and the lab basis already accounts for them — no further correction applied, which is correct. ",""))</f>
        <v/>
      </c>
      <c r="T260" s="6" t="n"/>
      <c r="U260" s="9">
        <f>IF($B260="",0,IF(COUNTIFS($B$5:$B260,$B260)=1,1,0))</f>
        <v/>
      </c>
    </row>
    <row r="261">
      <c r="A261" s="6" t="n"/>
      <c r="B261" s="6" t="n"/>
      <c r="C261" s="6" t="n"/>
      <c r="D261" s="6" t="n"/>
      <c r="E261" s="6" t="n"/>
      <c r="F261" s="9">
        <f>IF(OR($D261="",$E261=""),"",$E261-$D261)</f>
        <v/>
      </c>
      <c r="G261" s="6" t="n"/>
      <c r="H261" s="6" t="n"/>
      <c r="I261" s="6" t="n"/>
      <c r="J261" s="9">
        <f>IF(OR(NOT(ISNUMBER($H261)),NOT(ISNUMBER($I261)),$H261=0),"",$I261/$H261)</f>
        <v/>
      </c>
      <c r="K261" s="6" t="n"/>
      <c r="L261" s="8" t="n"/>
      <c r="M261" s="7" t="n"/>
      <c r="N261" s="7" t="n"/>
      <c r="O261" s="9">
        <f>IF(NOT(ISNUMBER($M261)),"",IF($L261="Fine earth / fine-earth volume",$M261*(1-IF(ISNUMBER($K261),$K261,0)/100),$M261))</f>
        <v/>
      </c>
      <c r="P261" s="9">
        <f>IF(OR(NOT(ISNUMBER($O261)),NOT(ISNUMBER($N261)),NOT(ISNUMBER($F261))),"",$O261*($N261/100)*$F261*10)</f>
        <v/>
      </c>
      <c r="Q261" s="9">
        <f>IF(OR(NOT(ISNUMBER($D261)),NOT(ISNUMBER($E261))),"",MAX(0,MIN($E261,SOIL_REPORTING_DEPTH_CM)-MIN($D261,SOIL_REPORTING_DEPTH_CM)))</f>
        <v/>
      </c>
      <c r="R261" s="9">
        <f>IF(OR(NOT(ISNUMBER($O261)),NOT(ISNUMBER($N261)),NOT(ISNUMBER($Q261))),"",$O261*($N261/100)*$Q261*10)</f>
        <v/>
      </c>
      <c r="S261" s="11">
        <f>IF(AND($A261="",$B261="",$D261=""),"",IF(AND($A261&lt;&gt;"",COUNTIF('1. Plot &amp; Site Log'!$A$5:$A$64,$A261)=0),"Plot ID not in the Plot &amp; Site Log. ","")&amp;IF(AND(ISNUMBER($D261),ISNUMBER($E261),$E261&lt;=$D261),"Bottom depth is not below top depth. ","")&amp;IF($L261="Not confirmed","Bulk-density basis not confirmed with the lab — the coarse-fragment correction may be wrong or doubled. ","")&amp;IF(AND(ISNUMBER($M261),OR($M261&lt;QC_BD_MIN,$M261&gt;QC_BD_MAX)),"Bulk density outside the plausible range for a mineral grassland soil. ","")&amp;IF(AND(ISNUMBER($N261),$N261&gt;QC_CARBON_PCT_MAX),"Organic carbon above the QC ceiling — check units, and whether this is an organic horizon. ","")&amp;IF(AND(ISNUMBER($J261),$J261&lt;QC_RECOVERY_MIN),"Recovered less than the QC minimum of the depth driven — the increments may not sit where you think. Do NOT stretch them back out. ","")&amp;IF(AND(ISNUMBER($K261),$K261&gt;0,$L261="Fine earth / total volume"),"Coarse fragments recorded and the lab basis already accounts for them — no further correction applied, which is correct. ",""))</f>
        <v/>
      </c>
      <c r="T261" s="6" t="n"/>
      <c r="U261" s="9">
        <f>IF($B261="",0,IF(COUNTIFS($B$5:$B261,$B261)=1,1,0))</f>
        <v/>
      </c>
    </row>
    <row r="262">
      <c r="A262" s="6" t="n"/>
      <c r="B262" s="6" t="n"/>
      <c r="C262" s="6" t="n"/>
      <c r="D262" s="6" t="n"/>
      <c r="E262" s="6" t="n"/>
      <c r="F262" s="9">
        <f>IF(OR($D262="",$E262=""),"",$E262-$D262)</f>
        <v/>
      </c>
      <c r="G262" s="6" t="n"/>
      <c r="H262" s="6" t="n"/>
      <c r="I262" s="6" t="n"/>
      <c r="J262" s="9">
        <f>IF(OR(NOT(ISNUMBER($H262)),NOT(ISNUMBER($I262)),$H262=0),"",$I262/$H262)</f>
        <v/>
      </c>
      <c r="K262" s="6" t="n"/>
      <c r="L262" s="8" t="n"/>
      <c r="M262" s="7" t="n"/>
      <c r="N262" s="7" t="n"/>
      <c r="O262" s="9">
        <f>IF(NOT(ISNUMBER($M262)),"",IF($L262="Fine earth / fine-earth volume",$M262*(1-IF(ISNUMBER($K262),$K262,0)/100),$M262))</f>
        <v/>
      </c>
      <c r="P262" s="9">
        <f>IF(OR(NOT(ISNUMBER($O262)),NOT(ISNUMBER($N262)),NOT(ISNUMBER($F262))),"",$O262*($N262/100)*$F262*10)</f>
        <v/>
      </c>
      <c r="Q262" s="9">
        <f>IF(OR(NOT(ISNUMBER($D262)),NOT(ISNUMBER($E262))),"",MAX(0,MIN($E262,SOIL_REPORTING_DEPTH_CM)-MIN($D262,SOIL_REPORTING_DEPTH_CM)))</f>
        <v/>
      </c>
      <c r="R262" s="9">
        <f>IF(OR(NOT(ISNUMBER($O262)),NOT(ISNUMBER($N262)),NOT(ISNUMBER($Q262))),"",$O262*($N262/100)*$Q262*10)</f>
        <v/>
      </c>
      <c r="S262" s="11">
        <f>IF(AND($A262="",$B262="",$D262=""),"",IF(AND($A262&lt;&gt;"",COUNTIF('1. Plot &amp; Site Log'!$A$5:$A$64,$A262)=0),"Plot ID not in the Plot &amp; Site Log. ","")&amp;IF(AND(ISNUMBER($D262),ISNUMBER($E262),$E262&lt;=$D262),"Bottom depth is not below top depth. ","")&amp;IF($L262="Not confirmed","Bulk-density basis not confirmed with the lab — the coarse-fragment correction may be wrong or doubled. ","")&amp;IF(AND(ISNUMBER($M262),OR($M262&lt;QC_BD_MIN,$M262&gt;QC_BD_MAX)),"Bulk density outside the plausible range for a mineral grassland soil. ","")&amp;IF(AND(ISNUMBER($N262),$N262&gt;QC_CARBON_PCT_MAX),"Organic carbon above the QC ceiling — check units, and whether this is an organic horizon. ","")&amp;IF(AND(ISNUMBER($J262),$J262&lt;QC_RECOVERY_MIN),"Recovered less than the QC minimum of the depth driven — the increments may not sit where you think. Do NOT stretch them back out. ","")&amp;IF(AND(ISNUMBER($K262),$K262&gt;0,$L262="Fine earth / total volume"),"Coarse fragments recorded and the lab basis already accounts for them — no further correction applied, which is correct. ",""))</f>
        <v/>
      </c>
      <c r="T262" s="6" t="n"/>
      <c r="U262" s="9">
        <f>IF($B262="",0,IF(COUNTIFS($B$5:$B262,$B262)=1,1,0))</f>
        <v/>
      </c>
    </row>
    <row r="263">
      <c r="A263" s="6" t="n"/>
      <c r="B263" s="6" t="n"/>
      <c r="C263" s="6" t="n"/>
      <c r="D263" s="6" t="n"/>
      <c r="E263" s="6" t="n"/>
      <c r="F263" s="9">
        <f>IF(OR($D263="",$E263=""),"",$E263-$D263)</f>
        <v/>
      </c>
      <c r="G263" s="6" t="n"/>
      <c r="H263" s="6" t="n"/>
      <c r="I263" s="6" t="n"/>
      <c r="J263" s="9">
        <f>IF(OR(NOT(ISNUMBER($H263)),NOT(ISNUMBER($I263)),$H263=0),"",$I263/$H263)</f>
        <v/>
      </c>
      <c r="K263" s="6" t="n"/>
      <c r="L263" s="8" t="n"/>
      <c r="M263" s="7" t="n"/>
      <c r="N263" s="7" t="n"/>
      <c r="O263" s="9">
        <f>IF(NOT(ISNUMBER($M263)),"",IF($L263="Fine earth / fine-earth volume",$M263*(1-IF(ISNUMBER($K263),$K263,0)/100),$M263))</f>
        <v/>
      </c>
      <c r="P263" s="9">
        <f>IF(OR(NOT(ISNUMBER($O263)),NOT(ISNUMBER($N263)),NOT(ISNUMBER($F263))),"",$O263*($N263/100)*$F263*10)</f>
        <v/>
      </c>
      <c r="Q263" s="9">
        <f>IF(OR(NOT(ISNUMBER($D263)),NOT(ISNUMBER($E263))),"",MAX(0,MIN($E263,SOIL_REPORTING_DEPTH_CM)-MIN($D263,SOIL_REPORTING_DEPTH_CM)))</f>
        <v/>
      </c>
      <c r="R263" s="9">
        <f>IF(OR(NOT(ISNUMBER($O263)),NOT(ISNUMBER($N263)),NOT(ISNUMBER($Q263))),"",$O263*($N263/100)*$Q263*10)</f>
        <v/>
      </c>
      <c r="S263" s="11">
        <f>IF(AND($A263="",$B263="",$D263=""),"",IF(AND($A263&lt;&gt;"",COUNTIF('1. Plot &amp; Site Log'!$A$5:$A$64,$A263)=0),"Plot ID not in the Plot &amp; Site Log. ","")&amp;IF(AND(ISNUMBER($D263),ISNUMBER($E263),$E263&lt;=$D263),"Bottom depth is not below top depth. ","")&amp;IF($L263="Not confirmed","Bulk-density basis not confirmed with the lab — the coarse-fragment correction may be wrong or doubled. ","")&amp;IF(AND(ISNUMBER($M263),OR($M263&lt;QC_BD_MIN,$M263&gt;QC_BD_MAX)),"Bulk density outside the plausible range for a mineral grassland soil. ","")&amp;IF(AND(ISNUMBER($N263),$N263&gt;QC_CARBON_PCT_MAX),"Organic carbon above the QC ceiling — check units, and whether this is an organic horizon. ","")&amp;IF(AND(ISNUMBER($J263),$J263&lt;QC_RECOVERY_MIN),"Recovered less than the QC minimum of the depth driven — the increments may not sit where you think. Do NOT stretch them back out. ","")&amp;IF(AND(ISNUMBER($K263),$K263&gt;0,$L263="Fine earth / total volume"),"Coarse fragments recorded and the lab basis already accounts for them — no further correction applied, which is correct. ",""))</f>
        <v/>
      </c>
      <c r="T263" s="6" t="n"/>
      <c r="U263" s="9">
        <f>IF($B263="",0,IF(COUNTIFS($B$5:$B263,$B263)=1,1,0))</f>
        <v/>
      </c>
    </row>
    <row r="264">
      <c r="A264" s="6" t="n"/>
      <c r="B264" s="6" t="n"/>
      <c r="C264" s="6" t="n"/>
      <c r="D264" s="6" t="n"/>
      <c r="E264" s="6" t="n"/>
      <c r="F264" s="9">
        <f>IF(OR($D264="",$E264=""),"",$E264-$D264)</f>
        <v/>
      </c>
      <c r="G264" s="6" t="n"/>
      <c r="H264" s="6" t="n"/>
      <c r="I264" s="6" t="n"/>
      <c r="J264" s="9">
        <f>IF(OR(NOT(ISNUMBER($H264)),NOT(ISNUMBER($I264)),$H264=0),"",$I264/$H264)</f>
        <v/>
      </c>
      <c r="K264" s="6" t="n"/>
      <c r="L264" s="8" t="n"/>
      <c r="M264" s="7" t="n"/>
      <c r="N264" s="7" t="n"/>
      <c r="O264" s="9">
        <f>IF(NOT(ISNUMBER($M264)),"",IF($L264="Fine earth / fine-earth volume",$M264*(1-IF(ISNUMBER($K264),$K264,0)/100),$M264))</f>
        <v/>
      </c>
      <c r="P264" s="9">
        <f>IF(OR(NOT(ISNUMBER($O264)),NOT(ISNUMBER($N264)),NOT(ISNUMBER($F264))),"",$O264*($N264/100)*$F264*10)</f>
        <v/>
      </c>
      <c r="Q264" s="9">
        <f>IF(OR(NOT(ISNUMBER($D264)),NOT(ISNUMBER($E264))),"",MAX(0,MIN($E264,SOIL_REPORTING_DEPTH_CM)-MIN($D264,SOIL_REPORTING_DEPTH_CM)))</f>
        <v/>
      </c>
      <c r="R264" s="9">
        <f>IF(OR(NOT(ISNUMBER($O264)),NOT(ISNUMBER($N264)),NOT(ISNUMBER($Q264))),"",$O264*($N264/100)*$Q264*10)</f>
        <v/>
      </c>
      <c r="S264" s="11">
        <f>IF(AND($A264="",$B264="",$D264=""),"",IF(AND($A264&lt;&gt;"",COUNTIF('1. Plot &amp; Site Log'!$A$5:$A$64,$A264)=0),"Plot ID not in the Plot &amp; Site Log. ","")&amp;IF(AND(ISNUMBER($D264),ISNUMBER($E264),$E264&lt;=$D264),"Bottom depth is not below top depth. ","")&amp;IF($L264="Not confirmed","Bulk-density basis not confirmed with the lab — the coarse-fragment correction may be wrong or doubled. ","")&amp;IF(AND(ISNUMBER($M264),OR($M264&lt;QC_BD_MIN,$M264&gt;QC_BD_MAX)),"Bulk density outside the plausible range for a mineral grassland soil. ","")&amp;IF(AND(ISNUMBER($N264),$N264&gt;QC_CARBON_PCT_MAX),"Organic carbon above the QC ceiling — check units, and whether this is an organic horizon. ","")&amp;IF(AND(ISNUMBER($J264),$J264&lt;QC_RECOVERY_MIN),"Recovered less than the QC minimum of the depth driven — the increments may not sit where you think. Do NOT stretch them back out. ","")&amp;IF(AND(ISNUMBER($K264),$K264&gt;0,$L264="Fine earth / total volume"),"Coarse fragments recorded and the lab basis already accounts for them — no further correction applied, which is correct. ",""))</f>
        <v/>
      </c>
      <c r="T264" s="6" t="n"/>
      <c r="U264" s="9">
        <f>IF($B264="",0,IF(COUNTIFS($B$5:$B264,$B264)=1,1,0))</f>
        <v/>
      </c>
    </row>
    <row r="265">
      <c r="A265" s="6" t="n"/>
      <c r="B265" s="6" t="n"/>
      <c r="C265" s="6" t="n"/>
      <c r="D265" s="6" t="n"/>
      <c r="E265" s="6" t="n"/>
      <c r="F265" s="9">
        <f>IF(OR($D265="",$E265=""),"",$E265-$D265)</f>
        <v/>
      </c>
      <c r="G265" s="6" t="n"/>
      <c r="H265" s="6" t="n"/>
      <c r="I265" s="6" t="n"/>
      <c r="J265" s="9">
        <f>IF(OR(NOT(ISNUMBER($H265)),NOT(ISNUMBER($I265)),$H265=0),"",$I265/$H265)</f>
        <v/>
      </c>
      <c r="K265" s="6" t="n"/>
      <c r="L265" s="8" t="n"/>
      <c r="M265" s="7" t="n"/>
      <c r="N265" s="7" t="n"/>
      <c r="O265" s="9">
        <f>IF(NOT(ISNUMBER($M265)),"",IF($L265="Fine earth / fine-earth volume",$M265*(1-IF(ISNUMBER($K265),$K265,0)/100),$M265))</f>
        <v/>
      </c>
      <c r="P265" s="9">
        <f>IF(OR(NOT(ISNUMBER($O265)),NOT(ISNUMBER($N265)),NOT(ISNUMBER($F265))),"",$O265*($N265/100)*$F265*10)</f>
        <v/>
      </c>
      <c r="Q265" s="9">
        <f>IF(OR(NOT(ISNUMBER($D265)),NOT(ISNUMBER($E265))),"",MAX(0,MIN($E265,SOIL_REPORTING_DEPTH_CM)-MIN($D265,SOIL_REPORTING_DEPTH_CM)))</f>
        <v/>
      </c>
      <c r="R265" s="9">
        <f>IF(OR(NOT(ISNUMBER($O265)),NOT(ISNUMBER($N265)),NOT(ISNUMBER($Q265))),"",$O265*($N265/100)*$Q265*10)</f>
        <v/>
      </c>
      <c r="S265" s="11">
        <f>IF(AND($A265="",$B265="",$D265=""),"",IF(AND($A265&lt;&gt;"",COUNTIF('1. Plot &amp; Site Log'!$A$5:$A$64,$A265)=0),"Plot ID not in the Plot &amp; Site Log. ","")&amp;IF(AND(ISNUMBER($D265),ISNUMBER($E265),$E265&lt;=$D265),"Bottom depth is not below top depth. ","")&amp;IF($L265="Not confirmed","Bulk-density basis not confirmed with the lab — the coarse-fragment correction may be wrong or doubled. ","")&amp;IF(AND(ISNUMBER($M265),OR($M265&lt;QC_BD_MIN,$M265&gt;QC_BD_MAX)),"Bulk density outside the plausible range for a mineral grassland soil. ","")&amp;IF(AND(ISNUMBER($N265),$N265&gt;QC_CARBON_PCT_MAX),"Organic carbon above the QC ceiling — check units, and whether this is an organic horizon. ","")&amp;IF(AND(ISNUMBER($J265),$J265&lt;QC_RECOVERY_MIN),"Recovered less than the QC minimum of the depth driven — the increments may not sit where you think. Do NOT stretch them back out. ","")&amp;IF(AND(ISNUMBER($K265),$K265&gt;0,$L265="Fine earth / total volume"),"Coarse fragments recorded and the lab basis already accounts for them — no further correction applied, which is correct. ",""))</f>
        <v/>
      </c>
      <c r="T265" s="6" t="n"/>
      <c r="U265" s="9">
        <f>IF($B265="",0,IF(COUNTIFS($B$5:$B265,$B265)=1,1,0))</f>
        <v/>
      </c>
    </row>
    <row r="266">
      <c r="A266" s="6" t="n"/>
      <c r="B266" s="6" t="n"/>
      <c r="C266" s="6" t="n"/>
      <c r="D266" s="6" t="n"/>
      <c r="E266" s="6" t="n"/>
      <c r="F266" s="9">
        <f>IF(OR($D266="",$E266=""),"",$E266-$D266)</f>
        <v/>
      </c>
      <c r="G266" s="6" t="n"/>
      <c r="H266" s="6" t="n"/>
      <c r="I266" s="6" t="n"/>
      <c r="J266" s="9">
        <f>IF(OR(NOT(ISNUMBER($H266)),NOT(ISNUMBER($I266)),$H266=0),"",$I266/$H266)</f>
        <v/>
      </c>
      <c r="K266" s="6" t="n"/>
      <c r="L266" s="8" t="n"/>
      <c r="M266" s="7" t="n"/>
      <c r="N266" s="7" t="n"/>
      <c r="O266" s="9">
        <f>IF(NOT(ISNUMBER($M266)),"",IF($L266="Fine earth / fine-earth volume",$M266*(1-IF(ISNUMBER($K266),$K266,0)/100),$M266))</f>
        <v/>
      </c>
      <c r="P266" s="9">
        <f>IF(OR(NOT(ISNUMBER($O266)),NOT(ISNUMBER($N266)),NOT(ISNUMBER($F266))),"",$O266*($N266/100)*$F266*10)</f>
        <v/>
      </c>
      <c r="Q266" s="9">
        <f>IF(OR(NOT(ISNUMBER($D266)),NOT(ISNUMBER($E266))),"",MAX(0,MIN($E266,SOIL_REPORTING_DEPTH_CM)-MIN($D266,SOIL_REPORTING_DEPTH_CM)))</f>
        <v/>
      </c>
      <c r="R266" s="9">
        <f>IF(OR(NOT(ISNUMBER($O266)),NOT(ISNUMBER($N266)),NOT(ISNUMBER($Q266))),"",$O266*($N266/100)*$Q266*10)</f>
        <v/>
      </c>
      <c r="S266" s="11">
        <f>IF(AND($A266="",$B266="",$D266=""),"",IF(AND($A266&lt;&gt;"",COUNTIF('1. Plot &amp; Site Log'!$A$5:$A$64,$A266)=0),"Plot ID not in the Plot &amp; Site Log. ","")&amp;IF(AND(ISNUMBER($D266),ISNUMBER($E266),$E266&lt;=$D266),"Bottom depth is not below top depth. ","")&amp;IF($L266="Not confirmed","Bulk-density basis not confirmed with the lab — the coarse-fragment correction may be wrong or doubled. ","")&amp;IF(AND(ISNUMBER($M266),OR($M266&lt;QC_BD_MIN,$M266&gt;QC_BD_MAX)),"Bulk density outside the plausible range for a mineral grassland soil. ","")&amp;IF(AND(ISNUMBER($N266),$N266&gt;QC_CARBON_PCT_MAX),"Organic carbon above the QC ceiling — check units, and whether this is an organic horizon. ","")&amp;IF(AND(ISNUMBER($J266),$J266&lt;QC_RECOVERY_MIN),"Recovered less than the QC minimum of the depth driven — the increments may not sit where you think. Do NOT stretch them back out. ","")&amp;IF(AND(ISNUMBER($K266),$K266&gt;0,$L266="Fine earth / total volume"),"Coarse fragments recorded and the lab basis already accounts for them — no further correction applied, which is correct. ",""))</f>
        <v/>
      </c>
      <c r="T266" s="6" t="n"/>
      <c r="U266" s="9">
        <f>IF($B266="",0,IF(COUNTIFS($B$5:$B266,$B266)=1,1,0))</f>
        <v/>
      </c>
    </row>
    <row r="267">
      <c r="A267" s="6" t="n"/>
      <c r="B267" s="6" t="n"/>
      <c r="C267" s="6" t="n"/>
      <c r="D267" s="6" t="n"/>
      <c r="E267" s="6" t="n"/>
      <c r="F267" s="9">
        <f>IF(OR($D267="",$E267=""),"",$E267-$D267)</f>
        <v/>
      </c>
      <c r="G267" s="6" t="n"/>
      <c r="H267" s="6" t="n"/>
      <c r="I267" s="6" t="n"/>
      <c r="J267" s="9">
        <f>IF(OR(NOT(ISNUMBER($H267)),NOT(ISNUMBER($I267)),$H267=0),"",$I267/$H267)</f>
        <v/>
      </c>
      <c r="K267" s="6" t="n"/>
      <c r="L267" s="8" t="n"/>
      <c r="M267" s="7" t="n"/>
      <c r="N267" s="7" t="n"/>
      <c r="O267" s="9">
        <f>IF(NOT(ISNUMBER($M267)),"",IF($L267="Fine earth / fine-earth volume",$M267*(1-IF(ISNUMBER($K267),$K267,0)/100),$M267))</f>
        <v/>
      </c>
      <c r="P267" s="9">
        <f>IF(OR(NOT(ISNUMBER($O267)),NOT(ISNUMBER($N267)),NOT(ISNUMBER($F267))),"",$O267*($N267/100)*$F267*10)</f>
        <v/>
      </c>
      <c r="Q267" s="9">
        <f>IF(OR(NOT(ISNUMBER($D267)),NOT(ISNUMBER($E267))),"",MAX(0,MIN($E267,SOIL_REPORTING_DEPTH_CM)-MIN($D267,SOIL_REPORTING_DEPTH_CM)))</f>
        <v/>
      </c>
      <c r="R267" s="9">
        <f>IF(OR(NOT(ISNUMBER($O267)),NOT(ISNUMBER($N267)),NOT(ISNUMBER($Q267))),"",$O267*($N267/100)*$Q267*10)</f>
        <v/>
      </c>
      <c r="S267" s="11">
        <f>IF(AND($A267="",$B267="",$D267=""),"",IF(AND($A267&lt;&gt;"",COUNTIF('1. Plot &amp; Site Log'!$A$5:$A$64,$A267)=0),"Plot ID not in the Plot &amp; Site Log. ","")&amp;IF(AND(ISNUMBER($D267),ISNUMBER($E267),$E267&lt;=$D267),"Bottom depth is not below top depth. ","")&amp;IF($L267="Not confirmed","Bulk-density basis not confirmed with the lab — the coarse-fragment correction may be wrong or doubled. ","")&amp;IF(AND(ISNUMBER($M267),OR($M267&lt;QC_BD_MIN,$M267&gt;QC_BD_MAX)),"Bulk density outside the plausible range for a mineral grassland soil. ","")&amp;IF(AND(ISNUMBER($N267),$N267&gt;QC_CARBON_PCT_MAX),"Organic carbon above the QC ceiling — check units, and whether this is an organic horizon. ","")&amp;IF(AND(ISNUMBER($J267),$J267&lt;QC_RECOVERY_MIN),"Recovered less than the QC minimum of the depth driven — the increments may not sit where you think. Do NOT stretch them back out. ","")&amp;IF(AND(ISNUMBER($K267),$K267&gt;0,$L267="Fine earth / total volume"),"Coarse fragments recorded and the lab basis already accounts for them — no further correction applied, which is correct. ",""))</f>
        <v/>
      </c>
      <c r="T267" s="6" t="n"/>
      <c r="U267" s="9">
        <f>IF($B267="",0,IF(COUNTIFS($B$5:$B267,$B267)=1,1,0))</f>
        <v/>
      </c>
    </row>
    <row r="268">
      <c r="A268" s="6" t="n"/>
      <c r="B268" s="6" t="n"/>
      <c r="C268" s="6" t="n"/>
      <c r="D268" s="6" t="n"/>
      <c r="E268" s="6" t="n"/>
      <c r="F268" s="9">
        <f>IF(OR($D268="",$E268=""),"",$E268-$D268)</f>
        <v/>
      </c>
      <c r="G268" s="6" t="n"/>
      <c r="H268" s="6" t="n"/>
      <c r="I268" s="6" t="n"/>
      <c r="J268" s="9">
        <f>IF(OR(NOT(ISNUMBER($H268)),NOT(ISNUMBER($I268)),$H268=0),"",$I268/$H268)</f>
        <v/>
      </c>
      <c r="K268" s="6" t="n"/>
      <c r="L268" s="8" t="n"/>
      <c r="M268" s="7" t="n"/>
      <c r="N268" s="7" t="n"/>
      <c r="O268" s="9">
        <f>IF(NOT(ISNUMBER($M268)),"",IF($L268="Fine earth / fine-earth volume",$M268*(1-IF(ISNUMBER($K268),$K268,0)/100),$M268))</f>
        <v/>
      </c>
      <c r="P268" s="9">
        <f>IF(OR(NOT(ISNUMBER($O268)),NOT(ISNUMBER($N268)),NOT(ISNUMBER($F268))),"",$O268*($N268/100)*$F268*10)</f>
        <v/>
      </c>
      <c r="Q268" s="9">
        <f>IF(OR(NOT(ISNUMBER($D268)),NOT(ISNUMBER($E268))),"",MAX(0,MIN($E268,SOIL_REPORTING_DEPTH_CM)-MIN($D268,SOIL_REPORTING_DEPTH_CM)))</f>
        <v/>
      </c>
      <c r="R268" s="9">
        <f>IF(OR(NOT(ISNUMBER($O268)),NOT(ISNUMBER($N268)),NOT(ISNUMBER($Q268))),"",$O268*($N268/100)*$Q268*10)</f>
        <v/>
      </c>
      <c r="S268" s="11">
        <f>IF(AND($A268="",$B268="",$D268=""),"",IF(AND($A268&lt;&gt;"",COUNTIF('1. Plot &amp; Site Log'!$A$5:$A$64,$A268)=0),"Plot ID not in the Plot &amp; Site Log. ","")&amp;IF(AND(ISNUMBER($D268),ISNUMBER($E268),$E268&lt;=$D268),"Bottom depth is not below top depth. ","")&amp;IF($L268="Not confirmed","Bulk-density basis not confirmed with the lab — the coarse-fragment correction may be wrong or doubled. ","")&amp;IF(AND(ISNUMBER($M268),OR($M268&lt;QC_BD_MIN,$M268&gt;QC_BD_MAX)),"Bulk density outside the plausible range for a mineral grassland soil. ","")&amp;IF(AND(ISNUMBER($N268),$N268&gt;QC_CARBON_PCT_MAX),"Organic carbon above the QC ceiling — check units, and whether this is an organic horizon. ","")&amp;IF(AND(ISNUMBER($J268),$J268&lt;QC_RECOVERY_MIN),"Recovered less than the QC minimum of the depth driven — the increments may not sit where you think. Do NOT stretch them back out. ","")&amp;IF(AND(ISNUMBER($K268),$K268&gt;0,$L268="Fine earth / total volume"),"Coarse fragments recorded and the lab basis already accounts for them — no further correction applied, which is correct. ",""))</f>
        <v/>
      </c>
      <c r="T268" s="6" t="n"/>
      <c r="U268" s="9">
        <f>IF($B268="",0,IF(COUNTIFS($B$5:$B268,$B268)=1,1,0))</f>
        <v/>
      </c>
    </row>
    <row r="269">
      <c r="A269" s="6" t="n"/>
      <c r="B269" s="6" t="n"/>
      <c r="C269" s="6" t="n"/>
      <c r="D269" s="6" t="n"/>
      <c r="E269" s="6" t="n"/>
      <c r="F269" s="9">
        <f>IF(OR($D269="",$E269=""),"",$E269-$D269)</f>
        <v/>
      </c>
      <c r="G269" s="6" t="n"/>
      <c r="H269" s="6" t="n"/>
      <c r="I269" s="6" t="n"/>
      <c r="J269" s="9">
        <f>IF(OR(NOT(ISNUMBER($H269)),NOT(ISNUMBER($I269)),$H269=0),"",$I269/$H269)</f>
        <v/>
      </c>
      <c r="K269" s="6" t="n"/>
      <c r="L269" s="8" t="n"/>
      <c r="M269" s="7" t="n"/>
      <c r="N269" s="7" t="n"/>
      <c r="O269" s="9">
        <f>IF(NOT(ISNUMBER($M269)),"",IF($L269="Fine earth / fine-earth volume",$M269*(1-IF(ISNUMBER($K269),$K269,0)/100),$M269))</f>
        <v/>
      </c>
      <c r="P269" s="9">
        <f>IF(OR(NOT(ISNUMBER($O269)),NOT(ISNUMBER($N269)),NOT(ISNUMBER($F269))),"",$O269*($N269/100)*$F269*10)</f>
        <v/>
      </c>
      <c r="Q269" s="9">
        <f>IF(OR(NOT(ISNUMBER($D269)),NOT(ISNUMBER($E269))),"",MAX(0,MIN($E269,SOIL_REPORTING_DEPTH_CM)-MIN($D269,SOIL_REPORTING_DEPTH_CM)))</f>
        <v/>
      </c>
      <c r="R269" s="9">
        <f>IF(OR(NOT(ISNUMBER($O269)),NOT(ISNUMBER($N269)),NOT(ISNUMBER($Q269))),"",$O269*($N269/100)*$Q269*10)</f>
        <v/>
      </c>
      <c r="S269" s="11">
        <f>IF(AND($A269="",$B269="",$D269=""),"",IF(AND($A269&lt;&gt;"",COUNTIF('1. Plot &amp; Site Log'!$A$5:$A$64,$A269)=0),"Plot ID not in the Plot &amp; Site Log. ","")&amp;IF(AND(ISNUMBER($D269),ISNUMBER($E269),$E269&lt;=$D269),"Bottom depth is not below top depth. ","")&amp;IF($L269="Not confirmed","Bulk-density basis not confirmed with the lab — the coarse-fragment correction may be wrong or doubled. ","")&amp;IF(AND(ISNUMBER($M269),OR($M269&lt;QC_BD_MIN,$M269&gt;QC_BD_MAX)),"Bulk density outside the plausible range for a mineral grassland soil. ","")&amp;IF(AND(ISNUMBER($N269),$N269&gt;QC_CARBON_PCT_MAX),"Organic carbon above the QC ceiling — check units, and whether this is an organic horizon. ","")&amp;IF(AND(ISNUMBER($J269),$J269&lt;QC_RECOVERY_MIN),"Recovered less than the QC minimum of the depth driven — the increments may not sit where you think. Do NOT stretch them back out. ","")&amp;IF(AND(ISNUMBER($K269),$K269&gt;0,$L269="Fine earth / total volume"),"Coarse fragments recorded and the lab basis already accounts for them — no further correction applied, which is correct. ",""))</f>
        <v/>
      </c>
      <c r="T269" s="6" t="n"/>
      <c r="U269" s="9">
        <f>IF($B269="",0,IF(COUNTIFS($B$5:$B269,$B269)=1,1,0))</f>
        <v/>
      </c>
    </row>
    <row r="270">
      <c r="A270" s="6" t="n"/>
      <c r="B270" s="6" t="n"/>
      <c r="C270" s="6" t="n"/>
      <c r="D270" s="6" t="n"/>
      <c r="E270" s="6" t="n"/>
      <c r="F270" s="9">
        <f>IF(OR($D270="",$E270=""),"",$E270-$D270)</f>
        <v/>
      </c>
      <c r="G270" s="6" t="n"/>
      <c r="H270" s="6" t="n"/>
      <c r="I270" s="6" t="n"/>
      <c r="J270" s="9">
        <f>IF(OR(NOT(ISNUMBER($H270)),NOT(ISNUMBER($I270)),$H270=0),"",$I270/$H270)</f>
        <v/>
      </c>
      <c r="K270" s="6" t="n"/>
      <c r="L270" s="8" t="n"/>
      <c r="M270" s="7" t="n"/>
      <c r="N270" s="7" t="n"/>
      <c r="O270" s="9">
        <f>IF(NOT(ISNUMBER($M270)),"",IF($L270="Fine earth / fine-earth volume",$M270*(1-IF(ISNUMBER($K270),$K270,0)/100),$M270))</f>
        <v/>
      </c>
      <c r="P270" s="9">
        <f>IF(OR(NOT(ISNUMBER($O270)),NOT(ISNUMBER($N270)),NOT(ISNUMBER($F270))),"",$O270*($N270/100)*$F270*10)</f>
        <v/>
      </c>
      <c r="Q270" s="9">
        <f>IF(OR(NOT(ISNUMBER($D270)),NOT(ISNUMBER($E270))),"",MAX(0,MIN($E270,SOIL_REPORTING_DEPTH_CM)-MIN($D270,SOIL_REPORTING_DEPTH_CM)))</f>
        <v/>
      </c>
      <c r="R270" s="9">
        <f>IF(OR(NOT(ISNUMBER($O270)),NOT(ISNUMBER($N270)),NOT(ISNUMBER($Q270))),"",$O270*($N270/100)*$Q270*10)</f>
        <v/>
      </c>
      <c r="S270" s="11">
        <f>IF(AND($A270="",$B270="",$D270=""),"",IF(AND($A270&lt;&gt;"",COUNTIF('1. Plot &amp; Site Log'!$A$5:$A$64,$A270)=0),"Plot ID not in the Plot &amp; Site Log. ","")&amp;IF(AND(ISNUMBER($D270),ISNUMBER($E270),$E270&lt;=$D270),"Bottom depth is not below top depth. ","")&amp;IF($L270="Not confirmed","Bulk-density basis not confirmed with the lab — the coarse-fragment correction may be wrong or doubled. ","")&amp;IF(AND(ISNUMBER($M270),OR($M270&lt;QC_BD_MIN,$M270&gt;QC_BD_MAX)),"Bulk density outside the plausible range for a mineral grassland soil. ","")&amp;IF(AND(ISNUMBER($N270),$N270&gt;QC_CARBON_PCT_MAX),"Organic carbon above the QC ceiling — check units, and whether this is an organic horizon. ","")&amp;IF(AND(ISNUMBER($J270),$J270&lt;QC_RECOVERY_MIN),"Recovered less than the QC minimum of the depth driven — the increments may not sit where you think. Do NOT stretch them back out. ","")&amp;IF(AND(ISNUMBER($K270),$K270&gt;0,$L270="Fine earth / total volume"),"Coarse fragments recorded and the lab basis already accounts for them — no further correction applied, which is correct. ",""))</f>
        <v/>
      </c>
      <c r="T270" s="6" t="n"/>
      <c r="U270" s="9">
        <f>IF($B270="",0,IF(COUNTIFS($B$5:$B270,$B270)=1,1,0))</f>
        <v/>
      </c>
    </row>
    <row r="271">
      <c r="A271" s="6" t="n"/>
      <c r="B271" s="6" t="n"/>
      <c r="C271" s="6" t="n"/>
      <c r="D271" s="6" t="n"/>
      <c r="E271" s="6" t="n"/>
      <c r="F271" s="9">
        <f>IF(OR($D271="",$E271=""),"",$E271-$D271)</f>
        <v/>
      </c>
      <c r="G271" s="6" t="n"/>
      <c r="H271" s="6" t="n"/>
      <c r="I271" s="6" t="n"/>
      <c r="J271" s="9">
        <f>IF(OR(NOT(ISNUMBER($H271)),NOT(ISNUMBER($I271)),$H271=0),"",$I271/$H271)</f>
        <v/>
      </c>
      <c r="K271" s="6" t="n"/>
      <c r="L271" s="8" t="n"/>
      <c r="M271" s="7" t="n"/>
      <c r="N271" s="7" t="n"/>
      <c r="O271" s="9">
        <f>IF(NOT(ISNUMBER($M271)),"",IF($L271="Fine earth / fine-earth volume",$M271*(1-IF(ISNUMBER($K271),$K271,0)/100),$M271))</f>
        <v/>
      </c>
      <c r="P271" s="9">
        <f>IF(OR(NOT(ISNUMBER($O271)),NOT(ISNUMBER($N271)),NOT(ISNUMBER($F271))),"",$O271*($N271/100)*$F271*10)</f>
        <v/>
      </c>
      <c r="Q271" s="9">
        <f>IF(OR(NOT(ISNUMBER($D271)),NOT(ISNUMBER($E271))),"",MAX(0,MIN($E271,SOIL_REPORTING_DEPTH_CM)-MIN($D271,SOIL_REPORTING_DEPTH_CM)))</f>
        <v/>
      </c>
      <c r="R271" s="9">
        <f>IF(OR(NOT(ISNUMBER($O271)),NOT(ISNUMBER($N271)),NOT(ISNUMBER($Q271))),"",$O271*($N271/100)*$Q271*10)</f>
        <v/>
      </c>
      <c r="S271" s="11">
        <f>IF(AND($A271="",$B271="",$D271=""),"",IF(AND($A271&lt;&gt;"",COUNTIF('1. Plot &amp; Site Log'!$A$5:$A$64,$A271)=0),"Plot ID not in the Plot &amp; Site Log. ","")&amp;IF(AND(ISNUMBER($D271),ISNUMBER($E271),$E271&lt;=$D271),"Bottom depth is not below top depth. ","")&amp;IF($L271="Not confirmed","Bulk-density basis not confirmed with the lab — the coarse-fragment correction may be wrong or doubled. ","")&amp;IF(AND(ISNUMBER($M271),OR($M271&lt;QC_BD_MIN,$M271&gt;QC_BD_MAX)),"Bulk density outside the plausible range for a mineral grassland soil. ","")&amp;IF(AND(ISNUMBER($N271),$N271&gt;QC_CARBON_PCT_MAX),"Organic carbon above the QC ceiling — check units, and whether this is an organic horizon. ","")&amp;IF(AND(ISNUMBER($J271),$J271&lt;QC_RECOVERY_MIN),"Recovered less than the QC minimum of the depth driven — the increments may not sit where you think. Do NOT stretch them back out. ","")&amp;IF(AND(ISNUMBER($K271),$K271&gt;0,$L271="Fine earth / total volume"),"Coarse fragments recorded and the lab basis already accounts for them — no further correction applied, which is correct. ",""))</f>
        <v/>
      </c>
      <c r="T271" s="6" t="n"/>
      <c r="U271" s="9">
        <f>IF($B271="",0,IF(COUNTIFS($B$5:$B271,$B271)=1,1,0))</f>
        <v/>
      </c>
    </row>
    <row r="272">
      <c r="A272" s="6" t="n"/>
      <c r="B272" s="6" t="n"/>
      <c r="C272" s="6" t="n"/>
      <c r="D272" s="6" t="n"/>
      <c r="E272" s="6" t="n"/>
      <c r="F272" s="9">
        <f>IF(OR($D272="",$E272=""),"",$E272-$D272)</f>
        <v/>
      </c>
      <c r="G272" s="6" t="n"/>
      <c r="H272" s="6" t="n"/>
      <c r="I272" s="6" t="n"/>
      <c r="J272" s="9">
        <f>IF(OR(NOT(ISNUMBER($H272)),NOT(ISNUMBER($I272)),$H272=0),"",$I272/$H272)</f>
        <v/>
      </c>
      <c r="K272" s="6" t="n"/>
      <c r="L272" s="8" t="n"/>
      <c r="M272" s="7" t="n"/>
      <c r="N272" s="7" t="n"/>
      <c r="O272" s="9">
        <f>IF(NOT(ISNUMBER($M272)),"",IF($L272="Fine earth / fine-earth volume",$M272*(1-IF(ISNUMBER($K272),$K272,0)/100),$M272))</f>
        <v/>
      </c>
      <c r="P272" s="9">
        <f>IF(OR(NOT(ISNUMBER($O272)),NOT(ISNUMBER($N272)),NOT(ISNUMBER($F272))),"",$O272*($N272/100)*$F272*10)</f>
        <v/>
      </c>
      <c r="Q272" s="9">
        <f>IF(OR(NOT(ISNUMBER($D272)),NOT(ISNUMBER($E272))),"",MAX(0,MIN($E272,SOIL_REPORTING_DEPTH_CM)-MIN($D272,SOIL_REPORTING_DEPTH_CM)))</f>
        <v/>
      </c>
      <c r="R272" s="9">
        <f>IF(OR(NOT(ISNUMBER($O272)),NOT(ISNUMBER($N272)),NOT(ISNUMBER($Q272))),"",$O272*($N272/100)*$Q272*10)</f>
        <v/>
      </c>
      <c r="S272" s="11">
        <f>IF(AND($A272="",$B272="",$D272=""),"",IF(AND($A272&lt;&gt;"",COUNTIF('1. Plot &amp; Site Log'!$A$5:$A$64,$A272)=0),"Plot ID not in the Plot &amp; Site Log. ","")&amp;IF(AND(ISNUMBER($D272),ISNUMBER($E272),$E272&lt;=$D272),"Bottom depth is not below top depth. ","")&amp;IF($L272="Not confirmed","Bulk-density basis not confirmed with the lab — the coarse-fragment correction may be wrong or doubled. ","")&amp;IF(AND(ISNUMBER($M272),OR($M272&lt;QC_BD_MIN,$M272&gt;QC_BD_MAX)),"Bulk density outside the plausible range for a mineral grassland soil. ","")&amp;IF(AND(ISNUMBER($N272),$N272&gt;QC_CARBON_PCT_MAX),"Organic carbon above the QC ceiling — check units, and whether this is an organic horizon. ","")&amp;IF(AND(ISNUMBER($J272),$J272&lt;QC_RECOVERY_MIN),"Recovered less than the QC minimum of the depth driven — the increments may not sit where you think. Do NOT stretch them back out. ","")&amp;IF(AND(ISNUMBER($K272),$K272&gt;0,$L272="Fine earth / total volume"),"Coarse fragments recorded and the lab basis already accounts for them — no further correction applied, which is correct. ",""))</f>
        <v/>
      </c>
      <c r="T272" s="6" t="n"/>
      <c r="U272" s="9">
        <f>IF($B272="",0,IF(COUNTIFS($B$5:$B272,$B272)=1,1,0))</f>
        <v/>
      </c>
    </row>
    <row r="273">
      <c r="A273" s="6" t="n"/>
      <c r="B273" s="6" t="n"/>
      <c r="C273" s="6" t="n"/>
      <c r="D273" s="6" t="n"/>
      <c r="E273" s="6" t="n"/>
      <c r="F273" s="9">
        <f>IF(OR($D273="",$E273=""),"",$E273-$D273)</f>
        <v/>
      </c>
      <c r="G273" s="6" t="n"/>
      <c r="H273" s="6" t="n"/>
      <c r="I273" s="6" t="n"/>
      <c r="J273" s="9">
        <f>IF(OR(NOT(ISNUMBER($H273)),NOT(ISNUMBER($I273)),$H273=0),"",$I273/$H273)</f>
        <v/>
      </c>
      <c r="K273" s="6" t="n"/>
      <c r="L273" s="8" t="n"/>
      <c r="M273" s="7" t="n"/>
      <c r="N273" s="7" t="n"/>
      <c r="O273" s="9">
        <f>IF(NOT(ISNUMBER($M273)),"",IF($L273="Fine earth / fine-earth volume",$M273*(1-IF(ISNUMBER($K273),$K273,0)/100),$M273))</f>
        <v/>
      </c>
      <c r="P273" s="9">
        <f>IF(OR(NOT(ISNUMBER($O273)),NOT(ISNUMBER($N273)),NOT(ISNUMBER($F273))),"",$O273*($N273/100)*$F273*10)</f>
        <v/>
      </c>
      <c r="Q273" s="9">
        <f>IF(OR(NOT(ISNUMBER($D273)),NOT(ISNUMBER($E273))),"",MAX(0,MIN($E273,SOIL_REPORTING_DEPTH_CM)-MIN($D273,SOIL_REPORTING_DEPTH_CM)))</f>
        <v/>
      </c>
      <c r="R273" s="9">
        <f>IF(OR(NOT(ISNUMBER($O273)),NOT(ISNUMBER($N273)),NOT(ISNUMBER($Q273))),"",$O273*($N273/100)*$Q273*10)</f>
        <v/>
      </c>
      <c r="S273" s="11">
        <f>IF(AND($A273="",$B273="",$D273=""),"",IF(AND($A273&lt;&gt;"",COUNTIF('1. Plot &amp; Site Log'!$A$5:$A$64,$A273)=0),"Plot ID not in the Plot &amp; Site Log. ","")&amp;IF(AND(ISNUMBER($D273),ISNUMBER($E273),$E273&lt;=$D273),"Bottom depth is not below top depth. ","")&amp;IF($L273="Not confirmed","Bulk-density basis not confirmed with the lab — the coarse-fragment correction may be wrong or doubled. ","")&amp;IF(AND(ISNUMBER($M273),OR($M273&lt;QC_BD_MIN,$M273&gt;QC_BD_MAX)),"Bulk density outside the plausible range for a mineral grassland soil. ","")&amp;IF(AND(ISNUMBER($N273),$N273&gt;QC_CARBON_PCT_MAX),"Organic carbon above the QC ceiling — check units, and whether this is an organic horizon. ","")&amp;IF(AND(ISNUMBER($J273),$J273&lt;QC_RECOVERY_MIN),"Recovered less than the QC minimum of the depth driven — the increments may not sit where you think. Do NOT stretch them back out. ","")&amp;IF(AND(ISNUMBER($K273),$K273&gt;0,$L273="Fine earth / total volume"),"Coarse fragments recorded and the lab basis already accounts for them — no further correction applied, which is correct. ",""))</f>
        <v/>
      </c>
      <c r="T273" s="6" t="n"/>
      <c r="U273" s="9">
        <f>IF($B273="",0,IF(COUNTIFS($B$5:$B273,$B273)=1,1,0))</f>
        <v/>
      </c>
    </row>
    <row r="274">
      <c r="A274" s="6" t="n"/>
      <c r="B274" s="6" t="n"/>
      <c r="C274" s="6" t="n"/>
      <c r="D274" s="6" t="n"/>
      <c r="E274" s="6" t="n"/>
      <c r="F274" s="9">
        <f>IF(OR($D274="",$E274=""),"",$E274-$D274)</f>
        <v/>
      </c>
      <c r="G274" s="6" t="n"/>
      <c r="H274" s="6" t="n"/>
      <c r="I274" s="6" t="n"/>
      <c r="J274" s="9">
        <f>IF(OR(NOT(ISNUMBER($H274)),NOT(ISNUMBER($I274)),$H274=0),"",$I274/$H274)</f>
        <v/>
      </c>
      <c r="K274" s="6" t="n"/>
      <c r="L274" s="8" t="n"/>
      <c r="M274" s="7" t="n"/>
      <c r="N274" s="7" t="n"/>
      <c r="O274" s="9">
        <f>IF(NOT(ISNUMBER($M274)),"",IF($L274="Fine earth / fine-earth volume",$M274*(1-IF(ISNUMBER($K274),$K274,0)/100),$M274))</f>
        <v/>
      </c>
      <c r="P274" s="9">
        <f>IF(OR(NOT(ISNUMBER($O274)),NOT(ISNUMBER($N274)),NOT(ISNUMBER($F274))),"",$O274*($N274/100)*$F274*10)</f>
        <v/>
      </c>
      <c r="Q274" s="9">
        <f>IF(OR(NOT(ISNUMBER($D274)),NOT(ISNUMBER($E274))),"",MAX(0,MIN($E274,SOIL_REPORTING_DEPTH_CM)-MIN($D274,SOIL_REPORTING_DEPTH_CM)))</f>
        <v/>
      </c>
      <c r="R274" s="9">
        <f>IF(OR(NOT(ISNUMBER($O274)),NOT(ISNUMBER($N274)),NOT(ISNUMBER($Q274))),"",$O274*($N274/100)*$Q274*10)</f>
        <v/>
      </c>
      <c r="S274" s="11">
        <f>IF(AND($A274="",$B274="",$D274=""),"",IF(AND($A274&lt;&gt;"",COUNTIF('1. Plot &amp; Site Log'!$A$5:$A$64,$A274)=0),"Plot ID not in the Plot &amp; Site Log. ","")&amp;IF(AND(ISNUMBER($D274),ISNUMBER($E274),$E274&lt;=$D274),"Bottom depth is not below top depth. ","")&amp;IF($L274="Not confirmed","Bulk-density basis not confirmed with the lab — the coarse-fragment correction may be wrong or doubled. ","")&amp;IF(AND(ISNUMBER($M274),OR($M274&lt;QC_BD_MIN,$M274&gt;QC_BD_MAX)),"Bulk density outside the plausible range for a mineral grassland soil. ","")&amp;IF(AND(ISNUMBER($N274),$N274&gt;QC_CARBON_PCT_MAX),"Organic carbon above the QC ceiling — check units, and whether this is an organic horizon. ","")&amp;IF(AND(ISNUMBER($J274),$J274&lt;QC_RECOVERY_MIN),"Recovered less than the QC minimum of the depth driven — the increments may not sit where you think. Do NOT stretch them back out. ","")&amp;IF(AND(ISNUMBER($K274),$K274&gt;0,$L274="Fine earth / total volume"),"Coarse fragments recorded and the lab basis already accounts for them — no further correction applied, which is correct. ",""))</f>
        <v/>
      </c>
      <c r="T274" s="6" t="n"/>
      <c r="U274" s="9">
        <f>IF($B274="",0,IF(COUNTIFS($B$5:$B274,$B274)=1,1,0))</f>
        <v/>
      </c>
    </row>
    <row r="275">
      <c r="A275" s="6" t="n"/>
      <c r="B275" s="6" t="n"/>
      <c r="C275" s="6" t="n"/>
      <c r="D275" s="6" t="n"/>
      <c r="E275" s="6" t="n"/>
      <c r="F275" s="9">
        <f>IF(OR($D275="",$E275=""),"",$E275-$D275)</f>
        <v/>
      </c>
      <c r="G275" s="6" t="n"/>
      <c r="H275" s="6" t="n"/>
      <c r="I275" s="6" t="n"/>
      <c r="J275" s="9">
        <f>IF(OR(NOT(ISNUMBER($H275)),NOT(ISNUMBER($I275)),$H275=0),"",$I275/$H275)</f>
        <v/>
      </c>
      <c r="K275" s="6" t="n"/>
      <c r="L275" s="8" t="n"/>
      <c r="M275" s="7" t="n"/>
      <c r="N275" s="7" t="n"/>
      <c r="O275" s="9">
        <f>IF(NOT(ISNUMBER($M275)),"",IF($L275="Fine earth / fine-earth volume",$M275*(1-IF(ISNUMBER($K275),$K275,0)/100),$M275))</f>
        <v/>
      </c>
      <c r="P275" s="9">
        <f>IF(OR(NOT(ISNUMBER($O275)),NOT(ISNUMBER($N275)),NOT(ISNUMBER($F275))),"",$O275*($N275/100)*$F275*10)</f>
        <v/>
      </c>
      <c r="Q275" s="9">
        <f>IF(OR(NOT(ISNUMBER($D275)),NOT(ISNUMBER($E275))),"",MAX(0,MIN($E275,SOIL_REPORTING_DEPTH_CM)-MIN($D275,SOIL_REPORTING_DEPTH_CM)))</f>
        <v/>
      </c>
      <c r="R275" s="9">
        <f>IF(OR(NOT(ISNUMBER($O275)),NOT(ISNUMBER($N275)),NOT(ISNUMBER($Q275))),"",$O275*($N275/100)*$Q275*10)</f>
        <v/>
      </c>
      <c r="S275" s="11">
        <f>IF(AND($A275="",$B275="",$D275=""),"",IF(AND($A275&lt;&gt;"",COUNTIF('1. Plot &amp; Site Log'!$A$5:$A$64,$A275)=0),"Plot ID not in the Plot &amp; Site Log. ","")&amp;IF(AND(ISNUMBER($D275),ISNUMBER($E275),$E275&lt;=$D275),"Bottom depth is not below top depth. ","")&amp;IF($L275="Not confirmed","Bulk-density basis not confirmed with the lab — the coarse-fragment correction may be wrong or doubled. ","")&amp;IF(AND(ISNUMBER($M275),OR($M275&lt;QC_BD_MIN,$M275&gt;QC_BD_MAX)),"Bulk density outside the plausible range for a mineral grassland soil. ","")&amp;IF(AND(ISNUMBER($N275),$N275&gt;QC_CARBON_PCT_MAX),"Organic carbon above the QC ceiling — check units, and whether this is an organic horizon. ","")&amp;IF(AND(ISNUMBER($J275),$J275&lt;QC_RECOVERY_MIN),"Recovered less than the QC minimum of the depth driven — the increments may not sit where you think. Do NOT stretch them back out. ","")&amp;IF(AND(ISNUMBER($K275),$K275&gt;0,$L275="Fine earth / total volume"),"Coarse fragments recorded and the lab basis already accounts for them — no further correction applied, which is correct. ",""))</f>
        <v/>
      </c>
      <c r="T275" s="6" t="n"/>
      <c r="U275" s="9">
        <f>IF($B275="",0,IF(COUNTIFS($B$5:$B275,$B275)=1,1,0))</f>
        <v/>
      </c>
    </row>
    <row r="276">
      <c r="A276" s="6" t="n"/>
      <c r="B276" s="6" t="n"/>
      <c r="C276" s="6" t="n"/>
      <c r="D276" s="6" t="n"/>
      <c r="E276" s="6" t="n"/>
      <c r="F276" s="9">
        <f>IF(OR($D276="",$E276=""),"",$E276-$D276)</f>
        <v/>
      </c>
      <c r="G276" s="6" t="n"/>
      <c r="H276" s="6" t="n"/>
      <c r="I276" s="6" t="n"/>
      <c r="J276" s="9">
        <f>IF(OR(NOT(ISNUMBER($H276)),NOT(ISNUMBER($I276)),$H276=0),"",$I276/$H276)</f>
        <v/>
      </c>
      <c r="K276" s="6" t="n"/>
      <c r="L276" s="8" t="n"/>
      <c r="M276" s="7" t="n"/>
      <c r="N276" s="7" t="n"/>
      <c r="O276" s="9">
        <f>IF(NOT(ISNUMBER($M276)),"",IF($L276="Fine earth / fine-earth volume",$M276*(1-IF(ISNUMBER($K276),$K276,0)/100),$M276))</f>
        <v/>
      </c>
      <c r="P276" s="9">
        <f>IF(OR(NOT(ISNUMBER($O276)),NOT(ISNUMBER($N276)),NOT(ISNUMBER($F276))),"",$O276*($N276/100)*$F276*10)</f>
        <v/>
      </c>
      <c r="Q276" s="9">
        <f>IF(OR(NOT(ISNUMBER($D276)),NOT(ISNUMBER($E276))),"",MAX(0,MIN($E276,SOIL_REPORTING_DEPTH_CM)-MIN($D276,SOIL_REPORTING_DEPTH_CM)))</f>
        <v/>
      </c>
      <c r="R276" s="9">
        <f>IF(OR(NOT(ISNUMBER($O276)),NOT(ISNUMBER($N276)),NOT(ISNUMBER($Q276))),"",$O276*($N276/100)*$Q276*10)</f>
        <v/>
      </c>
      <c r="S276" s="11">
        <f>IF(AND($A276="",$B276="",$D276=""),"",IF(AND($A276&lt;&gt;"",COUNTIF('1. Plot &amp; Site Log'!$A$5:$A$64,$A276)=0),"Plot ID not in the Plot &amp; Site Log. ","")&amp;IF(AND(ISNUMBER($D276),ISNUMBER($E276),$E276&lt;=$D276),"Bottom depth is not below top depth. ","")&amp;IF($L276="Not confirmed","Bulk-density basis not confirmed with the lab — the coarse-fragment correction may be wrong or doubled. ","")&amp;IF(AND(ISNUMBER($M276),OR($M276&lt;QC_BD_MIN,$M276&gt;QC_BD_MAX)),"Bulk density outside the plausible range for a mineral grassland soil. ","")&amp;IF(AND(ISNUMBER($N276),$N276&gt;QC_CARBON_PCT_MAX),"Organic carbon above the QC ceiling — check units, and whether this is an organic horizon. ","")&amp;IF(AND(ISNUMBER($J276),$J276&lt;QC_RECOVERY_MIN),"Recovered less than the QC minimum of the depth driven — the increments may not sit where you think. Do NOT stretch them back out. ","")&amp;IF(AND(ISNUMBER($K276),$K276&gt;0,$L276="Fine earth / total volume"),"Coarse fragments recorded and the lab basis already accounts for them — no further correction applied, which is correct. ",""))</f>
        <v/>
      </c>
      <c r="T276" s="6" t="n"/>
      <c r="U276" s="9">
        <f>IF($B276="",0,IF(COUNTIFS($B$5:$B276,$B276)=1,1,0))</f>
        <v/>
      </c>
    </row>
    <row r="277">
      <c r="A277" s="6" t="n"/>
      <c r="B277" s="6" t="n"/>
      <c r="C277" s="6" t="n"/>
      <c r="D277" s="6" t="n"/>
      <c r="E277" s="6" t="n"/>
      <c r="F277" s="9">
        <f>IF(OR($D277="",$E277=""),"",$E277-$D277)</f>
        <v/>
      </c>
      <c r="G277" s="6" t="n"/>
      <c r="H277" s="6" t="n"/>
      <c r="I277" s="6" t="n"/>
      <c r="J277" s="9">
        <f>IF(OR(NOT(ISNUMBER($H277)),NOT(ISNUMBER($I277)),$H277=0),"",$I277/$H277)</f>
        <v/>
      </c>
      <c r="K277" s="6" t="n"/>
      <c r="L277" s="8" t="n"/>
      <c r="M277" s="7" t="n"/>
      <c r="N277" s="7" t="n"/>
      <c r="O277" s="9">
        <f>IF(NOT(ISNUMBER($M277)),"",IF($L277="Fine earth / fine-earth volume",$M277*(1-IF(ISNUMBER($K277),$K277,0)/100),$M277))</f>
        <v/>
      </c>
      <c r="P277" s="9">
        <f>IF(OR(NOT(ISNUMBER($O277)),NOT(ISNUMBER($N277)),NOT(ISNUMBER($F277))),"",$O277*($N277/100)*$F277*10)</f>
        <v/>
      </c>
      <c r="Q277" s="9">
        <f>IF(OR(NOT(ISNUMBER($D277)),NOT(ISNUMBER($E277))),"",MAX(0,MIN($E277,SOIL_REPORTING_DEPTH_CM)-MIN($D277,SOIL_REPORTING_DEPTH_CM)))</f>
        <v/>
      </c>
      <c r="R277" s="9">
        <f>IF(OR(NOT(ISNUMBER($O277)),NOT(ISNUMBER($N277)),NOT(ISNUMBER($Q277))),"",$O277*($N277/100)*$Q277*10)</f>
        <v/>
      </c>
      <c r="S277" s="11">
        <f>IF(AND($A277="",$B277="",$D277=""),"",IF(AND($A277&lt;&gt;"",COUNTIF('1. Plot &amp; Site Log'!$A$5:$A$64,$A277)=0),"Plot ID not in the Plot &amp; Site Log. ","")&amp;IF(AND(ISNUMBER($D277),ISNUMBER($E277),$E277&lt;=$D277),"Bottom depth is not below top depth. ","")&amp;IF($L277="Not confirmed","Bulk-density basis not confirmed with the lab — the coarse-fragment correction may be wrong or doubled. ","")&amp;IF(AND(ISNUMBER($M277),OR($M277&lt;QC_BD_MIN,$M277&gt;QC_BD_MAX)),"Bulk density outside the plausible range for a mineral grassland soil. ","")&amp;IF(AND(ISNUMBER($N277),$N277&gt;QC_CARBON_PCT_MAX),"Organic carbon above the QC ceiling — check units, and whether this is an organic horizon. ","")&amp;IF(AND(ISNUMBER($J277),$J277&lt;QC_RECOVERY_MIN),"Recovered less than the QC minimum of the depth driven — the increments may not sit where you think. Do NOT stretch them back out. ","")&amp;IF(AND(ISNUMBER($K277),$K277&gt;0,$L277="Fine earth / total volume"),"Coarse fragments recorded and the lab basis already accounts for them — no further correction applied, which is correct. ",""))</f>
        <v/>
      </c>
      <c r="T277" s="6" t="n"/>
      <c r="U277" s="9">
        <f>IF($B277="",0,IF(COUNTIFS($B$5:$B277,$B277)=1,1,0))</f>
        <v/>
      </c>
    </row>
    <row r="278">
      <c r="A278" s="6" t="n"/>
      <c r="B278" s="6" t="n"/>
      <c r="C278" s="6" t="n"/>
      <c r="D278" s="6" t="n"/>
      <c r="E278" s="6" t="n"/>
      <c r="F278" s="9">
        <f>IF(OR($D278="",$E278=""),"",$E278-$D278)</f>
        <v/>
      </c>
      <c r="G278" s="6" t="n"/>
      <c r="H278" s="6" t="n"/>
      <c r="I278" s="6" t="n"/>
      <c r="J278" s="9">
        <f>IF(OR(NOT(ISNUMBER($H278)),NOT(ISNUMBER($I278)),$H278=0),"",$I278/$H278)</f>
        <v/>
      </c>
      <c r="K278" s="6" t="n"/>
      <c r="L278" s="8" t="n"/>
      <c r="M278" s="7" t="n"/>
      <c r="N278" s="7" t="n"/>
      <c r="O278" s="9">
        <f>IF(NOT(ISNUMBER($M278)),"",IF($L278="Fine earth / fine-earth volume",$M278*(1-IF(ISNUMBER($K278),$K278,0)/100),$M278))</f>
        <v/>
      </c>
      <c r="P278" s="9">
        <f>IF(OR(NOT(ISNUMBER($O278)),NOT(ISNUMBER($N278)),NOT(ISNUMBER($F278))),"",$O278*($N278/100)*$F278*10)</f>
        <v/>
      </c>
      <c r="Q278" s="9">
        <f>IF(OR(NOT(ISNUMBER($D278)),NOT(ISNUMBER($E278))),"",MAX(0,MIN($E278,SOIL_REPORTING_DEPTH_CM)-MIN($D278,SOIL_REPORTING_DEPTH_CM)))</f>
        <v/>
      </c>
      <c r="R278" s="9">
        <f>IF(OR(NOT(ISNUMBER($O278)),NOT(ISNUMBER($N278)),NOT(ISNUMBER($Q278))),"",$O278*($N278/100)*$Q278*10)</f>
        <v/>
      </c>
      <c r="S278" s="11">
        <f>IF(AND($A278="",$B278="",$D278=""),"",IF(AND($A278&lt;&gt;"",COUNTIF('1. Plot &amp; Site Log'!$A$5:$A$64,$A278)=0),"Plot ID not in the Plot &amp; Site Log. ","")&amp;IF(AND(ISNUMBER($D278),ISNUMBER($E278),$E278&lt;=$D278),"Bottom depth is not below top depth. ","")&amp;IF($L278="Not confirmed","Bulk-density basis not confirmed with the lab — the coarse-fragment correction may be wrong or doubled. ","")&amp;IF(AND(ISNUMBER($M278),OR($M278&lt;QC_BD_MIN,$M278&gt;QC_BD_MAX)),"Bulk density outside the plausible range for a mineral grassland soil. ","")&amp;IF(AND(ISNUMBER($N278),$N278&gt;QC_CARBON_PCT_MAX),"Organic carbon above the QC ceiling — check units, and whether this is an organic horizon. ","")&amp;IF(AND(ISNUMBER($J278),$J278&lt;QC_RECOVERY_MIN),"Recovered less than the QC minimum of the depth driven — the increments may not sit where you think. Do NOT stretch them back out. ","")&amp;IF(AND(ISNUMBER($K278),$K278&gt;0,$L278="Fine earth / total volume"),"Coarse fragments recorded and the lab basis already accounts for them — no further correction applied, which is correct. ",""))</f>
        <v/>
      </c>
      <c r="T278" s="6" t="n"/>
      <c r="U278" s="9">
        <f>IF($B278="",0,IF(COUNTIFS($B$5:$B278,$B278)=1,1,0))</f>
        <v/>
      </c>
    </row>
    <row r="279">
      <c r="A279" s="6" t="n"/>
      <c r="B279" s="6" t="n"/>
      <c r="C279" s="6" t="n"/>
      <c r="D279" s="6" t="n"/>
      <c r="E279" s="6" t="n"/>
      <c r="F279" s="9">
        <f>IF(OR($D279="",$E279=""),"",$E279-$D279)</f>
        <v/>
      </c>
      <c r="G279" s="6" t="n"/>
      <c r="H279" s="6" t="n"/>
      <c r="I279" s="6" t="n"/>
      <c r="J279" s="9">
        <f>IF(OR(NOT(ISNUMBER($H279)),NOT(ISNUMBER($I279)),$H279=0),"",$I279/$H279)</f>
        <v/>
      </c>
      <c r="K279" s="6" t="n"/>
      <c r="L279" s="8" t="n"/>
      <c r="M279" s="7" t="n"/>
      <c r="N279" s="7" t="n"/>
      <c r="O279" s="9">
        <f>IF(NOT(ISNUMBER($M279)),"",IF($L279="Fine earth / fine-earth volume",$M279*(1-IF(ISNUMBER($K279),$K279,0)/100),$M279))</f>
        <v/>
      </c>
      <c r="P279" s="9">
        <f>IF(OR(NOT(ISNUMBER($O279)),NOT(ISNUMBER($N279)),NOT(ISNUMBER($F279))),"",$O279*($N279/100)*$F279*10)</f>
        <v/>
      </c>
      <c r="Q279" s="9">
        <f>IF(OR(NOT(ISNUMBER($D279)),NOT(ISNUMBER($E279))),"",MAX(0,MIN($E279,SOIL_REPORTING_DEPTH_CM)-MIN($D279,SOIL_REPORTING_DEPTH_CM)))</f>
        <v/>
      </c>
      <c r="R279" s="9">
        <f>IF(OR(NOT(ISNUMBER($O279)),NOT(ISNUMBER($N279)),NOT(ISNUMBER($Q279))),"",$O279*($N279/100)*$Q279*10)</f>
        <v/>
      </c>
      <c r="S279" s="11">
        <f>IF(AND($A279="",$B279="",$D279=""),"",IF(AND($A279&lt;&gt;"",COUNTIF('1. Plot &amp; Site Log'!$A$5:$A$64,$A279)=0),"Plot ID not in the Plot &amp; Site Log. ","")&amp;IF(AND(ISNUMBER($D279),ISNUMBER($E279),$E279&lt;=$D279),"Bottom depth is not below top depth. ","")&amp;IF($L279="Not confirmed","Bulk-density basis not confirmed with the lab — the coarse-fragment correction may be wrong or doubled. ","")&amp;IF(AND(ISNUMBER($M279),OR($M279&lt;QC_BD_MIN,$M279&gt;QC_BD_MAX)),"Bulk density outside the plausible range for a mineral grassland soil. ","")&amp;IF(AND(ISNUMBER($N279),$N279&gt;QC_CARBON_PCT_MAX),"Organic carbon above the QC ceiling — check units, and whether this is an organic horizon. ","")&amp;IF(AND(ISNUMBER($J279),$J279&lt;QC_RECOVERY_MIN),"Recovered less than the QC minimum of the depth driven — the increments may not sit where you think. Do NOT stretch them back out. ","")&amp;IF(AND(ISNUMBER($K279),$K279&gt;0,$L279="Fine earth / total volume"),"Coarse fragments recorded and the lab basis already accounts for them — no further correction applied, which is correct. ",""))</f>
        <v/>
      </c>
      <c r="T279" s="6" t="n"/>
      <c r="U279" s="9">
        <f>IF($B279="",0,IF(COUNTIFS($B$5:$B279,$B279)=1,1,0))</f>
        <v/>
      </c>
    </row>
    <row r="280">
      <c r="A280" s="6" t="n"/>
      <c r="B280" s="6" t="n"/>
      <c r="C280" s="6" t="n"/>
      <c r="D280" s="6" t="n"/>
      <c r="E280" s="6" t="n"/>
      <c r="F280" s="9">
        <f>IF(OR($D280="",$E280=""),"",$E280-$D280)</f>
        <v/>
      </c>
      <c r="G280" s="6" t="n"/>
      <c r="H280" s="6" t="n"/>
      <c r="I280" s="6" t="n"/>
      <c r="J280" s="9">
        <f>IF(OR(NOT(ISNUMBER($H280)),NOT(ISNUMBER($I280)),$H280=0),"",$I280/$H280)</f>
        <v/>
      </c>
      <c r="K280" s="6" t="n"/>
      <c r="L280" s="8" t="n"/>
      <c r="M280" s="7" t="n"/>
      <c r="N280" s="7" t="n"/>
      <c r="O280" s="9">
        <f>IF(NOT(ISNUMBER($M280)),"",IF($L280="Fine earth / fine-earth volume",$M280*(1-IF(ISNUMBER($K280),$K280,0)/100),$M280))</f>
        <v/>
      </c>
      <c r="P280" s="9">
        <f>IF(OR(NOT(ISNUMBER($O280)),NOT(ISNUMBER($N280)),NOT(ISNUMBER($F280))),"",$O280*($N280/100)*$F280*10)</f>
        <v/>
      </c>
      <c r="Q280" s="9">
        <f>IF(OR(NOT(ISNUMBER($D280)),NOT(ISNUMBER($E280))),"",MAX(0,MIN($E280,SOIL_REPORTING_DEPTH_CM)-MIN($D280,SOIL_REPORTING_DEPTH_CM)))</f>
        <v/>
      </c>
      <c r="R280" s="9">
        <f>IF(OR(NOT(ISNUMBER($O280)),NOT(ISNUMBER($N280)),NOT(ISNUMBER($Q280))),"",$O280*($N280/100)*$Q280*10)</f>
        <v/>
      </c>
      <c r="S280" s="11">
        <f>IF(AND($A280="",$B280="",$D280=""),"",IF(AND($A280&lt;&gt;"",COUNTIF('1. Plot &amp; Site Log'!$A$5:$A$64,$A280)=0),"Plot ID not in the Plot &amp; Site Log. ","")&amp;IF(AND(ISNUMBER($D280),ISNUMBER($E280),$E280&lt;=$D280),"Bottom depth is not below top depth. ","")&amp;IF($L280="Not confirmed","Bulk-density basis not confirmed with the lab — the coarse-fragment correction may be wrong or doubled. ","")&amp;IF(AND(ISNUMBER($M280),OR($M280&lt;QC_BD_MIN,$M280&gt;QC_BD_MAX)),"Bulk density outside the plausible range for a mineral grassland soil. ","")&amp;IF(AND(ISNUMBER($N280),$N280&gt;QC_CARBON_PCT_MAX),"Organic carbon above the QC ceiling — check units, and whether this is an organic horizon. ","")&amp;IF(AND(ISNUMBER($J280),$J280&lt;QC_RECOVERY_MIN),"Recovered less than the QC minimum of the depth driven — the increments may not sit where you think. Do NOT stretch them back out. ","")&amp;IF(AND(ISNUMBER($K280),$K280&gt;0,$L280="Fine earth / total volume"),"Coarse fragments recorded and the lab basis already accounts for them — no further correction applied, which is correct. ",""))</f>
        <v/>
      </c>
      <c r="T280" s="6" t="n"/>
      <c r="U280" s="9">
        <f>IF($B280="",0,IF(COUNTIFS($B$5:$B280,$B280)=1,1,0))</f>
        <v/>
      </c>
    </row>
    <row r="281">
      <c r="A281" s="6" t="n"/>
      <c r="B281" s="6" t="n"/>
      <c r="C281" s="6" t="n"/>
      <c r="D281" s="6" t="n"/>
      <c r="E281" s="6" t="n"/>
      <c r="F281" s="9">
        <f>IF(OR($D281="",$E281=""),"",$E281-$D281)</f>
        <v/>
      </c>
      <c r="G281" s="6" t="n"/>
      <c r="H281" s="6" t="n"/>
      <c r="I281" s="6" t="n"/>
      <c r="J281" s="9">
        <f>IF(OR(NOT(ISNUMBER($H281)),NOT(ISNUMBER($I281)),$H281=0),"",$I281/$H281)</f>
        <v/>
      </c>
      <c r="K281" s="6" t="n"/>
      <c r="L281" s="8" t="n"/>
      <c r="M281" s="7" t="n"/>
      <c r="N281" s="7" t="n"/>
      <c r="O281" s="9">
        <f>IF(NOT(ISNUMBER($M281)),"",IF($L281="Fine earth / fine-earth volume",$M281*(1-IF(ISNUMBER($K281),$K281,0)/100),$M281))</f>
        <v/>
      </c>
      <c r="P281" s="9">
        <f>IF(OR(NOT(ISNUMBER($O281)),NOT(ISNUMBER($N281)),NOT(ISNUMBER($F281))),"",$O281*($N281/100)*$F281*10)</f>
        <v/>
      </c>
      <c r="Q281" s="9">
        <f>IF(OR(NOT(ISNUMBER($D281)),NOT(ISNUMBER($E281))),"",MAX(0,MIN($E281,SOIL_REPORTING_DEPTH_CM)-MIN($D281,SOIL_REPORTING_DEPTH_CM)))</f>
        <v/>
      </c>
      <c r="R281" s="9">
        <f>IF(OR(NOT(ISNUMBER($O281)),NOT(ISNUMBER($N281)),NOT(ISNUMBER($Q281))),"",$O281*($N281/100)*$Q281*10)</f>
        <v/>
      </c>
      <c r="S281" s="11">
        <f>IF(AND($A281="",$B281="",$D281=""),"",IF(AND($A281&lt;&gt;"",COUNTIF('1. Plot &amp; Site Log'!$A$5:$A$64,$A281)=0),"Plot ID not in the Plot &amp; Site Log. ","")&amp;IF(AND(ISNUMBER($D281),ISNUMBER($E281),$E281&lt;=$D281),"Bottom depth is not below top depth. ","")&amp;IF($L281="Not confirmed","Bulk-density basis not confirmed with the lab — the coarse-fragment correction may be wrong or doubled. ","")&amp;IF(AND(ISNUMBER($M281),OR($M281&lt;QC_BD_MIN,$M281&gt;QC_BD_MAX)),"Bulk density outside the plausible range for a mineral grassland soil. ","")&amp;IF(AND(ISNUMBER($N281),$N281&gt;QC_CARBON_PCT_MAX),"Organic carbon above the QC ceiling — check units, and whether this is an organic horizon. ","")&amp;IF(AND(ISNUMBER($J281),$J281&lt;QC_RECOVERY_MIN),"Recovered less than the QC minimum of the depth driven — the increments may not sit where you think. Do NOT stretch them back out. ","")&amp;IF(AND(ISNUMBER($K281),$K281&gt;0,$L281="Fine earth / total volume"),"Coarse fragments recorded and the lab basis already accounts for them — no further correction applied, which is correct. ",""))</f>
        <v/>
      </c>
      <c r="T281" s="6" t="n"/>
      <c r="U281" s="9">
        <f>IF($B281="",0,IF(COUNTIFS($B$5:$B281,$B281)=1,1,0))</f>
        <v/>
      </c>
    </row>
    <row r="282">
      <c r="A282" s="6" t="n"/>
      <c r="B282" s="6" t="n"/>
      <c r="C282" s="6" t="n"/>
      <c r="D282" s="6" t="n"/>
      <c r="E282" s="6" t="n"/>
      <c r="F282" s="9">
        <f>IF(OR($D282="",$E282=""),"",$E282-$D282)</f>
        <v/>
      </c>
      <c r="G282" s="6" t="n"/>
      <c r="H282" s="6" t="n"/>
      <c r="I282" s="6" t="n"/>
      <c r="J282" s="9">
        <f>IF(OR(NOT(ISNUMBER($H282)),NOT(ISNUMBER($I282)),$H282=0),"",$I282/$H282)</f>
        <v/>
      </c>
      <c r="K282" s="6" t="n"/>
      <c r="L282" s="8" t="n"/>
      <c r="M282" s="7" t="n"/>
      <c r="N282" s="7" t="n"/>
      <c r="O282" s="9">
        <f>IF(NOT(ISNUMBER($M282)),"",IF($L282="Fine earth / fine-earth volume",$M282*(1-IF(ISNUMBER($K282),$K282,0)/100),$M282))</f>
        <v/>
      </c>
      <c r="P282" s="9">
        <f>IF(OR(NOT(ISNUMBER($O282)),NOT(ISNUMBER($N282)),NOT(ISNUMBER($F282))),"",$O282*($N282/100)*$F282*10)</f>
        <v/>
      </c>
      <c r="Q282" s="9">
        <f>IF(OR(NOT(ISNUMBER($D282)),NOT(ISNUMBER($E282))),"",MAX(0,MIN($E282,SOIL_REPORTING_DEPTH_CM)-MIN($D282,SOIL_REPORTING_DEPTH_CM)))</f>
        <v/>
      </c>
      <c r="R282" s="9">
        <f>IF(OR(NOT(ISNUMBER($O282)),NOT(ISNUMBER($N282)),NOT(ISNUMBER($Q282))),"",$O282*($N282/100)*$Q282*10)</f>
        <v/>
      </c>
      <c r="S282" s="11">
        <f>IF(AND($A282="",$B282="",$D282=""),"",IF(AND($A282&lt;&gt;"",COUNTIF('1. Plot &amp; Site Log'!$A$5:$A$64,$A282)=0),"Plot ID not in the Plot &amp; Site Log. ","")&amp;IF(AND(ISNUMBER($D282),ISNUMBER($E282),$E282&lt;=$D282),"Bottom depth is not below top depth. ","")&amp;IF($L282="Not confirmed","Bulk-density basis not confirmed with the lab — the coarse-fragment correction may be wrong or doubled. ","")&amp;IF(AND(ISNUMBER($M282),OR($M282&lt;QC_BD_MIN,$M282&gt;QC_BD_MAX)),"Bulk density outside the plausible range for a mineral grassland soil. ","")&amp;IF(AND(ISNUMBER($N282),$N282&gt;QC_CARBON_PCT_MAX),"Organic carbon above the QC ceiling — check units, and whether this is an organic horizon. ","")&amp;IF(AND(ISNUMBER($J282),$J282&lt;QC_RECOVERY_MIN),"Recovered less than the QC minimum of the depth driven — the increments may not sit where you think. Do NOT stretch them back out. ","")&amp;IF(AND(ISNUMBER($K282),$K282&gt;0,$L282="Fine earth / total volume"),"Coarse fragments recorded and the lab basis already accounts for them — no further correction applied, which is correct. ",""))</f>
        <v/>
      </c>
      <c r="T282" s="6" t="n"/>
      <c r="U282" s="9">
        <f>IF($B282="",0,IF(COUNTIFS($B$5:$B282,$B282)=1,1,0))</f>
        <v/>
      </c>
    </row>
    <row r="283">
      <c r="A283" s="6" t="n"/>
      <c r="B283" s="6" t="n"/>
      <c r="C283" s="6" t="n"/>
      <c r="D283" s="6" t="n"/>
      <c r="E283" s="6" t="n"/>
      <c r="F283" s="9">
        <f>IF(OR($D283="",$E283=""),"",$E283-$D283)</f>
        <v/>
      </c>
      <c r="G283" s="6" t="n"/>
      <c r="H283" s="6" t="n"/>
      <c r="I283" s="6" t="n"/>
      <c r="J283" s="9">
        <f>IF(OR(NOT(ISNUMBER($H283)),NOT(ISNUMBER($I283)),$H283=0),"",$I283/$H283)</f>
        <v/>
      </c>
      <c r="K283" s="6" t="n"/>
      <c r="L283" s="8" t="n"/>
      <c r="M283" s="7" t="n"/>
      <c r="N283" s="7" t="n"/>
      <c r="O283" s="9">
        <f>IF(NOT(ISNUMBER($M283)),"",IF($L283="Fine earth / fine-earth volume",$M283*(1-IF(ISNUMBER($K283),$K283,0)/100),$M283))</f>
        <v/>
      </c>
      <c r="P283" s="9">
        <f>IF(OR(NOT(ISNUMBER($O283)),NOT(ISNUMBER($N283)),NOT(ISNUMBER($F283))),"",$O283*($N283/100)*$F283*10)</f>
        <v/>
      </c>
      <c r="Q283" s="9">
        <f>IF(OR(NOT(ISNUMBER($D283)),NOT(ISNUMBER($E283))),"",MAX(0,MIN($E283,SOIL_REPORTING_DEPTH_CM)-MIN($D283,SOIL_REPORTING_DEPTH_CM)))</f>
        <v/>
      </c>
      <c r="R283" s="9">
        <f>IF(OR(NOT(ISNUMBER($O283)),NOT(ISNUMBER($N283)),NOT(ISNUMBER($Q283))),"",$O283*($N283/100)*$Q283*10)</f>
        <v/>
      </c>
      <c r="S283" s="11">
        <f>IF(AND($A283="",$B283="",$D283=""),"",IF(AND($A283&lt;&gt;"",COUNTIF('1. Plot &amp; Site Log'!$A$5:$A$64,$A283)=0),"Plot ID not in the Plot &amp; Site Log. ","")&amp;IF(AND(ISNUMBER($D283),ISNUMBER($E283),$E283&lt;=$D283),"Bottom depth is not below top depth. ","")&amp;IF($L283="Not confirmed","Bulk-density basis not confirmed with the lab — the coarse-fragment correction may be wrong or doubled. ","")&amp;IF(AND(ISNUMBER($M283),OR($M283&lt;QC_BD_MIN,$M283&gt;QC_BD_MAX)),"Bulk density outside the plausible range for a mineral grassland soil. ","")&amp;IF(AND(ISNUMBER($N283),$N283&gt;QC_CARBON_PCT_MAX),"Organic carbon above the QC ceiling — check units, and whether this is an organic horizon. ","")&amp;IF(AND(ISNUMBER($J283),$J283&lt;QC_RECOVERY_MIN),"Recovered less than the QC minimum of the depth driven — the increments may not sit where you think. Do NOT stretch them back out. ","")&amp;IF(AND(ISNUMBER($K283),$K283&gt;0,$L283="Fine earth / total volume"),"Coarse fragments recorded and the lab basis already accounts for them — no further correction applied, which is correct. ",""))</f>
        <v/>
      </c>
      <c r="T283" s="6" t="n"/>
      <c r="U283" s="9">
        <f>IF($B283="",0,IF(COUNTIFS($B$5:$B283,$B283)=1,1,0))</f>
        <v/>
      </c>
    </row>
    <row r="284">
      <c r="A284" s="6" t="n"/>
      <c r="B284" s="6" t="n"/>
      <c r="C284" s="6" t="n"/>
      <c r="D284" s="6" t="n"/>
      <c r="E284" s="6" t="n"/>
      <c r="F284" s="9">
        <f>IF(OR($D284="",$E284=""),"",$E284-$D284)</f>
        <v/>
      </c>
      <c r="G284" s="6" t="n"/>
      <c r="H284" s="6" t="n"/>
      <c r="I284" s="6" t="n"/>
      <c r="J284" s="9">
        <f>IF(OR(NOT(ISNUMBER($H284)),NOT(ISNUMBER($I284)),$H284=0),"",$I284/$H284)</f>
        <v/>
      </c>
      <c r="K284" s="6" t="n"/>
      <c r="L284" s="8" t="n"/>
      <c r="M284" s="7" t="n"/>
      <c r="N284" s="7" t="n"/>
      <c r="O284" s="9">
        <f>IF(NOT(ISNUMBER($M284)),"",IF($L284="Fine earth / fine-earth volume",$M284*(1-IF(ISNUMBER($K284),$K284,0)/100),$M284))</f>
        <v/>
      </c>
      <c r="P284" s="9">
        <f>IF(OR(NOT(ISNUMBER($O284)),NOT(ISNUMBER($N284)),NOT(ISNUMBER($F284))),"",$O284*($N284/100)*$F284*10)</f>
        <v/>
      </c>
      <c r="Q284" s="9">
        <f>IF(OR(NOT(ISNUMBER($D284)),NOT(ISNUMBER($E284))),"",MAX(0,MIN($E284,SOIL_REPORTING_DEPTH_CM)-MIN($D284,SOIL_REPORTING_DEPTH_CM)))</f>
        <v/>
      </c>
      <c r="R284" s="9">
        <f>IF(OR(NOT(ISNUMBER($O284)),NOT(ISNUMBER($N284)),NOT(ISNUMBER($Q284))),"",$O284*($N284/100)*$Q284*10)</f>
        <v/>
      </c>
      <c r="S284" s="11">
        <f>IF(AND($A284="",$B284="",$D284=""),"",IF(AND($A284&lt;&gt;"",COUNTIF('1. Plot &amp; Site Log'!$A$5:$A$64,$A284)=0),"Plot ID not in the Plot &amp; Site Log. ","")&amp;IF(AND(ISNUMBER($D284),ISNUMBER($E284),$E284&lt;=$D284),"Bottom depth is not below top depth. ","")&amp;IF($L284="Not confirmed","Bulk-density basis not confirmed with the lab — the coarse-fragment correction may be wrong or doubled. ","")&amp;IF(AND(ISNUMBER($M284),OR($M284&lt;QC_BD_MIN,$M284&gt;QC_BD_MAX)),"Bulk density outside the plausible range for a mineral grassland soil. ","")&amp;IF(AND(ISNUMBER($N284),$N284&gt;QC_CARBON_PCT_MAX),"Organic carbon above the QC ceiling — check units, and whether this is an organic horizon. ","")&amp;IF(AND(ISNUMBER($J284),$J284&lt;QC_RECOVERY_MIN),"Recovered less than the QC minimum of the depth driven — the increments may not sit where you think. Do NOT stretch them back out. ","")&amp;IF(AND(ISNUMBER($K284),$K284&gt;0,$L284="Fine earth / total volume"),"Coarse fragments recorded and the lab basis already accounts for them — no further correction applied, which is correct. ",""))</f>
        <v/>
      </c>
      <c r="T284" s="6" t="n"/>
      <c r="U284" s="9">
        <f>IF($B284="",0,IF(COUNTIFS($B$5:$B284,$B284)=1,1,0))</f>
        <v/>
      </c>
    </row>
    <row r="285">
      <c r="A285" s="6" t="n"/>
      <c r="B285" s="6" t="n"/>
      <c r="C285" s="6" t="n"/>
      <c r="D285" s="6" t="n"/>
      <c r="E285" s="6" t="n"/>
      <c r="F285" s="9">
        <f>IF(OR($D285="",$E285=""),"",$E285-$D285)</f>
        <v/>
      </c>
      <c r="G285" s="6" t="n"/>
      <c r="H285" s="6" t="n"/>
      <c r="I285" s="6" t="n"/>
      <c r="J285" s="9">
        <f>IF(OR(NOT(ISNUMBER($H285)),NOT(ISNUMBER($I285)),$H285=0),"",$I285/$H285)</f>
        <v/>
      </c>
      <c r="K285" s="6" t="n"/>
      <c r="L285" s="8" t="n"/>
      <c r="M285" s="7" t="n"/>
      <c r="N285" s="7" t="n"/>
      <c r="O285" s="9">
        <f>IF(NOT(ISNUMBER($M285)),"",IF($L285="Fine earth / fine-earth volume",$M285*(1-IF(ISNUMBER($K285),$K285,0)/100),$M285))</f>
        <v/>
      </c>
      <c r="P285" s="9">
        <f>IF(OR(NOT(ISNUMBER($O285)),NOT(ISNUMBER($N285)),NOT(ISNUMBER($F285))),"",$O285*($N285/100)*$F285*10)</f>
        <v/>
      </c>
      <c r="Q285" s="9">
        <f>IF(OR(NOT(ISNUMBER($D285)),NOT(ISNUMBER($E285))),"",MAX(0,MIN($E285,SOIL_REPORTING_DEPTH_CM)-MIN($D285,SOIL_REPORTING_DEPTH_CM)))</f>
        <v/>
      </c>
      <c r="R285" s="9">
        <f>IF(OR(NOT(ISNUMBER($O285)),NOT(ISNUMBER($N285)),NOT(ISNUMBER($Q285))),"",$O285*($N285/100)*$Q285*10)</f>
        <v/>
      </c>
      <c r="S285" s="11">
        <f>IF(AND($A285="",$B285="",$D285=""),"",IF(AND($A285&lt;&gt;"",COUNTIF('1. Plot &amp; Site Log'!$A$5:$A$64,$A285)=0),"Plot ID not in the Plot &amp; Site Log. ","")&amp;IF(AND(ISNUMBER($D285),ISNUMBER($E285),$E285&lt;=$D285),"Bottom depth is not below top depth. ","")&amp;IF($L285="Not confirmed","Bulk-density basis not confirmed with the lab — the coarse-fragment correction may be wrong or doubled. ","")&amp;IF(AND(ISNUMBER($M285),OR($M285&lt;QC_BD_MIN,$M285&gt;QC_BD_MAX)),"Bulk density outside the plausible range for a mineral grassland soil. ","")&amp;IF(AND(ISNUMBER($N285),$N285&gt;QC_CARBON_PCT_MAX),"Organic carbon above the QC ceiling — check units, and whether this is an organic horizon. ","")&amp;IF(AND(ISNUMBER($J285),$J285&lt;QC_RECOVERY_MIN),"Recovered less than the QC minimum of the depth driven — the increments may not sit where you think. Do NOT stretch them back out. ","")&amp;IF(AND(ISNUMBER($K285),$K285&gt;0,$L285="Fine earth / total volume"),"Coarse fragments recorded and the lab basis already accounts for them — no further correction applied, which is correct. ",""))</f>
        <v/>
      </c>
      <c r="T285" s="6" t="n"/>
      <c r="U285" s="9">
        <f>IF($B285="",0,IF(COUNTIFS($B$5:$B285,$B285)=1,1,0))</f>
        <v/>
      </c>
    </row>
    <row r="286">
      <c r="A286" s="6" t="n"/>
      <c r="B286" s="6" t="n"/>
      <c r="C286" s="6" t="n"/>
      <c r="D286" s="6" t="n"/>
      <c r="E286" s="6" t="n"/>
      <c r="F286" s="9">
        <f>IF(OR($D286="",$E286=""),"",$E286-$D286)</f>
        <v/>
      </c>
      <c r="G286" s="6" t="n"/>
      <c r="H286" s="6" t="n"/>
      <c r="I286" s="6" t="n"/>
      <c r="J286" s="9">
        <f>IF(OR(NOT(ISNUMBER($H286)),NOT(ISNUMBER($I286)),$H286=0),"",$I286/$H286)</f>
        <v/>
      </c>
      <c r="K286" s="6" t="n"/>
      <c r="L286" s="8" t="n"/>
      <c r="M286" s="7" t="n"/>
      <c r="N286" s="7" t="n"/>
      <c r="O286" s="9">
        <f>IF(NOT(ISNUMBER($M286)),"",IF($L286="Fine earth / fine-earth volume",$M286*(1-IF(ISNUMBER($K286),$K286,0)/100),$M286))</f>
        <v/>
      </c>
      <c r="P286" s="9">
        <f>IF(OR(NOT(ISNUMBER($O286)),NOT(ISNUMBER($N286)),NOT(ISNUMBER($F286))),"",$O286*($N286/100)*$F286*10)</f>
        <v/>
      </c>
      <c r="Q286" s="9">
        <f>IF(OR(NOT(ISNUMBER($D286)),NOT(ISNUMBER($E286))),"",MAX(0,MIN($E286,SOIL_REPORTING_DEPTH_CM)-MIN($D286,SOIL_REPORTING_DEPTH_CM)))</f>
        <v/>
      </c>
      <c r="R286" s="9">
        <f>IF(OR(NOT(ISNUMBER($O286)),NOT(ISNUMBER($N286)),NOT(ISNUMBER($Q286))),"",$O286*($N286/100)*$Q286*10)</f>
        <v/>
      </c>
      <c r="S286" s="11">
        <f>IF(AND($A286="",$B286="",$D286=""),"",IF(AND($A286&lt;&gt;"",COUNTIF('1. Plot &amp; Site Log'!$A$5:$A$64,$A286)=0),"Plot ID not in the Plot &amp; Site Log. ","")&amp;IF(AND(ISNUMBER($D286),ISNUMBER($E286),$E286&lt;=$D286),"Bottom depth is not below top depth. ","")&amp;IF($L286="Not confirmed","Bulk-density basis not confirmed with the lab — the coarse-fragment correction may be wrong or doubled. ","")&amp;IF(AND(ISNUMBER($M286),OR($M286&lt;QC_BD_MIN,$M286&gt;QC_BD_MAX)),"Bulk density outside the plausible range for a mineral grassland soil. ","")&amp;IF(AND(ISNUMBER($N286),$N286&gt;QC_CARBON_PCT_MAX),"Organic carbon above the QC ceiling — check units, and whether this is an organic horizon. ","")&amp;IF(AND(ISNUMBER($J286),$J286&lt;QC_RECOVERY_MIN),"Recovered less than the QC minimum of the depth driven — the increments may not sit where you think. Do NOT stretch them back out. ","")&amp;IF(AND(ISNUMBER($K286),$K286&gt;0,$L286="Fine earth / total volume"),"Coarse fragments recorded and the lab basis already accounts for them — no further correction applied, which is correct. ",""))</f>
        <v/>
      </c>
      <c r="T286" s="6" t="n"/>
      <c r="U286" s="9">
        <f>IF($B286="",0,IF(COUNTIFS($B$5:$B286,$B286)=1,1,0))</f>
        <v/>
      </c>
    </row>
    <row r="287">
      <c r="A287" s="6" t="n"/>
      <c r="B287" s="6" t="n"/>
      <c r="C287" s="6" t="n"/>
      <c r="D287" s="6" t="n"/>
      <c r="E287" s="6" t="n"/>
      <c r="F287" s="9">
        <f>IF(OR($D287="",$E287=""),"",$E287-$D287)</f>
        <v/>
      </c>
      <c r="G287" s="6" t="n"/>
      <c r="H287" s="6" t="n"/>
      <c r="I287" s="6" t="n"/>
      <c r="J287" s="9">
        <f>IF(OR(NOT(ISNUMBER($H287)),NOT(ISNUMBER($I287)),$H287=0),"",$I287/$H287)</f>
        <v/>
      </c>
      <c r="K287" s="6" t="n"/>
      <c r="L287" s="8" t="n"/>
      <c r="M287" s="7" t="n"/>
      <c r="N287" s="7" t="n"/>
      <c r="O287" s="9">
        <f>IF(NOT(ISNUMBER($M287)),"",IF($L287="Fine earth / fine-earth volume",$M287*(1-IF(ISNUMBER($K287),$K287,0)/100),$M287))</f>
        <v/>
      </c>
      <c r="P287" s="9">
        <f>IF(OR(NOT(ISNUMBER($O287)),NOT(ISNUMBER($N287)),NOT(ISNUMBER($F287))),"",$O287*($N287/100)*$F287*10)</f>
        <v/>
      </c>
      <c r="Q287" s="9">
        <f>IF(OR(NOT(ISNUMBER($D287)),NOT(ISNUMBER($E287))),"",MAX(0,MIN($E287,SOIL_REPORTING_DEPTH_CM)-MIN($D287,SOIL_REPORTING_DEPTH_CM)))</f>
        <v/>
      </c>
      <c r="R287" s="9">
        <f>IF(OR(NOT(ISNUMBER($O287)),NOT(ISNUMBER($N287)),NOT(ISNUMBER($Q287))),"",$O287*($N287/100)*$Q287*10)</f>
        <v/>
      </c>
      <c r="S287" s="11">
        <f>IF(AND($A287="",$B287="",$D287=""),"",IF(AND($A287&lt;&gt;"",COUNTIF('1. Plot &amp; Site Log'!$A$5:$A$64,$A287)=0),"Plot ID not in the Plot &amp; Site Log. ","")&amp;IF(AND(ISNUMBER($D287),ISNUMBER($E287),$E287&lt;=$D287),"Bottom depth is not below top depth. ","")&amp;IF($L287="Not confirmed","Bulk-density basis not confirmed with the lab — the coarse-fragment correction may be wrong or doubled. ","")&amp;IF(AND(ISNUMBER($M287),OR($M287&lt;QC_BD_MIN,$M287&gt;QC_BD_MAX)),"Bulk density outside the plausible range for a mineral grassland soil. ","")&amp;IF(AND(ISNUMBER($N287),$N287&gt;QC_CARBON_PCT_MAX),"Organic carbon above the QC ceiling — check units, and whether this is an organic horizon. ","")&amp;IF(AND(ISNUMBER($J287),$J287&lt;QC_RECOVERY_MIN),"Recovered less than the QC minimum of the depth driven — the increments may not sit where you think. Do NOT stretch them back out. ","")&amp;IF(AND(ISNUMBER($K287),$K287&gt;0,$L287="Fine earth / total volume"),"Coarse fragments recorded and the lab basis already accounts for them — no further correction applied, which is correct. ",""))</f>
        <v/>
      </c>
      <c r="T287" s="6" t="n"/>
      <c r="U287" s="9">
        <f>IF($B287="",0,IF(COUNTIFS($B$5:$B287,$B287)=1,1,0))</f>
        <v/>
      </c>
    </row>
    <row r="288">
      <c r="A288" s="6" t="n"/>
      <c r="B288" s="6" t="n"/>
      <c r="C288" s="6" t="n"/>
      <c r="D288" s="6" t="n"/>
      <c r="E288" s="6" t="n"/>
      <c r="F288" s="9">
        <f>IF(OR($D288="",$E288=""),"",$E288-$D288)</f>
        <v/>
      </c>
      <c r="G288" s="6" t="n"/>
      <c r="H288" s="6" t="n"/>
      <c r="I288" s="6" t="n"/>
      <c r="J288" s="9">
        <f>IF(OR(NOT(ISNUMBER($H288)),NOT(ISNUMBER($I288)),$H288=0),"",$I288/$H288)</f>
        <v/>
      </c>
      <c r="K288" s="6" t="n"/>
      <c r="L288" s="8" t="n"/>
      <c r="M288" s="7" t="n"/>
      <c r="N288" s="7" t="n"/>
      <c r="O288" s="9">
        <f>IF(NOT(ISNUMBER($M288)),"",IF($L288="Fine earth / fine-earth volume",$M288*(1-IF(ISNUMBER($K288),$K288,0)/100),$M288))</f>
        <v/>
      </c>
      <c r="P288" s="9">
        <f>IF(OR(NOT(ISNUMBER($O288)),NOT(ISNUMBER($N288)),NOT(ISNUMBER($F288))),"",$O288*($N288/100)*$F288*10)</f>
        <v/>
      </c>
      <c r="Q288" s="9">
        <f>IF(OR(NOT(ISNUMBER($D288)),NOT(ISNUMBER($E288))),"",MAX(0,MIN($E288,SOIL_REPORTING_DEPTH_CM)-MIN($D288,SOIL_REPORTING_DEPTH_CM)))</f>
        <v/>
      </c>
      <c r="R288" s="9">
        <f>IF(OR(NOT(ISNUMBER($O288)),NOT(ISNUMBER($N288)),NOT(ISNUMBER($Q288))),"",$O288*($N288/100)*$Q288*10)</f>
        <v/>
      </c>
      <c r="S288" s="11">
        <f>IF(AND($A288="",$B288="",$D288=""),"",IF(AND($A288&lt;&gt;"",COUNTIF('1. Plot &amp; Site Log'!$A$5:$A$64,$A288)=0),"Plot ID not in the Plot &amp; Site Log. ","")&amp;IF(AND(ISNUMBER($D288),ISNUMBER($E288),$E288&lt;=$D288),"Bottom depth is not below top depth. ","")&amp;IF($L288="Not confirmed","Bulk-density basis not confirmed with the lab — the coarse-fragment correction may be wrong or doubled. ","")&amp;IF(AND(ISNUMBER($M288),OR($M288&lt;QC_BD_MIN,$M288&gt;QC_BD_MAX)),"Bulk density outside the plausible range for a mineral grassland soil. ","")&amp;IF(AND(ISNUMBER($N288),$N288&gt;QC_CARBON_PCT_MAX),"Organic carbon above the QC ceiling — check units, and whether this is an organic horizon. ","")&amp;IF(AND(ISNUMBER($J288),$J288&lt;QC_RECOVERY_MIN),"Recovered less than the QC minimum of the depth driven — the increments may not sit where you think. Do NOT stretch them back out. ","")&amp;IF(AND(ISNUMBER($K288),$K288&gt;0,$L288="Fine earth / total volume"),"Coarse fragments recorded and the lab basis already accounts for them — no further correction applied, which is correct. ",""))</f>
        <v/>
      </c>
      <c r="T288" s="6" t="n"/>
      <c r="U288" s="9">
        <f>IF($B288="",0,IF(COUNTIFS($B$5:$B288,$B288)=1,1,0))</f>
        <v/>
      </c>
    </row>
    <row r="289">
      <c r="A289" s="6" t="n"/>
      <c r="B289" s="6" t="n"/>
      <c r="C289" s="6" t="n"/>
      <c r="D289" s="6" t="n"/>
      <c r="E289" s="6" t="n"/>
      <c r="F289" s="9">
        <f>IF(OR($D289="",$E289=""),"",$E289-$D289)</f>
        <v/>
      </c>
      <c r="G289" s="6" t="n"/>
      <c r="H289" s="6" t="n"/>
      <c r="I289" s="6" t="n"/>
      <c r="J289" s="9">
        <f>IF(OR(NOT(ISNUMBER($H289)),NOT(ISNUMBER($I289)),$H289=0),"",$I289/$H289)</f>
        <v/>
      </c>
      <c r="K289" s="6" t="n"/>
      <c r="L289" s="8" t="n"/>
      <c r="M289" s="7" t="n"/>
      <c r="N289" s="7" t="n"/>
      <c r="O289" s="9">
        <f>IF(NOT(ISNUMBER($M289)),"",IF($L289="Fine earth / fine-earth volume",$M289*(1-IF(ISNUMBER($K289),$K289,0)/100),$M289))</f>
        <v/>
      </c>
      <c r="P289" s="9">
        <f>IF(OR(NOT(ISNUMBER($O289)),NOT(ISNUMBER($N289)),NOT(ISNUMBER($F289))),"",$O289*($N289/100)*$F289*10)</f>
        <v/>
      </c>
      <c r="Q289" s="9">
        <f>IF(OR(NOT(ISNUMBER($D289)),NOT(ISNUMBER($E289))),"",MAX(0,MIN($E289,SOIL_REPORTING_DEPTH_CM)-MIN($D289,SOIL_REPORTING_DEPTH_CM)))</f>
        <v/>
      </c>
      <c r="R289" s="9">
        <f>IF(OR(NOT(ISNUMBER($O289)),NOT(ISNUMBER($N289)),NOT(ISNUMBER($Q289))),"",$O289*($N289/100)*$Q289*10)</f>
        <v/>
      </c>
      <c r="S289" s="11">
        <f>IF(AND($A289="",$B289="",$D289=""),"",IF(AND($A289&lt;&gt;"",COUNTIF('1. Plot &amp; Site Log'!$A$5:$A$64,$A289)=0),"Plot ID not in the Plot &amp; Site Log. ","")&amp;IF(AND(ISNUMBER($D289),ISNUMBER($E289),$E289&lt;=$D289),"Bottom depth is not below top depth. ","")&amp;IF($L289="Not confirmed","Bulk-density basis not confirmed with the lab — the coarse-fragment correction may be wrong or doubled. ","")&amp;IF(AND(ISNUMBER($M289),OR($M289&lt;QC_BD_MIN,$M289&gt;QC_BD_MAX)),"Bulk density outside the plausible range for a mineral grassland soil. ","")&amp;IF(AND(ISNUMBER($N289),$N289&gt;QC_CARBON_PCT_MAX),"Organic carbon above the QC ceiling — check units, and whether this is an organic horizon. ","")&amp;IF(AND(ISNUMBER($J289),$J289&lt;QC_RECOVERY_MIN),"Recovered less than the QC minimum of the depth driven — the increments may not sit where you think. Do NOT stretch them back out. ","")&amp;IF(AND(ISNUMBER($K289),$K289&gt;0,$L289="Fine earth / total volume"),"Coarse fragments recorded and the lab basis already accounts for them — no further correction applied, which is correct. ",""))</f>
        <v/>
      </c>
      <c r="T289" s="6" t="n"/>
      <c r="U289" s="9">
        <f>IF($B289="",0,IF(COUNTIFS($B$5:$B289,$B289)=1,1,0))</f>
        <v/>
      </c>
    </row>
    <row r="290">
      <c r="A290" s="6" t="n"/>
      <c r="B290" s="6" t="n"/>
      <c r="C290" s="6" t="n"/>
      <c r="D290" s="6" t="n"/>
      <c r="E290" s="6" t="n"/>
      <c r="F290" s="9">
        <f>IF(OR($D290="",$E290=""),"",$E290-$D290)</f>
        <v/>
      </c>
      <c r="G290" s="6" t="n"/>
      <c r="H290" s="6" t="n"/>
      <c r="I290" s="6" t="n"/>
      <c r="J290" s="9">
        <f>IF(OR(NOT(ISNUMBER($H290)),NOT(ISNUMBER($I290)),$H290=0),"",$I290/$H290)</f>
        <v/>
      </c>
      <c r="K290" s="6" t="n"/>
      <c r="L290" s="8" t="n"/>
      <c r="M290" s="7" t="n"/>
      <c r="N290" s="7" t="n"/>
      <c r="O290" s="9">
        <f>IF(NOT(ISNUMBER($M290)),"",IF($L290="Fine earth / fine-earth volume",$M290*(1-IF(ISNUMBER($K290),$K290,0)/100),$M290))</f>
        <v/>
      </c>
      <c r="P290" s="9">
        <f>IF(OR(NOT(ISNUMBER($O290)),NOT(ISNUMBER($N290)),NOT(ISNUMBER($F290))),"",$O290*($N290/100)*$F290*10)</f>
        <v/>
      </c>
      <c r="Q290" s="9">
        <f>IF(OR(NOT(ISNUMBER($D290)),NOT(ISNUMBER($E290))),"",MAX(0,MIN($E290,SOIL_REPORTING_DEPTH_CM)-MIN($D290,SOIL_REPORTING_DEPTH_CM)))</f>
        <v/>
      </c>
      <c r="R290" s="9">
        <f>IF(OR(NOT(ISNUMBER($O290)),NOT(ISNUMBER($N290)),NOT(ISNUMBER($Q290))),"",$O290*($N290/100)*$Q290*10)</f>
        <v/>
      </c>
      <c r="S290" s="11">
        <f>IF(AND($A290="",$B290="",$D290=""),"",IF(AND($A290&lt;&gt;"",COUNTIF('1. Plot &amp; Site Log'!$A$5:$A$64,$A290)=0),"Plot ID not in the Plot &amp; Site Log. ","")&amp;IF(AND(ISNUMBER($D290),ISNUMBER($E290),$E290&lt;=$D290),"Bottom depth is not below top depth. ","")&amp;IF($L290="Not confirmed","Bulk-density basis not confirmed with the lab — the coarse-fragment correction may be wrong or doubled. ","")&amp;IF(AND(ISNUMBER($M290),OR($M290&lt;QC_BD_MIN,$M290&gt;QC_BD_MAX)),"Bulk density outside the plausible range for a mineral grassland soil. ","")&amp;IF(AND(ISNUMBER($N290),$N290&gt;QC_CARBON_PCT_MAX),"Organic carbon above the QC ceiling — check units, and whether this is an organic horizon. ","")&amp;IF(AND(ISNUMBER($J290),$J290&lt;QC_RECOVERY_MIN),"Recovered less than the QC minimum of the depth driven — the increments may not sit where you think. Do NOT stretch them back out. ","")&amp;IF(AND(ISNUMBER($K290),$K290&gt;0,$L290="Fine earth / total volume"),"Coarse fragments recorded and the lab basis already accounts for them — no further correction applied, which is correct. ",""))</f>
        <v/>
      </c>
      <c r="T290" s="6" t="n"/>
      <c r="U290" s="9">
        <f>IF($B290="",0,IF(COUNTIFS($B$5:$B290,$B290)=1,1,0))</f>
        <v/>
      </c>
    </row>
    <row r="291">
      <c r="A291" s="6" t="n"/>
      <c r="B291" s="6" t="n"/>
      <c r="C291" s="6" t="n"/>
      <c r="D291" s="6" t="n"/>
      <c r="E291" s="6" t="n"/>
      <c r="F291" s="9">
        <f>IF(OR($D291="",$E291=""),"",$E291-$D291)</f>
        <v/>
      </c>
      <c r="G291" s="6" t="n"/>
      <c r="H291" s="6" t="n"/>
      <c r="I291" s="6" t="n"/>
      <c r="J291" s="9">
        <f>IF(OR(NOT(ISNUMBER($H291)),NOT(ISNUMBER($I291)),$H291=0),"",$I291/$H291)</f>
        <v/>
      </c>
      <c r="K291" s="6" t="n"/>
      <c r="L291" s="8" t="n"/>
      <c r="M291" s="7" t="n"/>
      <c r="N291" s="7" t="n"/>
      <c r="O291" s="9">
        <f>IF(NOT(ISNUMBER($M291)),"",IF($L291="Fine earth / fine-earth volume",$M291*(1-IF(ISNUMBER($K291),$K291,0)/100),$M291))</f>
        <v/>
      </c>
      <c r="P291" s="9">
        <f>IF(OR(NOT(ISNUMBER($O291)),NOT(ISNUMBER($N291)),NOT(ISNUMBER($F291))),"",$O291*($N291/100)*$F291*10)</f>
        <v/>
      </c>
      <c r="Q291" s="9">
        <f>IF(OR(NOT(ISNUMBER($D291)),NOT(ISNUMBER($E291))),"",MAX(0,MIN($E291,SOIL_REPORTING_DEPTH_CM)-MIN($D291,SOIL_REPORTING_DEPTH_CM)))</f>
        <v/>
      </c>
      <c r="R291" s="9">
        <f>IF(OR(NOT(ISNUMBER($O291)),NOT(ISNUMBER($N291)),NOT(ISNUMBER($Q291))),"",$O291*($N291/100)*$Q291*10)</f>
        <v/>
      </c>
      <c r="S291" s="11">
        <f>IF(AND($A291="",$B291="",$D291=""),"",IF(AND($A291&lt;&gt;"",COUNTIF('1. Plot &amp; Site Log'!$A$5:$A$64,$A291)=0),"Plot ID not in the Plot &amp; Site Log. ","")&amp;IF(AND(ISNUMBER($D291),ISNUMBER($E291),$E291&lt;=$D291),"Bottom depth is not below top depth. ","")&amp;IF($L291="Not confirmed","Bulk-density basis not confirmed with the lab — the coarse-fragment correction may be wrong or doubled. ","")&amp;IF(AND(ISNUMBER($M291),OR($M291&lt;QC_BD_MIN,$M291&gt;QC_BD_MAX)),"Bulk density outside the plausible range for a mineral grassland soil. ","")&amp;IF(AND(ISNUMBER($N291),$N291&gt;QC_CARBON_PCT_MAX),"Organic carbon above the QC ceiling — check units, and whether this is an organic horizon. ","")&amp;IF(AND(ISNUMBER($J291),$J291&lt;QC_RECOVERY_MIN),"Recovered less than the QC minimum of the depth driven — the increments may not sit where you think. Do NOT stretch them back out. ","")&amp;IF(AND(ISNUMBER($K291),$K291&gt;0,$L291="Fine earth / total volume"),"Coarse fragments recorded and the lab basis already accounts for them — no further correction applied, which is correct. ",""))</f>
        <v/>
      </c>
      <c r="T291" s="6" t="n"/>
      <c r="U291" s="9">
        <f>IF($B291="",0,IF(COUNTIFS($B$5:$B291,$B291)=1,1,0))</f>
        <v/>
      </c>
    </row>
    <row r="292">
      <c r="A292" s="6" t="n"/>
      <c r="B292" s="6" t="n"/>
      <c r="C292" s="6" t="n"/>
      <c r="D292" s="6" t="n"/>
      <c r="E292" s="6" t="n"/>
      <c r="F292" s="9">
        <f>IF(OR($D292="",$E292=""),"",$E292-$D292)</f>
        <v/>
      </c>
      <c r="G292" s="6" t="n"/>
      <c r="H292" s="6" t="n"/>
      <c r="I292" s="6" t="n"/>
      <c r="J292" s="9">
        <f>IF(OR(NOT(ISNUMBER($H292)),NOT(ISNUMBER($I292)),$H292=0),"",$I292/$H292)</f>
        <v/>
      </c>
      <c r="K292" s="6" t="n"/>
      <c r="L292" s="8" t="n"/>
      <c r="M292" s="7" t="n"/>
      <c r="N292" s="7" t="n"/>
      <c r="O292" s="9">
        <f>IF(NOT(ISNUMBER($M292)),"",IF($L292="Fine earth / fine-earth volume",$M292*(1-IF(ISNUMBER($K292),$K292,0)/100),$M292))</f>
        <v/>
      </c>
      <c r="P292" s="9">
        <f>IF(OR(NOT(ISNUMBER($O292)),NOT(ISNUMBER($N292)),NOT(ISNUMBER($F292))),"",$O292*($N292/100)*$F292*10)</f>
        <v/>
      </c>
      <c r="Q292" s="9">
        <f>IF(OR(NOT(ISNUMBER($D292)),NOT(ISNUMBER($E292))),"",MAX(0,MIN($E292,SOIL_REPORTING_DEPTH_CM)-MIN($D292,SOIL_REPORTING_DEPTH_CM)))</f>
        <v/>
      </c>
      <c r="R292" s="9">
        <f>IF(OR(NOT(ISNUMBER($O292)),NOT(ISNUMBER($N292)),NOT(ISNUMBER($Q292))),"",$O292*($N292/100)*$Q292*10)</f>
        <v/>
      </c>
      <c r="S292" s="11">
        <f>IF(AND($A292="",$B292="",$D292=""),"",IF(AND($A292&lt;&gt;"",COUNTIF('1. Plot &amp; Site Log'!$A$5:$A$64,$A292)=0),"Plot ID not in the Plot &amp; Site Log. ","")&amp;IF(AND(ISNUMBER($D292),ISNUMBER($E292),$E292&lt;=$D292),"Bottom depth is not below top depth. ","")&amp;IF($L292="Not confirmed","Bulk-density basis not confirmed with the lab — the coarse-fragment correction may be wrong or doubled. ","")&amp;IF(AND(ISNUMBER($M292),OR($M292&lt;QC_BD_MIN,$M292&gt;QC_BD_MAX)),"Bulk density outside the plausible range for a mineral grassland soil. ","")&amp;IF(AND(ISNUMBER($N292),$N292&gt;QC_CARBON_PCT_MAX),"Organic carbon above the QC ceiling — check units, and whether this is an organic horizon. ","")&amp;IF(AND(ISNUMBER($J292),$J292&lt;QC_RECOVERY_MIN),"Recovered less than the QC minimum of the depth driven — the increments may not sit where you think. Do NOT stretch them back out. ","")&amp;IF(AND(ISNUMBER($K292),$K292&gt;0,$L292="Fine earth / total volume"),"Coarse fragments recorded and the lab basis already accounts for them — no further correction applied, which is correct. ",""))</f>
        <v/>
      </c>
      <c r="T292" s="6" t="n"/>
      <c r="U292" s="9">
        <f>IF($B292="",0,IF(COUNTIFS($B$5:$B292,$B292)=1,1,0))</f>
        <v/>
      </c>
    </row>
    <row r="293">
      <c r="A293" s="6" t="n"/>
      <c r="B293" s="6" t="n"/>
      <c r="C293" s="6" t="n"/>
      <c r="D293" s="6" t="n"/>
      <c r="E293" s="6" t="n"/>
      <c r="F293" s="9">
        <f>IF(OR($D293="",$E293=""),"",$E293-$D293)</f>
        <v/>
      </c>
      <c r="G293" s="6" t="n"/>
      <c r="H293" s="6" t="n"/>
      <c r="I293" s="6" t="n"/>
      <c r="J293" s="9">
        <f>IF(OR(NOT(ISNUMBER($H293)),NOT(ISNUMBER($I293)),$H293=0),"",$I293/$H293)</f>
        <v/>
      </c>
      <c r="K293" s="6" t="n"/>
      <c r="L293" s="8" t="n"/>
      <c r="M293" s="7" t="n"/>
      <c r="N293" s="7" t="n"/>
      <c r="O293" s="9">
        <f>IF(NOT(ISNUMBER($M293)),"",IF($L293="Fine earth / fine-earth volume",$M293*(1-IF(ISNUMBER($K293),$K293,0)/100),$M293))</f>
        <v/>
      </c>
      <c r="P293" s="9">
        <f>IF(OR(NOT(ISNUMBER($O293)),NOT(ISNUMBER($N293)),NOT(ISNUMBER($F293))),"",$O293*($N293/100)*$F293*10)</f>
        <v/>
      </c>
      <c r="Q293" s="9">
        <f>IF(OR(NOT(ISNUMBER($D293)),NOT(ISNUMBER($E293))),"",MAX(0,MIN($E293,SOIL_REPORTING_DEPTH_CM)-MIN($D293,SOIL_REPORTING_DEPTH_CM)))</f>
        <v/>
      </c>
      <c r="R293" s="9">
        <f>IF(OR(NOT(ISNUMBER($O293)),NOT(ISNUMBER($N293)),NOT(ISNUMBER($Q293))),"",$O293*($N293/100)*$Q293*10)</f>
        <v/>
      </c>
      <c r="S293" s="11">
        <f>IF(AND($A293="",$B293="",$D293=""),"",IF(AND($A293&lt;&gt;"",COUNTIF('1. Plot &amp; Site Log'!$A$5:$A$64,$A293)=0),"Plot ID not in the Plot &amp; Site Log. ","")&amp;IF(AND(ISNUMBER($D293),ISNUMBER($E293),$E293&lt;=$D293),"Bottom depth is not below top depth. ","")&amp;IF($L293="Not confirmed","Bulk-density basis not confirmed with the lab — the coarse-fragment correction may be wrong or doubled. ","")&amp;IF(AND(ISNUMBER($M293),OR($M293&lt;QC_BD_MIN,$M293&gt;QC_BD_MAX)),"Bulk density outside the plausible range for a mineral grassland soil. ","")&amp;IF(AND(ISNUMBER($N293),$N293&gt;QC_CARBON_PCT_MAX),"Organic carbon above the QC ceiling — check units, and whether this is an organic horizon. ","")&amp;IF(AND(ISNUMBER($J293),$J293&lt;QC_RECOVERY_MIN),"Recovered less than the QC minimum of the depth driven — the increments may not sit where you think. Do NOT stretch them back out. ","")&amp;IF(AND(ISNUMBER($K293),$K293&gt;0,$L293="Fine earth / total volume"),"Coarse fragments recorded and the lab basis already accounts for them — no further correction applied, which is correct. ",""))</f>
        <v/>
      </c>
      <c r="T293" s="6" t="n"/>
      <c r="U293" s="9">
        <f>IF($B293="",0,IF(COUNTIFS($B$5:$B293,$B293)=1,1,0))</f>
        <v/>
      </c>
    </row>
    <row r="294">
      <c r="A294" s="6" t="n"/>
      <c r="B294" s="6" t="n"/>
      <c r="C294" s="6" t="n"/>
      <c r="D294" s="6" t="n"/>
      <c r="E294" s="6" t="n"/>
      <c r="F294" s="9">
        <f>IF(OR($D294="",$E294=""),"",$E294-$D294)</f>
        <v/>
      </c>
      <c r="G294" s="6" t="n"/>
      <c r="H294" s="6" t="n"/>
      <c r="I294" s="6" t="n"/>
      <c r="J294" s="9">
        <f>IF(OR(NOT(ISNUMBER($H294)),NOT(ISNUMBER($I294)),$H294=0),"",$I294/$H294)</f>
        <v/>
      </c>
      <c r="K294" s="6" t="n"/>
      <c r="L294" s="8" t="n"/>
      <c r="M294" s="7" t="n"/>
      <c r="N294" s="7" t="n"/>
      <c r="O294" s="9">
        <f>IF(NOT(ISNUMBER($M294)),"",IF($L294="Fine earth / fine-earth volume",$M294*(1-IF(ISNUMBER($K294),$K294,0)/100),$M294))</f>
        <v/>
      </c>
      <c r="P294" s="9">
        <f>IF(OR(NOT(ISNUMBER($O294)),NOT(ISNUMBER($N294)),NOT(ISNUMBER($F294))),"",$O294*($N294/100)*$F294*10)</f>
        <v/>
      </c>
      <c r="Q294" s="9">
        <f>IF(OR(NOT(ISNUMBER($D294)),NOT(ISNUMBER($E294))),"",MAX(0,MIN($E294,SOIL_REPORTING_DEPTH_CM)-MIN($D294,SOIL_REPORTING_DEPTH_CM)))</f>
        <v/>
      </c>
      <c r="R294" s="9">
        <f>IF(OR(NOT(ISNUMBER($O294)),NOT(ISNUMBER($N294)),NOT(ISNUMBER($Q294))),"",$O294*($N294/100)*$Q294*10)</f>
        <v/>
      </c>
      <c r="S294" s="11">
        <f>IF(AND($A294="",$B294="",$D294=""),"",IF(AND($A294&lt;&gt;"",COUNTIF('1. Plot &amp; Site Log'!$A$5:$A$64,$A294)=0),"Plot ID not in the Plot &amp; Site Log. ","")&amp;IF(AND(ISNUMBER($D294),ISNUMBER($E294),$E294&lt;=$D294),"Bottom depth is not below top depth. ","")&amp;IF($L294="Not confirmed","Bulk-density basis not confirmed with the lab — the coarse-fragment correction may be wrong or doubled. ","")&amp;IF(AND(ISNUMBER($M294),OR($M294&lt;QC_BD_MIN,$M294&gt;QC_BD_MAX)),"Bulk density outside the plausible range for a mineral grassland soil. ","")&amp;IF(AND(ISNUMBER($N294),$N294&gt;QC_CARBON_PCT_MAX),"Organic carbon above the QC ceiling — check units, and whether this is an organic horizon. ","")&amp;IF(AND(ISNUMBER($J294),$J294&lt;QC_RECOVERY_MIN),"Recovered less than the QC minimum of the depth driven — the increments may not sit where you think. Do NOT stretch them back out. ","")&amp;IF(AND(ISNUMBER($K294),$K294&gt;0,$L294="Fine earth / total volume"),"Coarse fragments recorded and the lab basis already accounts for them — no further correction applied, which is correct. ",""))</f>
        <v/>
      </c>
      <c r="T294" s="6" t="n"/>
      <c r="U294" s="9">
        <f>IF($B294="",0,IF(COUNTIFS($B$5:$B294,$B294)=1,1,0))</f>
        <v/>
      </c>
    </row>
    <row r="295">
      <c r="A295" s="6" t="n"/>
      <c r="B295" s="6" t="n"/>
      <c r="C295" s="6" t="n"/>
      <c r="D295" s="6" t="n"/>
      <c r="E295" s="6" t="n"/>
      <c r="F295" s="9">
        <f>IF(OR($D295="",$E295=""),"",$E295-$D295)</f>
        <v/>
      </c>
      <c r="G295" s="6" t="n"/>
      <c r="H295" s="6" t="n"/>
      <c r="I295" s="6" t="n"/>
      <c r="J295" s="9">
        <f>IF(OR(NOT(ISNUMBER($H295)),NOT(ISNUMBER($I295)),$H295=0),"",$I295/$H295)</f>
        <v/>
      </c>
      <c r="K295" s="6" t="n"/>
      <c r="L295" s="8" t="n"/>
      <c r="M295" s="7" t="n"/>
      <c r="N295" s="7" t="n"/>
      <c r="O295" s="9">
        <f>IF(NOT(ISNUMBER($M295)),"",IF($L295="Fine earth / fine-earth volume",$M295*(1-IF(ISNUMBER($K295),$K295,0)/100),$M295))</f>
        <v/>
      </c>
      <c r="P295" s="9">
        <f>IF(OR(NOT(ISNUMBER($O295)),NOT(ISNUMBER($N295)),NOT(ISNUMBER($F295))),"",$O295*($N295/100)*$F295*10)</f>
        <v/>
      </c>
      <c r="Q295" s="9">
        <f>IF(OR(NOT(ISNUMBER($D295)),NOT(ISNUMBER($E295))),"",MAX(0,MIN($E295,SOIL_REPORTING_DEPTH_CM)-MIN($D295,SOIL_REPORTING_DEPTH_CM)))</f>
        <v/>
      </c>
      <c r="R295" s="9">
        <f>IF(OR(NOT(ISNUMBER($O295)),NOT(ISNUMBER($N295)),NOT(ISNUMBER($Q295))),"",$O295*($N295/100)*$Q295*10)</f>
        <v/>
      </c>
      <c r="S295" s="11">
        <f>IF(AND($A295="",$B295="",$D295=""),"",IF(AND($A295&lt;&gt;"",COUNTIF('1. Plot &amp; Site Log'!$A$5:$A$64,$A295)=0),"Plot ID not in the Plot &amp; Site Log. ","")&amp;IF(AND(ISNUMBER($D295),ISNUMBER($E295),$E295&lt;=$D295),"Bottom depth is not below top depth. ","")&amp;IF($L295="Not confirmed","Bulk-density basis not confirmed with the lab — the coarse-fragment correction may be wrong or doubled. ","")&amp;IF(AND(ISNUMBER($M295),OR($M295&lt;QC_BD_MIN,$M295&gt;QC_BD_MAX)),"Bulk density outside the plausible range for a mineral grassland soil. ","")&amp;IF(AND(ISNUMBER($N295),$N295&gt;QC_CARBON_PCT_MAX),"Organic carbon above the QC ceiling — check units, and whether this is an organic horizon. ","")&amp;IF(AND(ISNUMBER($J295),$J295&lt;QC_RECOVERY_MIN),"Recovered less than the QC minimum of the depth driven — the increments may not sit where you think. Do NOT stretch them back out. ","")&amp;IF(AND(ISNUMBER($K295),$K295&gt;0,$L295="Fine earth / total volume"),"Coarse fragments recorded and the lab basis already accounts for them — no further correction applied, which is correct. ",""))</f>
        <v/>
      </c>
      <c r="T295" s="6" t="n"/>
      <c r="U295" s="9">
        <f>IF($B295="",0,IF(COUNTIFS($B$5:$B295,$B295)=1,1,0))</f>
        <v/>
      </c>
    </row>
    <row r="296">
      <c r="A296" s="6" t="n"/>
      <c r="B296" s="6" t="n"/>
      <c r="C296" s="6" t="n"/>
      <c r="D296" s="6" t="n"/>
      <c r="E296" s="6" t="n"/>
      <c r="F296" s="9">
        <f>IF(OR($D296="",$E296=""),"",$E296-$D296)</f>
        <v/>
      </c>
      <c r="G296" s="6" t="n"/>
      <c r="H296" s="6" t="n"/>
      <c r="I296" s="6" t="n"/>
      <c r="J296" s="9">
        <f>IF(OR(NOT(ISNUMBER($H296)),NOT(ISNUMBER($I296)),$H296=0),"",$I296/$H296)</f>
        <v/>
      </c>
      <c r="K296" s="6" t="n"/>
      <c r="L296" s="8" t="n"/>
      <c r="M296" s="7" t="n"/>
      <c r="N296" s="7" t="n"/>
      <c r="O296" s="9">
        <f>IF(NOT(ISNUMBER($M296)),"",IF($L296="Fine earth / fine-earth volume",$M296*(1-IF(ISNUMBER($K296),$K296,0)/100),$M296))</f>
        <v/>
      </c>
      <c r="P296" s="9">
        <f>IF(OR(NOT(ISNUMBER($O296)),NOT(ISNUMBER($N296)),NOT(ISNUMBER($F296))),"",$O296*($N296/100)*$F296*10)</f>
        <v/>
      </c>
      <c r="Q296" s="9">
        <f>IF(OR(NOT(ISNUMBER($D296)),NOT(ISNUMBER($E296))),"",MAX(0,MIN($E296,SOIL_REPORTING_DEPTH_CM)-MIN($D296,SOIL_REPORTING_DEPTH_CM)))</f>
        <v/>
      </c>
      <c r="R296" s="9">
        <f>IF(OR(NOT(ISNUMBER($O296)),NOT(ISNUMBER($N296)),NOT(ISNUMBER($Q296))),"",$O296*($N296/100)*$Q296*10)</f>
        <v/>
      </c>
      <c r="S296" s="11">
        <f>IF(AND($A296="",$B296="",$D296=""),"",IF(AND($A296&lt;&gt;"",COUNTIF('1. Plot &amp; Site Log'!$A$5:$A$64,$A296)=0),"Plot ID not in the Plot &amp; Site Log. ","")&amp;IF(AND(ISNUMBER($D296),ISNUMBER($E296),$E296&lt;=$D296),"Bottom depth is not below top depth. ","")&amp;IF($L296="Not confirmed","Bulk-density basis not confirmed with the lab — the coarse-fragment correction may be wrong or doubled. ","")&amp;IF(AND(ISNUMBER($M296),OR($M296&lt;QC_BD_MIN,$M296&gt;QC_BD_MAX)),"Bulk density outside the plausible range for a mineral grassland soil. ","")&amp;IF(AND(ISNUMBER($N296),$N296&gt;QC_CARBON_PCT_MAX),"Organic carbon above the QC ceiling — check units, and whether this is an organic horizon. ","")&amp;IF(AND(ISNUMBER($J296),$J296&lt;QC_RECOVERY_MIN),"Recovered less than the QC minimum of the depth driven — the increments may not sit where you think. Do NOT stretch them back out. ","")&amp;IF(AND(ISNUMBER($K296),$K296&gt;0,$L296="Fine earth / total volume"),"Coarse fragments recorded and the lab basis already accounts for them — no further correction applied, which is correct. ",""))</f>
        <v/>
      </c>
      <c r="T296" s="6" t="n"/>
      <c r="U296" s="9">
        <f>IF($B296="",0,IF(COUNTIFS($B$5:$B296,$B296)=1,1,0))</f>
        <v/>
      </c>
    </row>
    <row r="297">
      <c r="A297" s="6" t="n"/>
      <c r="B297" s="6" t="n"/>
      <c r="C297" s="6" t="n"/>
      <c r="D297" s="6" t="n"/>
      <c r="E297" s="6" t="n"/>
      <c r="F297" s="9">
        <f>IF(OR($D297="",$E297=""),"",$E297-$D297)</f>
        <v/>
      </c>
      <c r="G297" s="6" t="n"/>
      <c r="H297" s="6" t="n"/>
      <c r="I297" s="6" t="n"/>
      <c r="J297" s="9">
        <f>IF(OR(NOT(ISNUMBER($H297)),NOT(ISNUMBER($I297)),$H297=0),"",$I297/$H297)</f>
        <v/>
      </c>
      <c r="K297" s="6" t="n"/>
      <c r="L297" s="8" t="n"/>
      <c r="M297" s="7" t="n"/>
      <c r="N297" s="7" t="n"/>
      <c r="O297" s="9">
        <f>IF(NOT(ISNUMBER($M297)),"",IF($L297="Fine earth / fine-earth volume",$M297*(1-IF(ISNUMBER($K297),$K297,0)/100),$M297))</f>
        <v/>
      </c>
      <c r="P297" s="9">
        <f>IF(OR(NOT(ISNUMBER($O297)),NOT(ISNUMBER($N297)),NOT(ISNUMBER($F297))),"",$O297*($N297/100)*$F297*10)</f>
        <v/>
      </c>
      <c r="Q297" s="9">
        <f>IF(OR(NOT(ISNUMBER($D297)),NOT(ISNUMBER($E297))),"",MAX(0,MIN($E297,SOIL_REPORTING_DEPTH_CM)-MIN($D297,SOIL_REPORTING_DEPTH_CM)))</f>
        <v/>
      </c>
      <c r="R297" s="9">
        <f>IF(OR(NOT(ISNUMBER($O297)),NOT(ISNUMBER($N297)),NOT(ISNUMBER($Q297))),"",$O297*($N297/100)*$Q297*10)</f>
        <v/>
      </c>
      <c r="S297" s="11">
        <f>IF(AND($A297="",$B297="",$D297=""),"",IF(AND($A297&lt;&gt;"",COUNTIF('1. Plot &amp; Site Log'!$A$5:$A$64,$A297)=0),"Plot ID not in the Plot &amp; Site Log. ","")&amp;IF(AND(ISNUMBER($D297),ISNUMBER($E297),$E297&lt;=$D297),"Bottom depth is not below top depth. ","")&amp;IF($L297="Not confirmed","Bulk-density basis not confirmed with the lab — the coarse-fragment correction may be wrong or doubled. ","")&amp;IF(AND(ISNUMBER($M297),OR($M297&lt;QC_BD_MIN,$M297&gt;QC_BD_MAX)),"Bulk density outside the plausible range for a mineral grassland soil. ","")&amp;IF(AND(ISNUMBER($N297),$N297&gt;QC_CARBON_PCT_MAX),"Organic carbon above the QC ceiling — check units, and whether this is an organic horizon. ","")&amp;IF(AND(ISNUMBER($J297),$J297&lt;QC_RECOVERY_MIN),"Recovered less than the QC minimum of the depth driven — the increments may not sit where you think. Do NOT stretch them back out. ","")&amp;IF(AND(ISNUMBER($K297),$K297&gt;0,$L297="Fine earth / total volume"),"Coarse fragments recorded and the lab basis already accounts for them — no further correction applied, which is correct. ",""))</f>
        <v/>
      </c>
      <c r="T297" s="6" t="n"/>
      <c r="U297" s="9">
        <f>IF($B297="",0,IF(COUNTIFS($B$5:$B297,$B297)=1,1,0))</f>
        <v/>
      </c>
    </row>
    <row r="298">
      <c r="A298" s="6" t="n"/>
      <c r="B298" s="6" t="n"/>
      <c r="C298" s="6" t="n"/>
      <c r="D298" s="6" t="n"/>
      <c r="E298" s="6" t="n"/>
      <c r="F298" s="9">
        <f>IF(OR($D298="",$E298=""),"",$E298-$D298)</f>
        <v/>
      </c>
      <c r="G298" s="6" t="n"/>
      <c r="H298" s="6" t="n"/>
      <c r="I298" s="6" t="n"/>
      <c r="J298" s="9">
        <f>IF(OR(NOT(ISNUMBER($H298)),NOT(ISNUMBER($I298)),$H298=0),"",$I298/$H298)</f>
        <v/>
      </c>
      <c r="K298" s="6" t="n"/>
      <c r="L298" s="8" t="n"/>
      <c r="M298" s="7" t="n"/>
      <c r="N298" s="7" t="n"/>
      <c r="O298" s="9">
        <f>IF(NOT(ISNUMBER($M298)),"",IF($L298="Fine earth / fine-earth volume",$M298*(1-IF(ISNUMBER($K298),$K298,0)/100),$M298))</f>
        <v/>
      </c>
      <c r="P298" s="9">
        <f>IF(OR(NOT(ISNUMBER($O298)),NOT(ISNUMBER($N298)),NOT(ISNUMBER($F298))),"",$O298*($N298/100)*$F298*10)</f>
        <v/>
      </c>
      <c r="Q298" s="9">
        <f>IF(OR(NOT(ISNUMBER($D298)),NOT(ISNUMBER($E298))),"",MAX(0,MIN($E298,SOIL_REPORTING_DEPTH_CM)-MIN($D298,SOIL_REPORTING_DEPTH_CM)))</f>
        <v/>
      </c>
      <c r="R298" s="9">
        <f>IF(OR(NOT(ISNUMBER($O298)),NOT(ISNUMBER($N298)),NOT(ISNUMBER($Q298))),"",$O298*($N298/100)*$Q298*10)</f>
        <v/>
      </c>
      <c r="S298" s="11">
        <f>IF(AND($A298="",$B298="",$D298=""),"",IF(AND($A298&lt;&gt;"",COUNTIF('1. Plot &amp; Site Log'!$A$5:$A$64,$A298)=0),"Plot ID not in the Plot &amp; Site Log. ","")&amp;IF(AND(ISNUMBER($D298),ISNUMBER($E298),$E298&lt;=$D298),"Bottom depth is not below top depth. ","")&amp;IF($L298="Not confirmed","Bulk-density basis not confirmed with the lab — the coarse-fragment correction may be wrong or doubled. ","")&amp;IF(AND(ISNUMBER($M298),OR($M298&lt;QC_BD_MIN,$M298&gt;QC_BD_MAX)),"Bulk density outside the plausible range for a mineral grassland soil. ","")&amp;IF(AND(ISNUMBER($N298),$N298&gt;QC_CARBON_PCT_MAX),"Organic carbon above the QC ceiling — check units, and whether this is an organic horizon. ","")&amp;IF(AND(ISNUMBER($J298),$J298&lt;QC_RECOVERY_MIN),"Recovered less than the QC minimum of the depth driven — the increments may not sit where you think. Do NOT stretch them back out. ","")&amp;IF(AND(ISNUMBER($K298),$K298&gt;0,$L298="Fine earth / total volume"),"Coarse fragments recorded and the lab basis already accounts for them — no further correction applied, which is correct. ",""))</f>
        <v/>
      </c>
      <c r="T298" s="6" t="n"/>
      <c r="U298" s="9">
        <f>IF($B298="",0,IF(COUNTIFS($B$5:$B298,$B298)=1,1,0))</f>
        <v/>
      </c>
    </row>
    <row r="299">
      <c r="A299" s="6" t="n"/>
      <c r="B299" s="6" t="n"/>
      <c r="C299" s="6" t="n"/>
      <c r="D299" s="6" t="n"/>
      <c r="E299" s="6" t="n"/>
      <c r="F299" s="9">
        <f>IF(OR($D299="",$E299=""),"",$E299-$D299)</f>
        <v/>
      </c>
      <c r="G299" s="6" t="n"/>
      <c r="H299" s="6" t="n"/>
      <c r="I299" s="6" t="n"/>
      <c r="J299" s="9">
        <f>IF(OR(NOT(ISNUMBER($H299)),NOT(ISNUMBER($I299)),$H299=0),"",$I299/$H299)</f>
        <v/>
      </c>
      <c r="K299" s="6" t="n"/>
      <c r="L299" s="8" t="n"/>
      <c r="M299" s="7" t="n"/>
      <c r="N299" s="7" t="n"/>
      <c r="O299" s="9">
        <f>IF(NOT(ISNUMBER($M299)),"",IF($L299="Fine earth / fine-earth volume",$M299*(1-IF(ISNUMBER($K299),$K299,0)/100),$M299))</f>
        <v/>
      </c>
      <c r="P299" s="9">
        <f>IF(OR(NOT(ISNUMBER($O299)),NOT(ISNUMBER($N299)),NOT(ISNUMBER($F299))),"",$O299*($N299/100)*$F299*10)</f>
        <v/>
      </c>
      <c r="Q299" s="9">
        <f>IF(OR(NOT(ISNUMBER($D299)),NOT(ISNUMBER($E299))),"",MAX(0,MIN($E299,SOIL_REPORTING_DEPTH_CM)-MIN($D299,SOIL_REPORTING_DEPTH_CM)))</f>
        <v/>
      </c>
      <c r="R299" s="9">
        <f>IF(OR(NOT(ISNUMBER($O299)),NOT(ISNUMBER($N299)),NOT(ISNUMBER($Q299))),"",$O299*($N299/100)*$Q299*10)</f>
        <v/>
      </c>
      <c r="S299" s="11">
        <f>IF(AND($A299="",$B299="",$D299=""),"",IF(AND($A299&lt;&gt;"",COUNTIF('1. Plot &amp; Site Log'!$A$5:$A$64,$A299)=0),"Plot ID not in the Plot &amp; Site Log. ","")&amp;IF(AND(ISNUMBER($D299),ISNUMBER($E299),$E299&lt;=$D299),"Bottom depth is not below top depth. ","")&amp;IF($L299="Not confirmed","Bulk-density basis not confirmed with the lab — the coarse-fragment correction may be wrong or doubled. ","")&amp;IF(AND(ISNUMBER($M299),OR($M299&lt;QC_BD_MIN,$M299&gt;QC_BD_MAX)),"Bulk density outside the plausible range for a mineral grassland soil. ","")&amp;IF(AND(ISNUMBER($N299),$N299&gt;QC_CARBON_PCT_MAX),"Organic carbon above the QC ceiling — check units, and whether this is an organic horizon. ","")&amp;IF(AND(ISNUMBER($J299),$J299&lt;QC_RECOVERY_MIN),"Recovered less than the QC minimum of the depth driven — the increments may not sit where you think. Do NOT stretch them back out. ","")&amp;IF(AND(ISNUMBER($K299),$K299&gt;0,$L299="Fine earth / total volume"),"Coarse fragments recorded and the lab basis already accounts for them — no further correction applied, which is correct. ",""))</f>
        <v/>
      </c>
      <c r="T299" s="6" t="n"/>
      <c r="U299" s="9">
        <f>IF($B299="",0,IF(COUNTIFS($B$5:$B299,$B299)=1,1,0))</f>
        <v/>
      </c>
    </row>
    <row r="300">
      <c r="A300" s="6" t="n"/>
      <c r="B300" s="6" t="n"/>
      <c r="C300" s="6" t="n"/>
      <c r="D300" s="6" t="n"/>
      <c r="E300" s="6" t="n"/>
      <c r="F300" s="9">
        <f>IF(OR($D300="",$E300=""),"",$E300-$D300)</f>
        <v/>
      </c>
      <c r="G300" s="6" t="n"/>
      <c r="H300" s="6" t="n"/>
      <c r="I300" s="6" t="n"/>
      <c r="J300" s="9">
        <f>IF(OR(NOT(ISNUMBER($H300)),NOT(ISNUMBER($I300)),$H300=0),"",$I300/$H300)</f>
        <v/>
      </c>
      <c r="K300" s="6" t="n"/>
      <c r="L300" s="8" t="n"/>
      <c r="M300" s="7" t="n"/>
      <c r="N300" s="7" t="n"/>
      <c r="O300" s="9">
        <f>IF(NOT(ISNUMBER($M300)),"",IF($L300="Fine earth / fine-earth volume",$M300*(1-IF(ISNUMBER($K300),$K300,0)/100),$M300))</f>
        <v/>
      </c>
      <c r="P300" s="9">
        <f>IF(OR(NOT(ISNUMBER($O300)),NOT(ISNUMBER($N300)),NOT(ISNUMBER($F300))),"",$O300*($N300/100)*$F300*10)</f>
        <v/>
      </c>
      <c r="Q300" s="9">
        <f>IF(OR(NOT(ISNUMBER($D300)),NOT(ISNUMBER($E300))),"",MAX(0,MIN($E300,SOIL_REPORTING_DEPTH_CM)-MIN($D300,SOIL_REPORTING_DEPTH_CM)))</f>
        <v/>
      </c>
      <c r="R300" s="9">
        <f>IF(OR(NOT(ISNUMBER($O300)),NOT(ISNUMBER($N300)),NOT(ISNUMBER($Q300))),"",$O300*($N300/100)*$Q300*10)</f>
        <v/>
      </c>
      <c r="S300" s="11">
        <f>IF(AND($A300="",$B300="",$D300=""),"",IF(AND($A300&lt;&gt;"",COUNTIF('1. Plot &amp; Site Log'!$A$5:$A$64,$A300)=0),"Plot ID not in the Plot &amp; Site Log. ","")&amp;IF(AND(ISNUMBER($D300),ISNUMBER($E300),$E300&lt;=$D300),"Bottom depth is not below top depth. ","")&amp;IF($L300="Not confirmed","Bulk-density basis not confirmed with the lab — the coarse-fragment correction may be wrong or doubled. ","")&amp;IF(AND(ISNUMBER($M300),OR($M300&lt;QC_BD_MIN,$M300&gt;QC_BD_MAX)),"Bulk density outside the plausible range for a mineral grassland soil. ","")&amp;IF(AND(ISNUMBER($N300),$N300&gt;QC_CARBON_PCT_MAX),"Organic carbon above the QC ceiling — check units, and whether this is an organic horizon. ","")&amp;IF(AND(ISNUMBER($J300),$J300&lt;QC_RECOVERY_MIN),"Recovered less than the QC minimum of the depth driven — the increments may not sit where you think. Do NOT stretch them back out. ","")&amp;IF(AND(ISNUMBER($K300),$K300&gt;0,$L300="Fine earth / total volume"),"Coarse fragments recorded and the lab basis already accounts for them — no further correction applied, which is correct. ",""))</f>
        <v/>
      </c>
      <c r="T300" s="6" t="n"/>
      <c r="U300" s="9">
        <f>IF($B300="",0,IF(COUNTIFS($B$5:$B300,$B300)=1,1,0))</f>
        <v/>
      </c>
    </row>
    <row r="301">
      <c r="A301" s="6" t="n"/>
      <c r="B301" s="6" t="n"/>
      <c r="C301" s="6" t="n"/>
      <c r="D301" s="6" t="n"/>
      <c r="E301" s="6" t="n"/>
      <c r="F301" s="9">
        <f>IF(OR($D301="",$E301=""),"",$E301-$D301)</f>
        <v/>
      </c>
      <c r="G301" s="6" t="n"/>
      <c r="H301" s="6" t="n"/>
      <c r="I301" s="6" t="n"/>
      <c r="J301" s="9">
        <f>IF(OR(NOT(ISNUMBER($H301)),NOT(ISNUMBER($I301)),$H301=0),"",$I301/$H301)</f>
        <v/>
      </c>
      <c r="K301" s="6" t="n"/>
      <c r="L301" s="8" t="n"/>
      <c r="M301" s="7" t="n"/>
      <c r="N301" s="7" t="n"/>
      <c r="O301" s="9">
        <f>IF(NOT(ISNUMBER($M301)),"",IF($L301="Fine earth / fine-earth volume",$M301*(1-IF(ISNUMBER($K301),$K301,0)/100),$M301))</f>
        <v/>
      </c>
      <c r="P301" s="9">
        <f>IF(OR(NOT(ISNUMBER($O301)),NOT(ISNUMBER($N301)),NOT(ISNUMBER($F301))),"",$O301*($N301/100)*$F301*10)</f>
        <v/>
      </c>
      <c r="Q301" s="9">
        <f>IF(OR(NOT(ISNUMBER($D301)),NOT(ISNUMBER($E301))),"",MAX(0,MIN($E301,SOIL_REPORTING_DEPTH_CM)-MIN($D301,SOIL_REPORTING_DEPTH_CM)))</f>
        <v/>
      </c>
      <c r="R301" s="9">
        <f>IF(OR(NOT(ISNUMBER($O301)),NOT(ISNUMBER($N301)),NOT(ISNUMBER($Q301))),"",$O301*($N301/100)*$Q301*10)</f>
        <v/>
      </c>
      <c r="S301" s="11">
        <f>IF(AND($A301="",$B301="",$D301=""),"",IF(AND($A301&lt;&gt;"",COUNTIF('1. Plot &amp; Site Log'!$A$5:$A$64,$A301)=0),"Plot ID not in the Plot &amp; Site Log. ","")&amp;IF(AND(ISNUMBER($D301),ISNUMBER($E301),$E301&lt;=$D301),"Bottom depth is not below top depth. ","")&amp;IF($L301="Not confirmed","Bulk-density basis not confirmed with the lab — the coarse-fragment correction may be wrong or doubled. ","")&amp;IF(AND(ISNUMBER($M301),OR($M301&lt;QC_BD_MIN,$M301&gt;QC_BD_MAX)),"Bulk density outside the plausible range for a mineral grassland soil. ","")&amp;IF(AND(ISNUMBER($N301),$N301&gt;QC_CARBON_PCT_MAX),"Organic carbon above the QC ceiling — check units, and whether this is an organic horizon. ","")&amp;IF(AND(ISNUMBER($J301),$J301&lt;QC_RECOVERY_MIN),"Recovered less than the QC minimum of the depth driven — the increments may not sit where you think. Do NOT stretch them back out. ","")&amp;IF(AND(ISNUMBER($K301),$K301&gt;0,$L301="Fine earth / total volume"),"Coarse fragments recorded and the lab basis already accounts for them — no further correction applied, which is correct. ",""))</f>
        <v/>
      </c>
      <c r="T301" s="6" t="n"/>
      <c r="U301" s="9">
        <f>IF($B301="",0,IF(COUNTIFS($B$5:$B301,$B301)=1,1,0))</f>
        <v/>
      </c>
    </row>
    <row r="302">
      <c r="A302" s="6" t="n"/>
      <c r="B302" s="6" t="n"/>
      <c r="C302" s="6" t="n"/>
      <c r="D302" s="6" t="n"/>
      <c r="E302" s="6" t="n"/>
      <c r="F302" s="9">
        <f>IF(OR($D302="",$E302=""),"",$E302-$D302)</f>
        <v/>
      </c>
      <c r="G302" s="6" t="n"/>
      <c r="H302" s="6" t="n"/>
      <c r="I302" s="6" t="n"/>
      <c r="J302" s="9">
        <f>IF(OR(NOT(ISNUMBER($H302)),NOT(ISNUMBER($I302)),$H302=0),"",$I302/$H302)</f>
        <v/>
      </c>
      <c r="K302" s="6" t="n"/>
      <c r="L302" s="8" t="n"/>
      <c r="M302" s="7" t="n"/>
      <c r="N302" s="7" t="n"/>
      <c r="O302" s="9">
        <f>IF(NOT(ISNUMBER($M302)),"",IF($L302="Fine earth / fine-earth volume",$M302*(1-IF(ISNUMBER($K302),$K302,0)/100),$M302))</f>
        <v/>
      </c>
      <c r="P302" s="9">
        <f>IF(OR(NOT(ISNUMBER($O302)),NOT(ISNUMBER($N302)),NOT(ISNUMBER($F302))),"",$O302*($N302/100)*$F302*10)</f>
        <v/>
      </c>
      <c r="Q302" s="9">
        <f>IF(OR(NOT(ISNUMBER($D302)),NOT(ISNUMBER($E302))),"",MAX(0,MIN($E302,SOIL_REPORTING_DEPTH_CM)-MIN($D302,SOIL_REPORTING_DEPTH_CM)))</f>
        <v/>
      </c>
      <c r="R302" s="9">
        <f>IF(OR(NOT(ISNUMBER($O302)),NOT(ISNUMBER($N302)),NOT(ISNUMBER($Q302))),"",$O302*($N302/100)*$Q302*10)</f>
        <v/>
      </c>
      <c r="S302" s="11">
        <f>IF(AND($A302="",$B302="",$D302=""),"",IF(AND($A302&lt;&gt;"",COUNTIF('1. Plot &amp; Site Log'!$A$5:$A$64,$A302)=0),"Plot ID not in the Plot &amp; Site Log. ","")&amp;IF(AND(ISNUMBER($D302),ISNUMBER($E302),$E302&lt;=$D302),"Bottom depth is not below top depth. ","")&amp;IF($L302="Not confirmed","Bulk-density basis not confirmed with the lab — the coarse-fragment correction may be wrong or doubled. ","")&amp;IF(AND(ISNUMBER($M302),OR($M302&lt;QC_BD_MIN,$M302&gt;QC_BD_MAX)),"Bulk density outside the plausible range for a mineral grassland soil. ","")&amp;IF(AND(ISNUMBER($N302),$N302&gt;QC_CARBON_PCT_MAX),"Organic carbon above the QC ceiling — check units, and whether this is an organic horizon. ","")&amp;IF(AND(ISNUMBER($J302),$J302&lt;QC_RECOVERY_MIN),"Recovered less than the QC minimum of the depth driven — the increments may not sit where you think. Do NOT stretch them back out. ","")&amp;IF(AND(ISNUMBER($K302),$K302&gt;0,$L302="Fine earth / total volume"),"Coarse fragments recorded and the lab basis already accounts for them — no further correction applied, which is correct. ",""))</f>
        <v/>
      </c>
      <c r="T302" s="6" t="n"/>
      <c r="U302" s="9">
        <f>IF($B302="",0,IF(COUNTIFS($B$5:$B302,$B302)=1,1,0))</f>
        <v/>
      </c>
    </row>
    <row r="303">
      <c r="A303" s="6" t="n"/>
      <c r="B303" s="6" t="n"/>
      <c r="C303" s="6" t="n"/>
      <c r="D303" s="6" t="n"/>
      <c r="E303" s="6" t="n"/>
      <c r="F303" s="9">
        <f>IF(OR($D303="",$E303=""),"",$E303-$D303)</f>
        <v/>
      </c>
      <c r="G303" s="6" t="n"/>
      <c r="H303" s="6" t="n"/>
      <c r="I303" s="6" t="n"/>
      <c r="J303" s="9">
        <f>IF(OR(NOT(ISNUMBER($H303)),NOT(ISNUMBER($I303)),$H303=0),"",$I303/$H303)</f>
        <v/>
      </c>
      <c r="K303" s="6" t="n"/>
      <c r="L303" s="8" t="n"/>
      <c r="M303" s="7" t="n"/>
      <c r="N303" s="7" t="n"/>
      <c r="O303" s="9">
        <f>IF(NOT(ISNUMBER($M303)),"",IF($L303="Fine earth / fine-earth volume",$M303*(1-IF(ISNUMBER($K303),$K303,0)/100),$M303))</f>
        <v/>
      </c>
      <c r="P303" s="9">
        <f>IF(OR(NOT(ISNUMBER($O303)),NOT(ISNUMBER($N303)),NOT(ISNUMBER($F303))),"",$O303*($N303/100)*$F303*10)</f>
        <v/>
      </c>
      <c r="Q303" s="9">
        <f>IF(OR(NOT(ISNUMBER($D303)),NOT(ISNUMBER($E303))),"",MAX(0,MIN($E303,SOIL_REPORTING_DEPTH_CM)-MIN($D303,SOIL_REPORTING_DEPTH_CM)))</f>
        <v/>
      </c>
      <c r="R303" s="9">
        <f>IF(OR(NOT(ISNUMBER($O303)),NOT(ISNUMBER($N303)),NOT(ISNUMBER($Q303))),"",$O303*($N303/100)*$Q303*10)</f>
        <v/>
      </c>
      <c r="S303" s="11">
        <f>IF(AND($A303="",$B303="",$D303=""),"",IF(AND($A303&lt;&gt;"",COUNTIF('1. Plot &amp; Site Log'!$A$5:$A$64,$A303)=0),"Plot ID not in the Plot &amp; Site Log. ","")&amp;IF(AND(ISNUMBER($D303),ISNUMBER($E303),$E303&lt;=$D303),"Bottom depth is not below top depth. ","")&amp;IF($L303="Not confirmed","Bulk-density basis not confirmed with the lab — the coarse-fragment correction may be wrong or doubled. ","")&amp;IF(AND(ISNUMBER($M303),OR($M303&lt;QC_BD_MIN,$M303&gt;QC_BD_MAX)),"Bulk density outside the plausible range for a mineral grassland soil. ","")&amp;IF(AND(ISNUMBER($N303),$N303&gt;QC_CARBON_PCT_MAX),"Organic carbon above the QC ceiling — check units, and whether this is an organic horizon. ","")&amp;IF(AND(ISNUMBER($J303),$J303&lt;QC_RECOVERY_MIN),"Recovered less than the QC minimum of the depth driven — the increments may not sit where you think. Do NOT stretch them back out. ","")&amp;IF(AND(ISNUMBER($K303),$K303&gt;0,$L303="Fine earth / total volume"),"Coarse fragments recorded and the lab basis already accounts for them — no further correction applied, which is correct. ",""))</f>
        <v/>
      </c>
      <c r="T303" s="6" t="n"/>
      <c r="U303" s="9">
        <f>IF($B303="",0,IF(COUNTIFS($B$5:$B303,$B303)=1,1,0))</f>
        <v/>
      </c>
    </row>
    <row r="304">
      <c r="A304" s="6" t="n"/>
      <c r="B304" s="6" t="n"/>
      <c r="C304" s="6" t="n"/>
      <c r="D304" s="6" t="n"/>
      <c r="E304" s="6" t="n"/>
      <c r="F304" s="9">
        <f>IF(OR($D304="",$E304=""),"",$E304-$D304)</f>
        <v/>
      </c>
      <c r="G304" s="6" t="n"/>
      <c r="H304" s="6" t="n"/>
      <c r="I304" s="6" t="n"/>
      <c r="J304" s="9">
        <f>IF(OR(NOT(ISNUMBER($H304)),NOT(ISNUMBER($I304)),$H304=0),"",$I304/$H304)</f>
        <v/>
      </c>
      <c r="K304" s="6" t="n"/>
      <c r="L304" s="8" t="n"/>
      <c r="M304" s="7" t="n"/>
      <c r="N304" s="7" t="n"/>
      <c r="O304" s="9">
        <f>IF(NOT(ISNUMBER($M304)),"",IF($L304="Fine earth / fine-earth volume",$M304*(1-IF(ISNUMBER($K304),$K304,0)/100),$M304))</f>
        <v/>
      </c>
      <c r="P304" s="9">
        <f>IF(OR(NOT(ISNUMBER($O304)),NOT(ISNUMBER($N304)),NOT(ISNUMBER($F304))),"",$O304*($N304/100)*$F304*10)</f>
        <v/>
      </c>
      <c r="Q304" s="9">
        <f>IF(OR(NOT(ISNUMBER($D304)),NOT(ISNUMBER($E304))),"",MAX(0,MIN($E304,SOIL_REPORTING_DEPTH_CM)-MIN($D304,SOIL_REPORTING_DEPTH_CM)))</f>
        <v/>
      </c>
      <c r="R304" s="9">
        <f>IF(OR(NOT(ISNUMBER($O304)),NOT(ISNUMBER($N304)),NOT(ISNUMBER($Q304))),"",$O304*($N304/100)*$Q304*10)</f>
        <v/>
      </c>
      <c r="S304" s="11">
        <f>IF(AND($A304="",$B304="",$D304=""),"",IF(AND($A304&lt;&gt;"",COUNTIF('1. Plot &amp; Site Log'!$A$5:$A$64,$A304)=0),"Plot ID not in the Plot &amp; Site Log. ","")&amp;IF(AND(ISNUMBER($D304),ISNUMBER($E304),$E304&lt;=$D304),"Bottom depth is not below top depth. ","")&amp;IF($L304="Not confirmed","Bulk-density basis not confirmed with the lab — the coarse-fragment correction may be wrong or doubled. ","")&amp;IF(AND(ISNUMBER($M304),OR($M304&lt;QC_BD_MIN,$M304&gt;QC_BD_MAX)),"Bulk density outside the plausible range for a mineral grassland soil. ","")&amp;IF(AND(ISNUMBER($N304),$N304&gt;QC_CARBON_PCT_MAX),"Organic carbon above the QC ceiling — check units, and whether this is an organic horizon. ","")&amp;IF(AND(ISNUMBER($J304),$J304&lt;QC_RECOVERY_MIN),"Recovered less than the QC minimum of the depth driven — the increments may not sit where you think. Do NOT stretch them back out. ","")&amp;IF(AND(ISNUMBER($K304),$K304&gt;0,$L304="Fine earth / total volume"),"Coarse fragments recorded and the lab basis already accounts for them — no further correction applied, which is correct. ",""))</f>
        <v/>
      </c>
      <c r="T304" s="6" t="n"/>
      <c r="U304" s="9">
        <f>IF($B304="",0,IF(COUNTIFS($B$5:$B304,$B304)=1,1,0))</f>
        <v/>
      </c>
    </row>
    <row r="305">
      <c r="A305" s="6" t="n"/>
      <c r="B305" s="6" t="n"/>
      <c r="C305" s="6" t="n"/>
      <c r="D305" s="6" t="n"/>
      <c r="E305" s="6" t="n"/>
      <c r="F305" s="9">
        <f>IF(OR($D305="",$E305=""),"",$E305-$D305)</f>
        <v/>
      </c>
      <c r="G305" s="6" t="n"/>
      <c r="H305" s="6" t="n"/>
      <c r="I305" s="6" t="n"/>
      <c r="J305" s="9">
        <f>IF(OR(NOT(ISNUMBER($H305)),NOT(ISNUMBER($I305)),$H305=0),"",$I305/$H305)</f>
        <v/>
      </c>
      <c r="K305" s="6" t="n"/>
      <c r="L305" s="8" t="n"/>
      <c r="M305" s="7" t="n"/>
      <c r="N305" s="7" t="n"/>
      <c r="O305" s="9">
        <f>IF(NOT(ISNUMBER($M305)),"",IF($L305="Fine earth / fine-earth volume",$M305*(1-IF(ISNUMBER($K305),$K305,0)/100),$M305))</f>
        <v/>
      </c>
      <c r="P305" s="9">
        <f>IF(OR(NOT(ISNUMBER($O305)),NOT(ISNUMBER($N305)),NOT(ISNUMBER($F305))),"",$O305*($N305/100)*$F305*10)</f>
        <v/>
      </c>
      <c r="Q305" s="9">
        <f>IF(OR(NOT(ISNUMBER($D305)),NOT(ISNUMBER($E305))),"",MAX(0,MIN($E305,SOIL_REPORTING_DEPTH_CM)-MIN($D305,SOIL_REPORTING_DEPTH_CM)))</f>
        <v/>
      </c>
      <c r="R305" s="9">
        <f>IF(OR(NOT(ISNUMBER($O305)),NOT(ISNUMBER($N305)),NOT(ISNUMBER($Q305))),"",$O305*($N305/100)*$Q305*10)</f>
        <v/>
      </c>
      <c r="S305" s="11">
        <f>IF(AND($A305="",$B305="",$D305=""),"",IF(AND($A305&lt;&gt;"",COUNTIF('1. Plot &amp; Site Log'!$A$5:$A$64,$A305)=0),"Plot ID not in the Plot &amp; Site Log. ","")&amp;IF(AND(ISNUMBER($D305),ISNUMBER($E305),$E305&lt;=$D305),"Bottom depth is not below top depth. ","")&amp;IF($L305="Not confirmed","Bulk-density basis not confirmed with the lab — the coarse-fragment correction may be wrong or doubled. ","")&amp;IF(AND(ISNUMBER($M305),OR($M305&lt;QC_BD_MIN,$M305&gt;QC_BD_MAX)),"Bulk density outside the plausible range for a mineral grassland soil. ","")&amp;IF(AND(ISNUMBER($N305),$N305&gt;QC_CARBON_PCT_MAX),"Organic carbon above the QC ceiling — check units, and whether this is an organic horizon. ","")&amp;IF(AND(ISNUMBER($J305),$J305&lt;QC_RECOVERY_MIN),"Recovered less than the QC minimum of the depth driven — the increments may not sit where you think. Do NOT stretch them back out. ","")&amp;IF(AND(ISNUMBER($K305),$K305&gt;0,$L305="Fine earth / total volume"),"Coarse fragments recorded and the lab basis already accounts for them — no further correction applied, which is correct. ",""))</f>
        <v/>
      </c>
      <c r="T305" s="6" t="n"/>
      <c r="U305" s="9">
        <f>IF($B305="",0,IF(COUNTIFS($B$5:$B305,$B305)=1,1,0))</f>
        <v/>
      </c>
    </row>
    <row r="306">
      <c r="A306" s="6" t="n"/>
      <c r="B306" s="6" t="n"/>
      <c r="C306" s="6" t="n"/>
      <c r="D306" s="6" t="n"/>
      <c r="E306" s="6" t="n"/>
      <c r="F306" s="9">
        <f>IF(OR($D306="",$E306=""),"",$E306-$D306)</f>
        <v/>
      </c>
      <c r="G306" s="6" t="n"/>
      <c r="H306" s="6" t="n"/>
      <c r="I306" s="6" t="n"/>
      <c r="J306" s="9">
        <f>IF(OR(NOT(ISNUMBER($H306)),NOT(ISNUMBER($I306)),$H306=0),"",$I306/$H306)</f>
        <v/>
      </c>
      <c r="K306" s="6" t="n"/>
      <c r="L306" s="8" t="n"/>
      <c r="M306" s="7" t="n"/>
      <c r="N306" s="7" t="n"/>
      <c r="O306" s="9">
        <f>IF(NOT(ISNUMBER($M306)),"",IF($L306="Fine earth / fine-earth volume",$M306*(1-IF(ISNUMBER($K306),$K306,0)/100),$M306))</f>
        <v/>
      </c>
      <c r="P306" s="9">
        <f>IF(OR(NOT(ISNUMBER($O306)),NOT(ISNUMBER($N306)),NOT(ISNUMBER($F306))),"",$O306*($N306/100)*$F306*10)</f>
        <v/>
      </c>
      <c r="Q306" s="9">
        <f>IF(OR(NOT(ISNUMBER($D306)),NOT(ISNUMBER($E306))),"",MAX(0,MIN($E306,SOIL_REPORTING_DEPTH_CM)-MIN($D306,SOIL_REPORTING_DEPTH_CM)))</f>
        <v/>
      </c>
      <c r="R306" s="9">
        <f>IF(OR(NOT(ISNUMBER($O306)),NOT(ISNUMBER($N306)),NOT(ISNUMBER($Q306))),"",$O306*($N306/100)*$Q306*10)</f>
        <v/>
      </c>
      <c r="S306" s="11">
        <f>IF(AND($A306="",$B306="",$D306=""),"",IF(AND($A306&lt;&gt;"",COUNTIF('1. Plot &amp; Site Log'!$A$5:$A$64,$A306)=0),"Plot ID not in the Plot &amp; Site Log. ","")&amp;IF(AND(ISNUMBER($D306),ISNUMBER($E306),$E306&lt;=$D306),"Bottom depth is not below top depth. ","")&amp;IF($L306="Not confirmed","Bulk-density basis not confirmed with the lab — the coarse-fragment correction may be wrong or doubled. ","")&amp;IF(AND(ISNUMBER($M306),OR($M306&lt;QC_BD_MIN,$M306&gt;QC_BD_MAX)),"Bulk density outside the plausible range for a mineral grassland soil. ","")&amp;IF(AND(ISNUMBER($N306),$N306&gt;QC_CARBON_PCT_MAX),"Organic carbon above the QC ceiling — check units, and whether this is an organic horizon. ","")&amp;IF(AND(ISNUMBER($J306),$J306&lt;QC_RECOVERY_MIN),"Recovered less than the QC minimum of the depth driven — the increments may not sit where you think. Do NOT stretch them back out. ","")&amp;IF(AND(ISNUMBER($K306),$K306&gt;0,$L306="Fine earth / total volume"),"Coarse fragments recorded and the lab basis already accounts for them — no further correction applied, which is correct. ",""))</f>
        <v/>
      </c>
      <c r="T306" s="6" t="n"/>
      <c r="U306" s="9">
        <f>IF($B306="",0,IF(COUNTIFS($B$5:$B306,$B306)=1,1,0))</f>
        <v/>
      </c>
    </row>
    <row r="307">
      <c r="A307" s="6" t="n"/>
      <c r="B307" s="6" t="n"/>
      <c r="C307" s="6" t="n"/>
      <c r="D307" s="6" t="n"/>
      <c r="E307" s="6" t="n"/>
      <c r="F307" s="9">
        <f>IF(OR($D307="",$E307=""),"",$E307-$D307)</f>
        <v/>
      </c>
      <c r="G307" s="6" t="n"/>
      <c r="H307" s="6" t="n"/>
      <c r="I307" s="6" t="n"/>
      <c r="J307" s="9">
        <f>IF(OR(NOT(ISNUMBER($H307)),NOT(ISNUMBER($I307)),$H307=0),"",$I307/$H307)</f>
        <v/>
      </c>
      <c r="K307" s="6" t="n"/>
      <c r="L307" s="8" t="n"/>
      <c r="M307" s="7" t="n"/>
      <c r="N307" s="7" t="n"/>
      <c r="O307" s="9">
        <f>IF(NOT(ISNUMBER($M307)),"",IF($L307="Fine earth / fine-earth volume",$M307*(1-IF(ISNUMBER($K307),$K307,0)/100),$M307))</f>
        <v/>
      </c>
      <c r="P307" s="9">
        <f>IF(OR(NOT(ISNUMBER($O307)),NOT(ISNUMBER($N307)),NOT(ISNUMBER($F307))),"",$O307*($N307/100)*$F307*10)</f>
        <v/>
      </c>
      <c r="Q307" s="9">
        <f>IF(OR(NOT(ISNUMBER($D307)),NOT(ISNUMBER($E307))),"",MAX(0,MIN($E307,SOIL_REPORTING_DEPTH_CM)-MIN($D307,SOIL_REPORTING_DEPTH_CM)))</f>
        <v/>
      </c>
      <c r="R307" s="9">
        <f>IF(OR(NOT(ISNUMBER($O307)),NOT(ISNUMBER($N307)),NOT(ISNUMBER($Q307))),"",$O307*($N307/100)*$Q307*10)</f>
        <v/>
      </c>
      <c r="S307" s="11">
        <f>IF(AND($A307="",$B307="",$D307=""),"",IF(AND($A307&lt;&gt;"",COUNTIF('1. Plot &amp; Site Log'!$A$5:$A$64,$A307)=0),"Plot ID not in the Plot &amp; Site Log. ","")&amp;IF(AND(ISNUMBER($D307),ISNUMBER($E307),$E307&lt;=$D307),"Bottom depth is not below top depth. ","")&amp;IF($L307="Not confirmed","Bulk-density basis not confirmed with the lab — the coarse-fragment correction may be wrong or doubled. ","")&amp;IF(AND(ISNUMBER($M307),OR($M307&lt;QC_BD_MIN,$M307&gt;QC_BD_MAX)),"Bulk density outside the plausible range for a mineral grassland soil. ","")&amp;IF(AND(ISNUMBER($N307),$N307&gt;QC_CARBON_PCT_MAX),"Organic carbon above the QC ceiling — check units, and whether this is an organic horizon. ","")&amp;IF(AND(ISNUMBER($J307),$J307&lt;QC_RECOVERY_MIN),"Recovered less than the QC minimum of the depth driven — the increments may not sit where you think. Do NOT stretch them back out. ","")&amp;IF(AND(ISNUMBER($K307),$K307&gt;0,$L307="Fine earth / total volume"),"Coarse fragments recorded and the lab basis already accounts for them — no further correction applied, which is correct. ",""))</f>
        <v/>
      </c>
      <c r="T307" s="6" t="n"/>
      <c r="U307" s="9">
        <f>IF($B307="",0,IF(COUNTIFS($B$5:$B307,$B307)=1,1,0))</f>
        <v/>
      </c>
    </row>
    <row r="308">
      <c r="A308" s="6" t="n"/>
      <c r="B308" s="6" t="n"/>
      <c r="C308" s="6" t="n"/>
      <c r="D308" s="6" t="n"/>
      <c r="E308" s="6" t="n"/>
      <c r="F308" s="9">
        <f>IF(OR($D308="",$E308=""),"",$E308-$D308)</f>
        <v/>
      </c>
      <c r="G308" s="6" t="n"/>
      <c r="H308" s="6" t="n"/>
      <c r="I308" s="6" t="n"/>
      <c r="J308" s="9">
        <f>IF(OR(NOT(ISNUMBER($H308)),NOT(ISNUMBER($I308)),$H308=0),"",$I308/$H308)</f>
        <v/>
      </c>
      <c r="K308" s="6" t="n"/>
      <c r="L308" s="8" t="n"/>
      <c r="M308" s="7" t="n"/>
      <c r="N308" s="7" t="n"/>
      <c r="O308" s="9">
        <f>IF(NOT(ISNUMBER($M308)),"",IF($L308="Fine earth / fine-earth volume",$M308*(1-IF(ISNUMBER($K308),$K308,0)/100),$M308))</f>
        <v/>
      </c>
      <c r="P308" s="9">
        <f>IF(OR(NOT(ISNUMBER($O308)),NOT(ISNUMBER($N308)),NOT(ISNUMBER($F308))),"",$O308*($N308/100)*$F308*10)</f>
        <v/>
      </c>
      <c r="Q308" s="9">
        <f>IF(OR(NOT(ISNUMBER($D308)),NOT(ISNUMBER($E308))),"",MAX(0,MIN($E308,SOIL_REPORTING_DEPTH_CM)-MIN($D308,SOIL_REPORTING_DEPTH_CM)))</f>
        <v/>
      </c>
      <c r="R308" s="9">
        <f>IF(OR(NOT(ISNUMBER($O308)),NOT(ISNUMBER($N308)),NOT(ISNUMBER($Q308))),"",$O308*($N308/100)*$Q308*10)</f>
        <v/>
      </c>
      <c r="S308" s="11">
        <f>IF(AND($A308="",$B308="",$D308=""),"",IF(AND($A308&lt;&gt;"",COUNTIF('1. Plot &amp; Site Log'!$A$5:$A$64,$A308)=0),"Plot ID not in the Plot &amp; Site Log. ","")&amp;IF(AND(ISNUMBER($D308),ISNUMBER($E308),$E308&lt;=$D308),"Bottom depth is not below top depth. ","")&amp;IF($L308="Not confirmed","Bulk-density basis not confirmed with the lab — the coarse-fragment correction may be wrong or doubled. ","")&amp;IF(AND(ISNUMBER($M308),OR($M308&lt;QC_BD_MIN,$M308&gt;QC_BD_MAX)),"Bulk density outside the plausible range for a mineral grassland soil. ","")&amp;IF(AND(ISNUMBER($N308),$N308&gt;QC_CARBON_PCT_MAX),"Organic carbon above the QC ceiling — check units, and whether this is an organic horizon. ","")&amp;IF(AND(ISNUMBER($J308),$J308&lt;QC_RECOVERY_MIN),"Recovered less than the QC minimum of the depth driven — the increments may not sit where you think. Do NOT stretch them back out. ","")&amp;IF(AND(ISNUMBER($K308),$K308&gt;0,$L308="Fine earth / total volume"),"Coarse fragments recorded and the lab basis already accounts for them — no further correction applied, which is correct. ",""))</f>
        <v/>
      </c>
      <c r="T308" s="6" t="n"/>
      <c r="U308" s="9">
        <f>IF($B308="",0,IF(COUNTIFS($B$5:$B308,$B308)=1,1,0))</f>
        <v/>
      </c>
    </row>
    <row r="309">
      <c r="A309" s="6" t="n"/>
      <c r="B309" s="6" t="n"/>
      <c r="C309" s="6" t="n"/>
      <c r="D309" s="6" t="n"/>
      <c r="E309" s="6" t="n"/>
      <c r="F309" s="9">
        <f>IF(OR($D309="",$E309=""),"",$E309-$D309)</f>
        <v/>
      </c>
      <c r="G309" s="6" t="n"/>
      <c r="H309" s="6" t="n"/>
      <c r="I309" s="6" t="n"/>
      <c r="J309" s="9">
        <f>IF(OR(NOT(ISNUMBER($H309)),NOT(ISNUMBER($I309)),$H309=0),"",$I309/$H309)</f>
        <v/>
      </c>
      <c r="K309" s="6" t="n"/>
      <c r="L309" s="8" t="n"/>
      <c r="M309" s="7" t="n"/>
      <c r="N309" s="7" t="n"/>
      <c r="O309" s="9">
        <f>IF(NOT(ISNUMBER($M309)),"",IF($L309="Fine earth / fine-earth volume",$M309*(1-IF(ISNUMBER($K309),$K309,0)/100),$M309))</f>
        <v/>
      </c>
      <c r="P309" s="9">
        <f>IF(OR(NOT(ISNUMBER($O309)),NOT(ISNUMBER($N309)),NOT(ISNUMBER($F309))),"",$O309*($N309/100)*$F309*10)</f>
        <v/>
      </c>
      <c r="Q309" s="9">
        <f>IF(OR(NOT(ISNUMBER($D309)),NOT(ISNUMBER($E309))),"",MAX(0,MIN($E309,SOIL_REPORTING_DEPTH_CM)-MIN($D309,SOIL_REPORTING_DEPTH_CM)))</f>
        <v/>
      </c>
      <c r="R309" s="9">
        <f>IF(OR(NOT(ISNUMBER($O309)),NOT(ISNUMBER($N309)),NOT(ISNUMBER($Q309))),"",$O309*($N309/100)*$Q309*10)</f>
        <v/>
      </c>
      <c r="S309" s="11">
        <f>IF(AND($A309="",$B309="",$D309=""),"",IF(AND($A309&lt;&gt;"",COUNTIF('1. Plot &amp; Site Log'!$A$5:$A$64,$A309)=0),"Plot ID not in the Plot &amp; Site Log. ","")&amp;IF(AND(ISNUMBER($D309),ISNUMBER($E309),$E309&lt;=$D309),"Bottom depth is not below top depth. ","")&amp;IF($L309="Not confirmed","Bulk-density basis not confirmed with the lab — the coarse-fragment correction may be wrong or doubled. ","")&amp;IF(AND(ISNUMBER($M309),OR($M309&lt;QC_BD_MIN,$M309&gt;QC_BD_MAX)),"Bulk density outside the plausible range for a mineral grassland soil. ","")&amp;IF(AND(ISNUMBER($N309),$N309&gt;QC_CARBON_PCT_MAX),"Organic carbon above the QC ceiling — check units, and whether this is an organic horizon. ","")&amp;IF(AND(ISNUMBER($J309),$J309&lt;QC_RECOVERY_MIN),"Recovered less than the QC minimum of the depth driven — the increments may not sit where you think. Do NOT stretch them back out. ","")&amp;IF(AND(ISNUMBER($K309),$K309&gt;0,$L309="Fine earth / total volume"),"Coarse fragments recorded and the lab basis already accounts for them — no further correction applied, which is correct. ",""))</f>
        <v/>
      </c>
      <c r="T309" s="6" t="n"/>
      <c r="U309" s="9">
        <f>IF($B309="",0,IF(COUNTIFS($B$5:$B309,$B309)=1,1,0))</f>
        <v/>
      </c>
    </row>
    <row r="310">
      <c r="A310" s="6" t="n"/>
      <c r="B310" s="6" t="n"/>
      <c r="C310" s="6" t="n"/>
      <c r="D310" s="6" t="n"/>
      <c r="E310" s="6" t="n"/>
      <c r="F310" s="9">
        <f>IF(OR($D310="",$E310=""),"",$E310-$D310)</f>
        <v/>
      </c>
      <c r="G310" s="6" t="n"/>
      <c r="H310" s="6" t="n"/>
      <c r="I310" s="6" t="n"/>
      <c r="J310" s="9">
        <f>IF(OR(NOT(ISNUMBER($H310)),NOT(ISNUMBER($I310)),$H310=0),"",$I310/$H310)</f>
        <v/>
      </c>
      <c r="K310" s="6" t="n"/>
      <c r="L310" s="8" t="n"/>
      <c r="M310" s="7" t="n"/>
      <c r="N310" s="7" t="n"/>
      <c r="O310" s="9">
        <f>IF(NOT(ISNUMBER($M310)),"",IF($L310="Fine earth / fine-earth volume",$M310*(1-IF(ISNUMBER($K310),$K310,0)/100),$M310))</f>
        <v/>
      </c>
      <c r="P310" s="9">
        <f>IF(OR(NOT(ISNUMBER($O310)),NOT(ISNUMBER($N310)),NOT(ISNUMBER($F310))),"",$O310*($N310/100)*$F310*10)</f>
        <v/>
      </c>
      <c r="Q310" s="9">
        <f>IF(OR(NOT(ISNUMBER($D310)),NOT(ISNUMBER($E310))),"",MAX(0,MIN($E310,SOIL_REPORTING_DEPTH_CM)-MIN($D310,SOIL_REPORTING_DEPTH_CM)))</f>
        <v/>
      </c>
      <c r="R310" s="9">
        <f>IF(OR(NOT(ISNUMBER($O310)),NOT(ISNUMBER($N310)),NOT(ISNUMBER($Q310))),"",$O310*($N310/100)*$Q310*10)</f>
        <v/>
      </c>
      <c r="S310" s="11">
        <f>IF(AND($A310="",$B310="",$D310=""),"",IF(AND($A310&lt;&gt;"",COUNTIF('1. Plot &amp; Site Log'!$A$5:$A$64,$A310)=0),"Plot ID not in the Plot &amp; Site Log. ","")&amp;IF(AND(ISNUMBER($D310),ISNUMBER($E310),$E310&lt;=$D310),"Bottom depth is not below top depth. ","")&amp;IF($L310="Not confirmed","Bulk-density basis not confirmed with the lab — the coarse-fragment correction may be wrong or doubled. ","")&amp;IF(AND(ISNUMBER($M310),OR($M310&lt;QC_BD_MIN,$M310&gt;QC_BD_MAX)),"Bulk density outside the plausible range for a mineral grassland soil. ","")&amp;IF(AND(ISNUMBER($N310),$N310&gt;QC_CARBON_PCT_MAX),"Organic carbon above the QC ceiling — check units, and whether this is an organic horizon. ","")&amp;IF(AND(ISNUMBER($J310),$J310&lt;QC_RECOVERY_MIN),"Recovered less than the QC minimum of the depth driven — the increments may not sit where you think. Do NOT stretch them back out. ","")&amp;IF(AND(ISNUMBER($K310),$K310&gt;0,$L310="Fine earth / total volume"),"Coarse fragments recorded and the lab basis already accounts for them — no further correction applied, which is correct. ",""))</f>
        <v/>
      </c>
      <c r="T310" s="6" t="n"/>
      <c r="U310" s="9">
        <f>IF($B310="",0,IF(COUNTIFS($B$5:$B310,$B310)=1,1,0))</f>
        <v/>
      </c>
    </row>
    <row r="311">
      <c r="A311" s="6" t="n"/>
      <c r="B311" s="6" t="n"/>
      <c r="C311" s="6" t="n"/>
      <c r="D311" s="6" t="n"/>
      <c r="E311" s="6" t="n"/>
      <c r="F311" s="9">
        <f>IF(OR($D311="",$E311=""),"",$E311-$D311)</f>
        <v/>
      </c>
      <c r="G311" s="6" t="n"/>
      <c r="H311" s="6" t="n"/>
      <c r="I311" s="6" t="n"/>
      <c r="J311" s="9">
        <f>IF(OR(NOT(ISNUMBER($H311)),NOT(ISNUMBER($I311)),$H311=0),"",$I311/$H311)</f>
        <v/>
      </c>
      <c r="K311" s="6" t="n"/>
      <c r="L311" s="8" t="n"/>
      <c r="M311" s="7" t="n"/>
      <c r="N311" s="7" t="n"/>
      <c r="O311" s="9">
        <f>IF(NOT(ISNUMBER($M311)),"",IF($L311="Fine earth / fine-earth volume",$M311*(1-IF(ISNUMBER($K311),$K311,0)/100),$M311))</f>
        <v/>
      </c>
      <c r="P311" s="9">
        <f>IF(OR(NOT(ISNUMBER($O311)),NOT(ISNUMBER($N311)),NOT(ISNUMBER($F311))),"",$O311*($N311/100)*$F311*10)</f>
        <v/>
      </c>
      <c r="Q311" s="9">
        <f>IF(OR(NOT(ISNUMBER($D311)),NOT(ISNUMBER($E311))),"",MAX(0,MIN($E311,SOIL_REPORTING_DEPTH_CM)-MIN($D311,SOIL_REPORTING_DEPTH_CM)))</f>
        <v/>
      </c>
      <c r="R311" s="9">
        <f>IF(OR(NOT(ISNUMBER($O311)),NOT(ISNUMBER($N311)),NOT(ISNUMBER($Q311))),"",$O311*($N311/100)*$Q311*10)</f>
        <v/>
      </c>
      <c r="S311" s="11">
        <f>IF(AND($A311="",$B311="",$D311=""),"",IF(AND($A311&lt;&gt;"",COUNTIF('1. Plot &amp; Site Log'!$A$5:$A$64,$A311)=0),"Plot ID not in the Plot &amp; Site Log. ","")&amp;IF(AND(ISNUMBER($D311),ISNUMBER($E311),$E311&lt;=$D311),"Bottom depth is not below top depth. ","")&amp;IF($L311="Not confirmed","Bulk-density basis not confirmed with the lab — the coarse-fragment correction may be wrong or doubled. ","")&amp;IF(AND(ISNUMBER($M311),OR($M311&lt;QC_BD_MIN,$M311&gt;QC_BD_MAX)),"Bulk density outside the plausible range for a mineral grassland soil. ","")&amp;IF(AND(ISNUMBER($N311),$N311&gt;QC_CARBON_PCT_MAX),"Organic carbon above the QC ceiling — check units, and whether this is an organic horizon. ","")&amp;IF(AND(ISNUMBER($J311),$J311&lt;QC_RECOVERY_MIN),"Recovered less than the QC minimum of the depth driven — the increments may not sit where you think. Do NOT stretch them back out. ","")&amp;IF(AND(ISNUMBER($K311),$K311&gt;0,$L311="Fine earth / total volume"),"Coarse fragments recorded and the lab basis already accounts for them — no further correction applied, which is correct. ",""))</f>
        <v/>
      </c>
      <c r="T311" s="6" t="n"/>
      <c r="U311" s="9">
        <f>IF($B311="",0,IF(COUNTIFS($B$5:$B311,$B311)=1,1,0))</f>
        <v/>
      </c>
    </row>
    <row r="312">
      <c r="A312" s="6" t="n"/>
      <c r="B312" s="6" t="n"/>
      <c r="C312" s="6" t="n"/>
      <c r="D312" s="6" t="n"/>
      <c r="E312" s="6" t="n"/>
      <c r="F312" s="9">
        <f>IF(OR($D312="",$E312=""),"",$E312-$D312)</f>
        <v/>
      </c>
      <c r="G312" s="6" t="n"/>
      <c r="H312" s="6" t="n"/>
      <c r="I312" s="6" t="n"/>
      <c r="J312" s="9">
        <f>IF(OR(NOT(ISNUMBER($H312)),NOT(ISNUMBER($I312)),$H312=0),"",$I312/$H312)</f>
        <v/>
      </c>
      <c r="K312" s="6" t="n"/>
      <c r="L312" s="8" t="n"/>
      <c r="M312" s="7" t="n"/>
      <c r="N312" s="7" t="n"/>
      <c r="O312" s="9">
        <f>IF(NOT(ISNUMBER($M312)),"",IF($L312="Fine earth / fine-earth volume",$M312*(1-IF(ISNUMBER($K312),$K312,0)/100),$M312))</f>
        <v/>
      </c>
      <c r="P312" s="9">
        <f>IF(OR(NOT(ISNUMBER($O312)),NOT(ISNUMBER($N312)),NOT(ISNUMBER($F312))),"",$O312*($N312/100)*$F312*10)</f>
        <v/>
      </c>
      <c r="Q312" s="9">
        <f>IF(OR(NOT(ISNUMBER($D312)),NOT(ISNUMBER($E312))),"",MAX(0,MIN($E312,SOIL_REPORTING_DEPTH_CM)-MIN($D312,SOIL_REPORTING_DEPTH_CM)))</f>
        <v/>
      </c>
      <c r="R312" s="9">
        <f>IF(OR(NOT(ISNUMBER($O312)),NOT(ISNUMBER($N312)),NOT(ISNUMBER($Q312))),"",$O312*($N312/100)*$Q312*10)</f>
        <v/>
      </c>
      <c r="S312" s="11">
        <f>IF(AND($A312="",$B312="",$D312=""),"",IF(AND($A312&lt;&gt;"",COUNTIF('1. Plot &amp; Site Log'!$A$5:$A$64,$A312)=0),"Plot ID not in the Plot &amp; Site Log. ","")&amp;IF(AND(ISNUMBER($D312),ISNUMBER($E312),$E312&lt;=$D312),"Bottom depth is not below top depth. ","")&amp;IF($L312="Not confirmed","Bulk-density basis not confirmed with the lab — the coarse-fragment correction may be wrong or doubled. ","")&amp;IF(AND(ISNUMBER($M312),OR($M312&lt;QC_BD_MIN,$M312&gt;QC_BD_MAX)),"Bulk density outside the plausible range for a mineral grassland soil. ","")&amp;IF(AND(ISNUMBER($N312),$N312&gt;QC_CARBON_PCT_MAX),"Organic carbon above the QC ceiling — check units, and whether this is an organic horizon. ","")&amp;IF(AND(ISNUMBER($J312),$J312&lt;QC_RECOVERY_MIN),"Recovered less than the QC minimum of the depth driven — the increments may not sit where you think. Do NOT stretch them back out. ","")&amp;IF(AND(ISNUMBER($K312),$K312&gt;0,$L312="Fine earth / total volume"),"Coarse fragments recorded and the lab basis already accounts for them — no further correction applied, which is correct. ",""))</f>
        <v/>
      </c>
      <c r="T312" s="6" t="n"/>
      <c r="U312" s="9">
        <f>IF($B312="",0,IF(COUNTIFS($B$5:$B312,$B312)=1,1,0))</f>
        <v/>
      </c>
    </row>
    <row r="313">
      <c r="A313" s="6" t="n"/>
      <c r="B313" s="6" t="n"/>
      <c r="C313" s="6" t="n"/>
      <c r="D313" s="6" t="n"/>
      <c r="E313" s="6" t="n"/>
      <c r="F313" s="9">
        <f>IF(OR($D313="",$E313=""),"",$E313-$D313)</f>
        <v/>
      </c>
      <c r="G313" s="6" t="n"/>
      <c r="H313" s="6" t="n"/>
      <c r="I313" s="6" t="n"/>
      <c r="J313" s="9">
        <f>IF(OR(NOT(ISNUMBER($H313)),NOT(ISNUMBER($I313)),$H313=0),"",$I313/$H313)</f>
        <v/>
      </c>
      <c r="K313" s="6" t="n"/>
      <c r="L313" s="8" t="n"/>
      <c r="M313" s="7" t="n"/>
      <c r="N313" s="7" t="n"/>
      <c r="O313" s="9">
        <f>IF(NOT(ISNUMBER($M313)),"",IF($L313="Fine earth / fine-earth volume",$M313*(1-IF(ISNUMBER($K313),$K313,0)/100),$M313))</f>
        <v/>
      </c>
      <c r="P313" s="9">
        <f>IF(OR(NOT(ISNUMBER($O313)),NOT(ISNUMBER($N313)),NOT(ISNUMBER($F313))),"",$O313*($N313/100)*$F313*10)</f>
        <v/>
      </c>
      <c r="Q313" s="9">
        <f>IF(OR(NOT(ISNUMBER($D313)),NOT(ISNUMBER($E313))),"",MAX(0,MIN($E313,SOIL_REPORTING_DEPTH_CM)-MIN($D313,SOIL_REPORTING_DEPTH_CM)))</f>
        <v/>
      </c>
      <c r="R313" s="9">
        <f>IF(OR(NOT(ISNUMBER($O313)),NOT(ISNUMBER($N313)),NOT(ISNUMBER($Q313))),"",$O313*($N313/100)*$Q313*10)</f>
        <v/>
      </c>
      <c r="S313" s="11">
        <f>IF(AND($A313="",$B313="",$D313=""),"",IF(AND($A313&lt;&gt;"",COUNTIF('1. Plot &amp; Site Log'!$A$5:$A$64,$A313)=0),"Plot ID not in the Plot &amp; Site Log. ","")&amp;IF(AND(ISNUMBER($D313),ISNUMBER($E313),$E313&lt;=$D313),"Bottom depth is not below top depth. ","")&amp;IF($L313="Not confirmed","Bulk-density basis not confirmed with the lab — the coarse-fragment correction may be wrong or doubled. ","")&amp;IF(AND(ISNUMBER($M313),OR($M313&lt;QC_BD_MIN,$M313&gt;QC_BD_MAX)),"Bulk density outside the plausible range for a mineral grassland soil. ","")&amp;IF(AND(ISNUMBER($N313),$N313&gt;QC_CARBON_PCT_MAX),"Organic carbon above the QC ceiling — check units, and whether this is an organic horizon. ","")&amp;IF(AND(ISNUMBER($J313),$J313&lt;QC_RECOVERY_MIN),"Recovered less than the QC minimum of the depth driven — the increments may not sit where you think. Do NOT stretch them back out. ","")&amp;IF(AND(ISNUMBER($K313),$K313&gt;0,$L313="Fine earth / total volume"),"Coarse fragments recorded and the lab basis already accounts for them — no further correction applied, which is correct. ",""))</f>
        <v/>
      </c>
      <c r="T313" s="6" t="n"/>
      <c r="U313" s="9">
        <f>IF($B313="",0,IF(COUNTIFS($B$5:$B313,$B313)=1,1,0))</f>
        <v/>
      </c>
    </row>
    <row r="314">
      <c r="A314" s="6" t="n"/>
      <c r="B314" s="6" t="n"/>
      <c r="C314" s="6" t="n"/>
      <c r="D314" s="6" t="n"/>
      <c r="E314" s="6" t="n"/>
      <c r="F314" s="9">
        <f>IF(OR($D314="",$E314=""),"",$E314-$D314)</f>
        <v/>
      </c>
      <c r="G314" s="6" t="n"/>
      <c r="H314" s="6" t="n"/>
      <c r="I314" s="6" t="n"/>
      <c r="J314" s="9">
        <f>IF(OR(NOT(ISNUMBER($H314)),NOT(ISNUMBER($I314)),$H314=0),"",$I314/$H314)</f>
        <v/>
      </c>
      <c r="K314" s="6" t="n"/>
      <c r="L314" s="8" t="n"/>
      <c r="M314" s="7" t="n"/>
      <c r="N314" s="7" t="n"/>
      <c r="O314" s="9">
        <f>IF(NOT(ISNUMBER($M314)),"",IF($L314="Fine earth / fine-earth volume",$M314*(1-IF(ISNUMBER($K314),$K314,0)/100),$M314))</f>
        <v/>
      </c>
      <c r="P314" s="9">
        <f>IF(OR(NOT(ISNUMBER($O314)),NOT(ISNUMBER($N314)),NOT(ISNUMBER($F314))),"",$O314*($N314/100)*$F314*10)</f>
        <v/>
      </c>
      <c r="Q314" s="9">
        <f>IF(OR(NOT(ISNUMBER($D314)),NOT(ISNUMBER($E314))),"",MAX(0,MIN($E314,SOIL_REPORTING_DEPTH_CM)-MIN($D314,SOIL_REPORTING_DEPTH_CM)))</f>
        <v/>
      </c>
      <c r="R314" s="9">
        <f>IF(OR(NOT(ISNUMBER($O314)),NOT(ISNUMBER($N314)),NOT(ISNUMBER($Q314))),"",$O314*($N314/100)*$Q314*10)</f>
        <v/>
      </c>
      <c r="S314" s="11">
        <f>IF(AND($A314="",$B314="",$D314=""),"",IF(AND($A314&lt;&gt;"",COUNTIF('1. Plot &amp; Site Log'!$A$5:$A$64,$A314)=0),"Plot ID not in the Plot &amp; Site Log. ","")&amp;IF(AND(ISNUMBER($D314),ISNUMBER($E314),$E314&lt;=$D314),"Bottom depth is not below top depth. ","")&amp;IF($L314="Not confirmed","Bulk-density basis not confirmed with the lab — the coarse-fragment correction may be wrong or doubled. ","")&amp;IF(AND(ISNUMBER($M314),OR($M314&lt;QC_BD_MIN,$M314&gt;QC_BD_MAX)),"Bulk density outside the plausible range for a mineral grassland soil. ","")&amp;IF(AND(ISNUMBER($N314),$N314&gt;QC_CARBON_PCT_MAX),"Organic carbon above the QC ceiling — check units, and whether this is an organic horizon. ","")&amp;IF(AND(ISNUMBER($J314),$J314&lt;QC_RECOVERY_MIN),"Recovered less than the QC minimum of the depth driven — the increments may not sit where you think. Do NOT stretch them back out. ","")&amp;IF(AND(ISNUMBER($K314),$K314&gt;0,$L314="Fine earth / total volume"),"Coarse fragments recorded and the lab basis already accounts for them — no further correction applied, which is correct. ",""))</f>
        <v/>
      </c>
      <c r="T314" s="6" t="n"/>
      <c r="U314" s="9">
        <f>IF($B314="",0,IF(COUNTIFS($B$5:$B314,$B314)=1,1,0))</f>
        <v/>
      </c>
    </row>
    <row r="315">
      <c r="A315" s="6" t="n"/>
      <c r="B315" s="6" t="n"/>
      <c r="C315" s="6" t="n"/>
      <c r="D315" s="6" t="n"/>
      <c r="E315" s="6" t="n"/>
      <c r="F315" s="9">
        <f>IF(OR($D315="",$E315=""),"",$E315-$D315)</f>
        <v/>
      </c>
      <c r="G315" s="6" t="n"/>
      <c r="H315" s="6" t="n"/>
      <c r="I315" s="6" t="n"/>
      <c r="J315" s="9">
        <f>IF(OR(NOT(ISNUMBER($H315)),NOT(ISNUMBER($I315)),$H315=0),"",$I315/$H315)</f>
        <v/>
      </c>
      <c r="K315" s="6" t="n"/>
      <c r="L315" s="8" t="n"/>
      <c r="M315" s="7" t="n"/>
      <c r="N315" s="7" t="n"/>
      <c r="O315" s="9">
        <f>IF(NOT(ISNUMBER($M315)),"",IF($L315="Fine earth / fine-earth volume",$M315*(1-IF(ISNUMBER($K315),$K315,0)/100),$M315))</f>
        <v/>
      </c>
      <c r="P315" s="9">
        <f>IF(OR(NOT(ISNUMBER($O315)),NOT(ISNUMBER($N315)),NOT(ISNUMBER($F315))),"",$O315*($N315/100)*$F315*10)</f>
        <v/>
      </c>
      <c r="Q315" s="9">
        <f>IF(OR(NOT(ISNUMBER($D315)),NOT(ISNUMBER($E315))),"",MAX(0,MIN($E315,SOIL_REPORTING_DEPTH_CM)-MIN($D315,SOIL_REPORTING_DEPTH_CM)))</f>
        <v/>
      </c>
      <c r="R315" s="9">
        <f>IF(OR(NOT(ISNUMBER($O315)),NOT(ISNUMBER($N315)),NOT(ISNUMBER($Q315))),"",$O315*($N315/100)*$Q315*10)</f>
        <v/>
      </c>
      <c r="S315" s="11">
        <f>IF(AND($A315="",$B315="",$D315=""),"",IF(AND($A315&lt;&gt;"",COUNTIF('1. Plot &amp; Site Log'!$A$5:$A$64,$A315)=0),"Plot ID not in the Plot &amp; Site Log. ","")&amp;IF(AND(ISNUMBER($D315),ISNUMBER($E315),$E315&lt;=$D315),"Bottom depth is not below top depth. ","")&amp;IF($L315="Not confirmed","Bulk-density basis not confirmed with the lab — the coarse-fragment correction may be wrong or doubled. ","")&amp;IF(AND(ISNUMBER($M315),OR($M315&lt;QC_BD_MIN,$M315&gt;QC_BD_MAX)),"Bulk density outside the plausible range for a mineral grassland soil. ","")&amp;IF(AND(ISNUMBER($N315),$N315&gt;QC_CARBON_PCT_MAX),"Organic carbon above the QC ceiling — check units, and whether this is an organic horizon. ","")&amp;IF(AND(ISNUMBER($J315),$J315&lt;QC_RECOVERY_MIN),"Recovered less than the QC minimum of the depth driven — the increments may not sit where you think. Do NOT stretch them back out. ","")&amp;IF(AND(ISNUMBER($K315),$K315&gt;0,$L315="Fine earth / total volume"),"Coarse fragments recorded and the lab basis already accounts for them — no further correction applied, which is correct. ",""))</f>
        <v/>
      </c>
      <c r="T315" s="6" t="n"/>
      <c r="U315" s="9">
        <f>IF($B315="",0,IF(COUNTIFS($B$5:$B315,$B315)=1,1,0))</f>
        <v/>
      </c>
    </row>
    <row r="316">
      <c r="A316" s="6" t="n"/>
      <c r="B316" s="6" t="n"/>
      <c r="C316" s="6" t="n"/>
      <c r="D316" s="6" t="n"/>
      <c r="E316" s="6" t="n"/>
      <c r="F316" s="9">
        <f>IF(OR($D316="",$E316=""),"",$E316-$D316)</f>
        <v/>
      </c>
      <c r="G316" s="6" t="n"/>
      <c r="H316" s="6" t="n"/>
      <c r="I316" s="6" t="n"/>
      <c r="J316" s="9">
        <f>IF(OR(NOT(ISNUMBER($H316)),NOT(ISNUMBER($I316)),$H316=0),"",$I316/$H316)</f>
        <v/>
      </c>
      <c r="K316" s="6" t="n"/>
      <c r="L316" s="8" t="n"/>
      <c r="M316" s="7" t="n"/>
      <c r="N316" s="7" t="n"/>
      <c r="O316" s="9">
        <f>IF(NOT(ISNUMBER($M316)),"",IF($L316="Fine earth / fine-earth volume",$M316*(1-IF(ISNUMBER($K316),$K316,0)/100),$M316))</f>
        <v/>
      </c>
      <c r="P316" s="9">
        <f>IF(OR(NOT(ISNUMBER($O316)),NOT(ISNUMBER($N316)),NOT(ISNUMBER($F316))),"",$O316*($N316/100)*$F316*10)</f>
        <v/>
      </c>
      <c r="Q316" s="9">
        <f>IF(OR(NOT(ISNUMBER($D316)),NOT(ISNUMBER($E316))),"",MAX(0,MIN($E316,SOIL_REPORTING_DEPTH_CM)-MIN($D316,SOIL_REPORTING_DEPTH_CM)))</f>
        <v/>
      </c>
      <c r="R316" s="9">
        <f>IF(OR(NOT(ISNUMBER($O316)),NOT(ISNUMBER($N316)),NOT(ISNUMBER($Q316))),"",$O316*($N316/100)*$Q316*10)</f>
        <v/>
      </c>
      <c r="S316" s="11">
        <f>IF(AND($A316="",$B316="",$D316=""),"",IF(AND($A316&lt;&gt;"",COUNTIF('1. Plot &amp; Site Log'!$A$5:$A$64,$A316)=0),"Plot ID not in the Plot &amp; Site Log. ","")&amp;IF(AND(ISNUMBER($D316),ISNUMBER($E316),$E316&lt;=$D316),"Bottom depth is not below top depth. ","")&amp;IF($L316="Not confirmed","Bulk-density basis not confirmed with the lab — the coarse-fragment correction may be wrong or doubled. ","")&amp;IF(AND(ISNUMBER($M316),OR($M316&lt;QC_BD_MIN,$M316&gt;QC_BD_MAX)),"Bulk density outside the plausible range for a mineral grassland soil. ","")&amp;IF(AND(ISNUMBER($N316),$N316&gt;QC_CARBON_PCT_MAX),"Organic carbon above the QC ceiling — check units, and whether this is an organic horizon. ","")&amp;IF(AND(ISNUMBER($J316),$J316&lt;QC_RECOVERY_MIN),"Recovered less than the QC minimum of the depth driven — the increments may not sit where you think. Do NOT stretch them back out. ","")&amp;IF(AND(ISNUMBER($K316),$K316&gt;0,$L316="Fine earth / total volume"),"Coarse fragments recorded and the lab basis already accounts for them — no further correction applied, which is correct. ",""))</f>
        <v/>
      </c>
      <c r="T316" s="6" t="n"/>
      <c r="U316" s="9">
        <f>IF($B316="",0,IF(COUNTIFS($B$5:$B316,$B316)=1,1,0))</f>
        <v/>
      </c>
    </row>
    <row r="317">
      <c r="A317" s="6" t="n"/>
      <c r="B317" s="6" t="n"/>
      <c r="C317" s="6" t="n"/>
      <c r="D317" s="6" t="n"/>
      <c r="E317" s="6" t="n"/>
      <c r="F317" s="9">
        <f>IF(OR($D317="",$E317=""),"",$E317-$D317)</f>
        <v/>
      </c>
      <c r="G317" s="6" t="n"/>
      <c r="H317" s="6" t="n"/>
      <c r="I317" s="6" t="n"/>
      <c r="J317" s="9">
        <f>IF(OR(NOT(ISNUMBER($H317)),NOT(ISNUMBER($I317)),$H317=0),"",$I317/$H317)</f>
        <v/>
      </c>
      <c r="K317" s="6" t="n"/>
      <c r="L317" s="8" t="n"/>
      <c r="M317" s="7" t="n"/>
      <c r="N317" s="7" t="n"/>
      <c r="O317" s="9">
        <f>IF(NOT(ISNUMBER($M317)),"",IF($L317="Fine earth / fine-earth volume",$M317*(1-IF(ISNUMBER($K317),$K317,0)/100),$M317))</f>
        <v/>
      </c>
      <c r="P317" s="9">
        <f>IF(OR(NOT(ISNUMBER($O317)),NOT(ISNUMBER($N317)),NOT(ISNUMBER($F317))),"",$O317*($N317/100)*$F317*10)</f>
        <v/>
      </c>
      <c r="Q317" s="9">
        <f>IF(OR(NOT(ISNUMBER($D317)),NOT(ISNUMBER($E317))),"",MAX(0,MIN($E317,SOIL_REPORTING_DEPTH_CM)-MIN($D317,SOIL_REPORTING_DEPTH_CM)))</f>
        <v/>
      </c>
      <c r="R317" s="9">
        <f>IF(OR(NOT(ISNUMBER($O317)),NOT(ISNUMBER($N317)),NOT(ISNUMBER($Q317))),"",$O317*($N317/100)*$Q317*10)</f>
        <v/>
      </c>
      <c r="S317" s="11">
        <f>IF(AND($A317="",$B317="",$D317=""),"",IF(AND($A317&lt;&gt;"",COUNTIF('1. Plot &amp; Site Log'!$A$5:$A$64,$A317)=0),"Plot ID not in the Plot &amp; Site Log. ","")&amp;IF(AND(ISNUMBER($D317),ISNUMBER($E317),$E317&lt;=$D317),"Bottom depth is not below top depth. ","")&amp;IF($L317="Not confirmed","Bulk-density basis not confirmed with the lab — the coarse-fragment correction may be wrong or doubled. ","")&amp;IF(AND(ISNUMBER($M317),OR($M317&lt;QC_BD_MIN,$M317&gt;QC_BD_MAX)),"Bulk density outside the plausible range for a mineral grassland soil. ","")&amp;IF(AND(ISNUMBER($N317),$N317&gt;QC_CARBON_PCT_MAX),"Organic carbon above the QC ceiling — check units, and whether this is an organic horizon. ","")&amp;IF(AND(ISNUMBER($J317),$J317&lt;QC_RECOVERY_MIN),"Recovered less than the QC minimum of the depth driven — the increments may not sit where you think. Do NOT stretch them back out. ","")&amp;IF(AND(ISNUMBER($K317),$K317&gt;0,$L317="Fine earth / total volume"),"Coarse fragments recorded and the lab basis already accounts for them — no further correction applied, which is correct. ",""))</f>
        <v/>
      </c>
      <c r="T317" s="6" t="n"/>
      <c r="U317" s="9">
        <f>IF($B317="",0,IF(COUNTIFS($B$5:$B317,$B317)=1,1,0))</f>
        <v/>
      </c>
    </row>
    <row r="318">
      <c r="A318" s="6" t="n"/>
      <c r="B318" s="6" t="n"/>
      <c r="C318" s="6" t="n"/>
      <c r="D318" s="6" t="n"/>
      <c r="E318" s="6" t="n"/>
      <c r="F318" s="9">
        <f>IF(OR($D318="",$E318=""),"",$E318-$D318)</f>
        <v/>
      </c>
      <c r="G318" s="6" t="n"/>
      <c r="H318" s="6" t="n"/>
      <c r="I318" s="6" t="n"/>
      <c r="J318" s="9">
        <f>IF(OR(NOT(ISNUMBER($H318)),NOT(ISNUMBER($I318)),$H318=0),"",$I318/$H318)</f>
        <v/>
      </c>
      <c r="K318" s="6" t="n"/>
      <c r="L318" s="8" t="n"/>
      <c r="M318" s="7" t="n"/>
      <c r="N318" s="7" t="n"/>
      <c r="O318" s="9">
        <f>IF(NOT(ISNUMBER($M318)),"",IF($L318="Fine earth / fine-earth volume",$M318*(1-IF(ISNUMBER($K318),$K318,0)/100),$M318))</f>
        <v/>
      </c>
      <c r="P318" s="9">
        <f>IF(OR(NOT(ISNUMBER($O318)),NOT(ISNUMBER($N318)),NOT(ISNUMBER($F318))),"",$O318*($N318/100)*$F318*10)</f>
        <v/>
      </c>
      <c r="Q318" s="9">
        <f>IF(OR(NOT(ISNUMBER($D318)),NOT(ISNUMBER($E318))),"",MAX(0,MIN($E318,SOIL_REPORTING_DEPTH_CM)-MIN($D318,SOIL_REPORTING_DEPTH_CM)))</f>
        <v/>
      </c>
      <c r="R318" s="9">
        <f>IF(OR(NOT(ISNUMBER($O318)),NOT(ISNUMBER($N318)),NOT(ISNUMBER($Q318))),"",$O318*($N318/100)*$Q318*10)</f>
        <v/>
      </c>
      <c r="S318" s="11">
        <f>IF(AND($A318="",$B318="",$D318=""),"",IF(AND($A318&lt;&gt;"",COUNTIF('1. Plot &amp; Site Log'!$A$5:$A$64,$A318)=0),"Plot ID not in the Plot &amp; Site Log. ","")&amp;IF(AND(ISNUMBER($D318),ISNUMBER($E318),$E318&lt;=$D318),"Bottom depth is not below top depth. ","")&amp;IF($L318="Not confirmed","Bulk-density basis not confirmed with the lab — the coarse-fragment correction may be wrong or doubled. ","")&amp;IF(AND(ISNUMBER($M318),OR($M318&lt;QC_BD_MIN,$M318&gt;QC_BD_MAX)),"Bulk density outside the plausible range for a mineral grassland soil. ","")&amp;IF(AND(ISNUMBER($N318),$N318&gt;QC_CARBON_PCT_MAX),"Organic carbon above the QC ceiling — check units, and whether this is an organic horizon. ","")&amp;IF(AND(ISNUMBER($J318),$J318&lt;QC_RECOVERY_MIN),"Recovered less than the QC minimum of the depth driven — the increments may not sit where you think. Do NOT stretch them back out. ","")&amp;IF(AND(ISNUMBER($K318),$K318&gt;0,$L318="Fine earth / total volume"),"Coarse fragments recorded and the lab basis already accounts for them — no further correction applied, which is correct. ",""))</f>
        <v/>
      </c>
      <c r="T318" s="6" t="n"/>
      <c r="U318" s="9">
        <f>IF($B318="",0,IF(COUNTIFS($B$5:$B318,$B318)=1,1,0))</f>
        <v/>
      </c>
    </row>
    <row r="319">
      <c r="A319" s="6" t="n"/>
      <c r="B319" s="6" t="n"/>
      <c r="C319" s="6" t="n"/>
      <c r="D319" s="6" t="n"/>
      <c r="E319" s="6" t="n"/>
      <c r="F319" s="9">
        <f>IF(OR($D319="",$E319=""),"",$E319-$D319)</f>
        <v/>
      </c>
      <c r="G319" s="6" t="n"/>
      <c r="H319" s="6" t="n"/>
      <c r="I319" s="6" t="n"/>
      <c r="J319" s="9">
        <f>IF(OR(NOT(ISNUMBER($H319)),NOT(ISNUMBER($I319)),$H319=0),"",$I319/$H319)</f>
        <v/>
      </c>
      <c r="K319" s="6" t="n"/>
      <c r="L319" s="8" t="n"/>
      <c r="M319" s="7" t="n"/>
      <c r="N319" s="7" t="n"/>
      <c r="O319" s="9">
        <f>IF(NOT(ISNUMBER($M319)),"",IF($L319="Fine earth / fine-earth volume",$M319*(1-IF(ISNUMBER($K319),$K319,0)/100),$M319))</f>
        <v/>
      </c>
      <c r="P319" s="9">
        <f>IF(OR(NOT(ISNUMBER($O319)),NOT(ISNUMBER($N319)),NOT(ISNUMBER($F319))),"",$O319*($N319/100)*$F319*10)</f>
        <v/>
      </c>
      <c r="Q319" s="9">
        <f>IF(OR(NOT(ISNUMBER($D319)),NOT(ISNUMBER($E319))),"",MAX(0,MIN($E319,SOIL_REPORTING_DEPTH_CM)-MIN($D319,SOIL_REPORTING_DEPTH_CM)))</f>
        <v/>
      </c>
      <c r="R319" s="9">
        <f>IF(OR(NOT(ISNUMBER($O319)),NOT(ISNUMBER($N319)),NOT(ISNUMBER($Q319))),"",$O319*($N319/100)*$Q319*10)</f>
        <v/>
      </c>
      <c r="S319" s="11">
        <f>IF(AND($A319="",$B319="",$D319=""),"",IF(AND($A319&lt;&gt;"",COUNTIF('1. Plot &amp; Site Log'!$A$5:$A$64,$A319)=0),"Plot ID not in the Plot &amp; Site Log. ","")&amp;IF(AND(ISNUMBER($D319),ISNUMBER($E319),$E319&lt;=$D319),"Bottom depth is not below top depth. ","")&amp;IF($L319="Not confirmed","Bulk-density basis not confirmed with the lab — the coarse-fragment correction may be wrong or doubled. ","")&amp;IF(AND(ISNUMBER($M319),OR($M319&lt;QC_BD_MIN,$M319&gt;QC_BD_MAX)),"Bulk density outside the plausible range for a mineral grassland soil. ","")&amp;IF(AND(ISNUMBER($N319),$N319&gt;QC_CARBON_PCT_MAX),"Organic carbon above the QC ceiling — check units, and whether this is an organic horizon. ","")&amp;IF(AND(ISNUMBER($J319),$J319&lt;QC_RECOVERY_MIN),"Recovered less than the QC minimum of the depth driven — the increments may not sit where you think. Do NOT stretch them back out. ","")&amp;IF(AND(ISNUMBER($K319),$K319&gt;0,$L319="Fine earth / total volume"),"Coarse fragments recorded and the lab basis already accounts for them — no further correction applied, which is correct. ",""))</f>
        <v/>
      </c>
      <c r="T319" s="6" t="n"/>
      <c r="U319" s="9">
        <f>IF($B319="",0,IF(COUNTIFS($B$5:$B319,$B319)=1,1,0))</f>
        <v/>
      </c>
    </row>
    <row r="320">
      <c r="A320" s="6" t="n"/>
      <c r="B320" s="6" t="n"/>
      <c r="C320" s="6" t="n"/>
      <c r="D320" s="6" t="n"/>
      <c r="E320" s="6" t="n"/>
      <c r="F320" s="9">
        <f>IF(OR($D320="",$E320=""),"",$E320-$D320)</f>
        <v/>
      </c>
      <c r="G320" s="6" t="n"/>
      <c r="H320" s="6" t="n"/>
      <c r="I320" s="6" t="n"/>
      <c r="J320" s="9">
        <f>IF(OR(NOT(ISNUMBER($H320)),NOT(ISNUMBER($I320)),$H320=0),"",$I320/$H320)</f>
        <v/>
      </c>
      <c r="K320" s="6" t="n"/>
      <c r="L320" s="8" t="n"/>
      <c r="M320" s="7" t="n"/>
      <c r="N320" s="7" t="n"/>
      <c r="O320" s="9">
        <f>IF(NOT(ISNUMBER($M320)),"",IF($L320="Fine earth / fine-earth volume",$M320*(1-IF(ISNUMBER($K320),$K320,0)/100),$M320))</f>
        <v/>
      </c>
      <c r="P320" s="9">
        <f>IF(OR(NOT(ISNUMBER($O320)),NOT(ISNUMBER($N320)),NOT(ISNUMBER($F320))),"",$O320*($N320/100)*$F320*10)</f>
        <v/>
      </c>
      <c r="Q320" s="9">
        <f>IF(OR(NOT(ISNUMBER($D320)),NOT(ISNUMBER($E320))),"",MAX(0,MIN($E320,SOIL_REPORTING_DEPTH_CM)-MIN($D320,SOIL_REPORTING_DEPTH_CM)))</f>
        <v/>
      </c>
      <c r="R320" s="9">
        <f>IF(OR(NOT(ISNUMBER($O320)),NOT(ISNUMBER($N320)),NOT(ISNUMBER($Q320))),"",$O320*($N320/100)*$Q320*10)</f>
        <v/>
      </c>
      <c r="S320" s="11">
        <f>IF(AND($A320="",$B320="",$D320=""),"",IF(AND($A320&lt;&gt;"",COUNTIF('1. Plot &amp; Site Log'!$A$5:$A$64,$A320)=0),"Plot ID not in the Plot &amp; Site Log. ","")&amp;IF(AND(ISNUMBER($D320),ISNUMBER($E320),$E320&lt;=$D320),"Bottom depth is not below top depth. ","")&amp;IF($L320="Not confirmed","Bulk-density basis not confirmed with the lab — the coarse-fragment correction may be wrong or doubled. ","")&amp;IF(AND(ISNUMBER($M320),OR($M320&lt;QC_BD_MIN,$M320&gt;QC_BD_MAX)),"Bulk density outside the plausible range for a mineral grassland soil. ","")&amp;IF(AND(ISNUMBER($N320),$N320&gt;QC_CARBON_PCT_MAX),"Organic carbon above the QC ceiling — check units, and whether this is an organic horizon. ","")&amp;IF(AND(ISNUMBER($J320),$J320&lt;QC_RECOVERY_MIN),"Recovered less than the QC minimum of the depth driven — the increments may not sit where you think. Do NOT stretch them back out. ","")&amp;IF(AND(ISNUMBER($K320),$K320&gt;0,$L320="Fine earth / total volume"),"Coarse fragments recorded and the lab basis already accounts for them — no further correction applied, which is correct. ",""))</f>
        <v/>
      </c>
      <c r="T320" s="6" t="n"/>
      <c r="U320" s="9">
        <f>IF($B320="",0,IF(COUNTIFS($B$5:$B320,$B320)=1,1,0))</f>
        <v/>
      </c>
    </row>
    <row r="321">
      <c r="A321" s="6" t="n"/>
      <c r="B321" s="6" t="n"/>
      <c r="C321" s="6" t="n"/>
      <c r="D321" s="6" t="n"/>
      <c r="E321" s="6" t="n"/>
      <c r="F321" s="9">
        <f>IF(OR($D321="",$E321=""),"",$E321-$D321)</f>
        <v/>
      </c>
      <c r="G321" s="6" t="n"/>
      <c r="H321" s="6" t="n"/>
      <c r="I321" s="6" t="n"/>
      <c r="J321" s="9">
        <f>IF(OR(NOT(ISNUMBER($H321)),NOT(ISNUMBER($I321)),$H321=0),"",$I321/$H321)</f>
        <v/>
      </c>
      <c r="K321" s="6" t="n"/>
      <c r="L321" s="8" t="n"/>
      <c r="M321" s="7" t="n"/>
      <c r="N321" s="7" t="n"/>
      <c r="O321" s="9">
        <f>IF(NOT(ISNUMBER($M321)),"",IF($L321="Fine earth / fine-earth volume",$M321*(1-IF(ISNUMBER($K321),$K321,0)/100),$M321))</f>
        <v/>
      </c>
      <c r="P321" s="9">
        <f>IF(OR(NOT(ISNUMBER($O321)),NOT(ISNUMBER($N321)),NOT(ISNUMBER($F321))),"",$O321*($N321/100)*$F321*10)</f>
        <v/>
      </c>
      <c r="Q321" s="9">
        <f>IF(OR(NOT(ISNUMBER($D321)),NOT(ISNUMBER($E321))),"",MAX(0,MIN($E321,SOIL_REPORTING_DEPTH_CM)-MIN($D321,SOIL_REPORTING_DEPTH_CM)))</f>
        <v/>
      </c>
      <c r="R321" s="9">
        <f>IF(OR(NOT(ISNUMBER($O321)),NOT(ISNUMBER($N321)),NOT(ISNUMBER($Q321))),"",$O321*($N321/100)*$Q321*10)</f>
        <v/>
      </c>
      <c r="S321" s="11">
        <f>IF(AND($A321="",$B321="",$D321=""),"",IF(AND($A321&lt;&gt;"",COUNTIF('1. Plot &amp; Site Log'!$A$5:$A$64,$A321)=0),"Plot ID not in the Plot &amp; Site Log. ","")&amp;IF(AND(ISNUMBER($D321),ISNUMBER($E321),$E321&lt;=$D321),"Bottom depth is not below top depth. ","")&amp;IF($L321="Not confirmed","Bulk-density basis not confirmed with the lab — the coarse-fragment correction may be wrong or doubled. ","")&amp;IF(AND(ISNUMBER($M321),OR($M321&lt;QC_BD_MIN,$M321&gt;QC_BD_MAX)),"Bulk density outside the plausible range for a mineral grassland soil. ","")&amp;IF(AND(ISNUMBER($N321),$N321&gt;QC_CARBON_PCT_MAX),"Organic carbon above the QC ceiling — check units, and whether this is an organic horizon. ","")&amp;IF(AND(ISNUMBER($J321),$J321&lt;QC_RECOVERY_MIN),"Recovered less than the QC minimum of the depth driven — the increments may not sit where you think. Do NOT stretch them back out. ","")&amp;IF(AND(ISNUMBER($K321),$K321&gt;0,$L321="Fine earth / total volume"),"Coarse fragments recorded and the lab basis already accounts for them — no further correction applied, which is correct. ",""))</f>
        <v/>
      </c>
      <c r="T321" s="6" t="n"/>
      <c r="U321" s="9">
        <f>IF($B321="",0,IF(COUNTIFS($B$5:$B321,$B321)=1,1,0))</f>
        <v/>
      </c>
    </row>
    <row r="322">
      <c r="A322" s="6" t="n"/>
      <c r="B322" s="6" t="n"/>
      <c r="C322" s="6" t="n"/>
      <c r="D322" s="6" t="n"/>
      <c r="E322" s="6" t="n"/>
      <c r="F322" s="9">
        <f>IF(OR($D322="",$E322=""),"",$E322-$D322)</f>
        <v/>
      </c>
      <c r="G322" s="6" t="n"/>
      <c r="H322" s="6" t="n"/>
      <c r="I322" s="6" t="n"/>
      <c r="J322" s="9">
        <f>IF(OR(NOT(ISNUMBER($H322)),NOT(ISNUMBER($I322)),$H322=0),"",$I322/$H322)</f>
        <v/>
      </c>
      <c r="K322" s="6" t="n"/>
      <c r="L322" s="8" t="n"/>
      <c r="M322" s="7" t="n"/>
      <c r="N322" s="7" t="n"/>
      <c r="O322" s="9">
        <f>IF(NOT(ISNUMBER($M322)),"",IF($L322="Fine earth / fine-earth volume",$M322*(1-IF(ISNUMBER($K322),$K322,0)/100),$M322))</f>
        <v/>
      </c>
      <c r="P322" s="9">
        <f>IF(OR(NOT(ISNUMBER($O322)),NOT(ISNUMBER($N322)),NOT(ISNUMBER($F322))),"",$O322*($N322/100)*$F322*10)</f>
        <v/>
      </c>
      <c r="Q322" s="9">
        <f>IF(OR(NOT(ISNUMBER($D322)),NOT(ISNUMBER($E322))),"",MAX(0,MIN($E322,SOIL_REPORTING_DEPTH_CM)-MIN($D322,SOIL_REPORTING_DEPTH_CM)))</f>
        <v/>
      </c>
      <c r="R322" s="9">
        <f>IF(OR(NOT(ISNUMBER($O322)),NOT(ISNUMBER($N322)),NOT(ISNUMBER($Q322))),"",$O322*($N322/100)*$Q322*10)</f>
        <v/>
      </c>
      <c r="S322" s="11">
        <f>IF(AND($A322="",$B322="",$D322=""),"",IF(AND($A322&lt;&gt;"",COUNTIF('1. Plot &amp; Site Log'!$A$5:$A$64,$A322)=0),"Plot ID not in the Plot &amp; Site Log. ","")&amp;IF(AND(ISNUMBER($D322),ISNUMBER($E322),$E322&lt;=$D322),"Bottom depth is not below top depth. ","")&amp;IF($L322="Not confirmed","Bulk-density basis not confirmed with the lab — the coarse-fragment correction may be wrong or doubled. ","")&amp;IF(AND(ISNUMBER($M322),OR($M322&lt;QC_BD_MIN,$M322&gt;QC_BD_MAX)),"Bulk density outside the plausible range for a mineral grassland soil. ","")&amp;IF(AND(ISNUMBER($N322),$N322&gt;QC_CARBON_PCT_MAX),"Organic carbon above the QC ceiling — check units, and whether this is an organic horizon. ","")&amp;IF(AND(ISNUMBER($J322),$J322&lt;QC_RECOVERY_MIN),"Recovered less than the QC minimum of the depth driven — the increments may not sit where you think. Do NOT stretch them back out. ","")&amp;IF(AND(ISNUMBER($K322),$K322&gt;0,$L322="Fine earth / total volume"),"Coarse fragments recorded and the lab basis already accounts for them — no further correction applied, which is correct. ",""))</f>
        <v/>
      </c>
      <c r="T322" s="6" t="n"/>
      <c r="U322" s="9">
        <f>IF($B322="",0,IF(COUNTIFS($B$5:$B322,$B322)=1,1,0))</f>
        <v/>
      </c>
    </row>
    <row r="323">
      <c r="A323" s="6" t="n"/>
      <c r="B323" s="6" t="n"/>
      <c r="C323" s="6" t="n"/>
      <c r="D323" s="6" t="n"/>
      <c r="E323" s="6" t="n"/>
      <c r="F323" s="9">
        <f>IF(OR($D323="",$E323=""),"",$E323-$D323)</f>
        <v/>
      </c>
      <c r="G323" s="6" t="n"/>
      <c r="H323" s="6" t="n"/>
      <c r="I323" s="6" t="n"/>
      <c r="J323" s="9">
        <f>IF(OR(NOT(ISNUMBER($H323)),NOT(ISNUMBER($I323)),$H323=0),"",$I323/$H323)</f>
        <v/>
      </c>
      <c r="K323" s="6" t="n"/>
      <c r="L323" s="8" t="n"/>
      <c r="M323" s="7" t="n"/>
      <c r="N323" s="7" t="n"/>
      <c r="O323" s="9">
        <f>IF(NOT(ISNUMBER($M323)),"",IF($L323="Fine earth / fine-earth volume",$M323*(1-IF(ISNUMBER($K323),$K323,0)/100),$M323))</f>
        <v/>
      </c>
      <c r="P323" s="9">
        <f>IF(OR(NOT(ISNUMBER($O323)),NOT(ISNUMBER($N323)),NOT(ISNUMBER($F323))),"",$O323*($N323/100)*$F323*10)</f>
        <v/>
      </c>
      <c r="Q323" s="9">
        <f>IF(OR(NOT(ISNUMBER($D323)),NOT(ISNUMBER($E323))),"",MAX(0,MIN($E323,SOIL_REPORTING_DEPTH_CM)-MIN($D323,SOIL_REPORTING_DEPTH_CM)))</f>
        <v/>
      </c>
      <c r="R323" s="9">
        <f>IF(OR(NOT(ISNUMBER($O323)),NOT(ISNUMBER($N323)),NOT(ISNUMBER($Q323))),"",$O323*($N323/100)*$Q323*10)</f>
        <v/>
      </c>
      <c r="S323" s="11">
        <f>IF(AND($A323="",$B323="",$D323=""),"",IF(AND($A323&lt;&gt;"",COUNTIF('1. Plot &amp; Site Log'!$A$5:$A$64,$A323)=0),"Plot ID not in the Plot &amp; Site Log. ","")&amp;IF(AND(ISNUMBER($D323),ISNUMBER($E323),$E323&lt;=$D323),"Bottom depth is not below top depth. ","")&amp;IF($L323="Not confirmed","Bulk-density basis not confirmed with the lab — the coarse-fragment correction may be wrong or doubled. ","")&amp;IF(AND(ISNUMBER($M323),OR($M323&lt;QC_BD_MIN,$M323&gt;QC_BD_MAX)),"Bulk density outside the plausible range for a mineral grassland soil. ","")&amp;IF(AND(ISNUMBER($N323),$N323&gt;QC_CARBON_PCT_MAX),"Organic carbon above the QC ceiling — check units, and whether this is an organic horizon. ","")&amp;IF(AND(ISNUMBER($J323),$J323&lt;QC_RECOVERY_MIN),"Recovered less than the QC minimum of the depth driven — the increments may not sit where you think. Do NOT stretch them back out. ","")&amp;IF(AND(ISNUMBER($K323),$K323&gt;0,$L323="Fine earth / total volume"),"Coarse fragments recorded and the lab basis already accounts for them — no further correction applied, which is correct. ",""))</f>
        <v/>
      </c>
      <c r="T323" s="6" t="n"/>
      <c r="U323" s="9">
        <f>IF($B323="",0,IF(COUNTIFS($B$5:$B323,$B323)=1,1,0))</f>
        <v/>
      </c>
    </row>
    <row r="324">
      <c r="A324" s="6" t="n"/>
      <c r="B324" s="6" t="n"/>
      <c r="C324" s="6" t="n"/>
      <c r="D324" s="6" t="n"/>
      <c r="E324" s="6" t="n"/>
      <c r="F324" s="9">
        <f>IF(OR($D324="",$E324=""),"",$E324-$D324)</f>
        <v/>
      </c>
      <c r="G324" s="6" t="n"/>
      <c r="H324" s="6" t="n"/>
      <c r="I324" s="6" t="n"/>
      <c r="J324" s="9">
        <f>IF(OR(NOT(ISNUMBER($H324)),NOT(ISNUMBER($I324)),$H324=0),"",$I324/$H324)</f>
        <v/>
      </c>
      <c r="K324" s="6" t="n"/>
      <c r="L324" s="8" t="n"/>
      <c r="M324" s="7" t="n"/>
      <c r="N324" s="7" t="n"/>
      <c r="O324" s="9">
        <f>IF(NOT(ISNUMBER($M324)),"",IF($L324="Fine earth / fine-earth volume",$M324*(1-IF(ISNUMBER($K324),$K324,0)/100),$M324))</f>
        <v/>
      </c>
      <c r="P324" s="9">
        <f>IF(OR(NOT(ISNUMBER($O324)),NOT(ISNUMBER($N324)),NOT(ISNUMBER($F324))),"",$O324*($N324/100)*$F324*10)</f>
        <v/>
      </c>
      <c r="Q324" s="9">
        <f>IF(OR(NOT(ISNUMBER($D324)),NOT(ISNUMBER($E324))),"",MAX(0,MIN($E324,SOIL_REPORTING_DEPTH_CM)-MIN($D324,SOIL_REPORTING_DEPTH_CM)))</f>
        <v/>
      </c>
      <c r="R324" s="9">
        <f>IF(OR(NOT(ISNUMBER($O324)),NOT(ISNUMBER($N324)),NOT(ISNUMBER($Q324))),"",$O324*($N324/100)*$Q324*10)</f>
        <v/>
      </c>
      <c r="S324" s="11">
        <f>IF(AND($A324="",$B324="",$D324=""),"",IF(AND($A324&lt;&gt;"",COUNTIF('1. Plot &amp; Site Log'!$A$5:$A$64,$A324)=0),"Plot ID not in the Plot &amp; Site Log. ","")&amp;IF(AND(ISNUMBER($D324),ISNUMBER($E324),$E324&lt;=$D324),"Bottom depth is not below top depth. ","")&amp;IF($L324="Not confirmed","Bulk-density basis not confirmed with the lab — the coarse-fragment correction may be wrong or doubled. ","")&amp;IF(AND(ISNUMBER($M324),OR($M324&lt;QC_BD_MIN,$M324&gt;QC_BD_MAX)),"Bulk density outside the plausible range for a mineral grassland soil. ","")&amp;IF(AND(ISNUMBER($N324),$N324&gt;QC_CARBON_PCT_MAX),"Organic carbon above the QC ceiling — check units, and whether this is an organic horizon. ","")&amp;IF(AND(ISNUMBER($J324),$J324&lt;QC_RECOVERY_MIN),"Recovered less than the QC minimum of the depth driven — the increments may not sit where you think. Do NOT stretch them back out. ","")&amp;IF(AND(ISNUMBER($K324),$K324&gt;0,$L324="Fine earth / total volume"),"Coarse fragments recorded and the lab basis already accounts for them — no further correction applied, which is correct. ",""))</f>
        <v/>
      </c>
      <c r="T324" s="6" t="n"/>
      <c r="U324" s="9">
        <f>IF($B324="",0,IF(COUNTIFS($B$5:$B324,$B324)=1,1,0))</f>
        <v/>
      </c>
    </row>
    <row r="325">
      <c r="A325" s="6" t="n"/>
      <c r="B325" s="6" t="n"/>
      <c r="C325" s="6" t="n"/>
      <c r="D325" s="6" t="n"/>
      <c r="E325" s="6" t="n"/>
      <c r="F325" s="9">
        <f>IF(OR($D325="",$E325=""),"",$E325-$D325)</f>
        <v/>
      </c>
      <c r="G325" s="6" t="n"/>
      <c r="H325" s="6" t="n"/>
      <c r="I325" s="6" t="n"/>
      <c r="J325" s="9">
        <f>IF(OR(NOT(ISNUMBER($H325)),NOT(ISNUMBER($I325)),$H325=0),"",$I325/$H325)</f>
        <v/>
      </c>
      <c r="K325" s="6" t="n"/>
      <c r="L325" s="8" t="n"/>
      <c r="M325" s="7" t="n"/>
      <c r="N325" s="7" t="n"/>
      <c r="O325" s="9">
        <f>IF(NOT(ISNUMBER($M325)),"",IF($L325="Fine earth / fine-earth volume",$M325*(1-IF(ISNUMBER($K325),$K325,0)/100),$M325))</f>
        <v/>
      </c>
      <c r="P325" s="9">
        <f>IF(OR(NOT(ISNUMBER($O325)),NOT(ISNUMBER($N325)),NOT(ISNUMBER($F325))),"",$O325*($N325/100)*$F325*10)</f>
        <v/>
      </c>
      <c r="Q325" s="9">
        <f>IF(OR(NOT(ISNUMBER($D325)),NOT(ISNUMBER($E325))),"",MAX(0,MIN($E325,SOIL_REPORTING_DEPTH_CM)-MIN($D325,SOIL_REPORTING_DEPTH_CM)))</f>
        <v/>
      </c>
      <c r="R325" s="9">
        <f>IF(OR(NOT(ISNUMBER($O325)),NOT(ISNUMBER($N325)),NOT(ISNUMBER($Q325))),"",$O325*($N325/100)*$Q325*10)</f>
        <v/>
      </c>
      <c r="S325" s="11">
        <f>IF(AND($A325="",$B325="",$D325=""),"",IF(AND($A325&lt;&gt;"",COUNTIF('1. Plot &amp; Site Log'!$A$5:$A$64,$A325)=0),"Plot ID not in the Plot &amp; Site Log. ","")&amp;IF(AND(ISNUMBER($D325),ISNUMBER($E325),$E325&lt;=$D325),"Bottom depth is not below top depth. ","")&amp;IF($L325="Not confirmed","Bulk-density basis not confirmed with the lab — the coarse-fragment correction may be wrong or doubled. ","")&amp;IF(AND(ISNUMBER($M325),OR($M325&lt;QC_BD_MIN,$M325&gt;QC_BD_MAX)),"Bulk density outside the plausible range for a mineral grassland soil. ","")&amp;IF(AND(ISNUMBER($N325),$N325&gt;QC_CARBON_PCT_MAX),"Organic carbon above the QC ceiling — check units, and whether this is an organic horizon. ","")&amp;IF(AND(ISNUMBER($J325),$J325&lt;QC_RECOVERY_MIN),"Recovered less than the QC minimum of the depth driven — the increments may not sit where you think. Do NOT stretch them back out. ","")&amp;IF(AND(ISNUMBER($K325),$K325&gt;0,$L325="Fine earth / total volume"),"Coarse fragments recorded and the lab basis already accounts for them — no further correction applied, which is correct. ",""))</f>
        <v/>
      </c>
      <c r="T325" s="6" t="n"/>
      <c r="U325" s="9">
        <f>IF($B325="",0,IF(COUNTIFS($B$5:$B325,$B325)=1,1,0))</f>
        <v/>
      </c>
    </row>
    <row r="326">
      <c r="A326" s="6" t="n"/>
      <c r="B326" s="6" t="n"/>
      <c r="C326" s="6" t="n"/>
      <c r="D326" s="6" t="n"/>
      <c r="E326" s="6" t="n"/>
      <c r="F326" s="9">
        <f>IF(OR($D326="",$E326=""),"",$E326-$D326)</f>
        <v/>
      </c>
      <c r="G326" s="6" t="n"/>
      <c r="H326" s="6" t="n"/>
      <c r="I326" s="6" t="n"/>
      <c r="J326" s="9">
        <f>IF(OR(NOT(ISNUMBER($H326)),NOT(ISNUMBER($I326)),$H326=0),"",$I326/$H326)</f>
        <v/>
      </c>
      <c r="K326" s="6" t="n"/>
      <c r="L326" s="8" t="n"/>
      <c r="M326" s="7" t="n"/>
      <c r="N326" s="7" t="n"/>
      <c r="O326" s="9">
        <f>IF(NOT(ISNUMBER($M326)),"",IF($L326="Fine earth / fine-earth volume",$M326*(1-IF(ISNUMBER($K326),$K326,0)/100),$M326))</f>
        <v/>
      </c>
      <c r="P326" s="9">
        <f>IF(OR(NOT(ISNUMBER($O326)),NOT(ISNUMBER($N326)),NOT(ISNUMBER($F326))),"",$O326*($N326/100)*$F326*10)</f>
        <v/>
      </c>
      <c r="Q326" s="9">
        <f>IF(OR(NOT(ISNUMBER($D326)),NOT(ISNUMBER($E326))),"",MAX(0,MIN($E326,SOIL_REPORTING_DEPTH_CM)-MIN($D326,SOIL_REPORTING_DEPTH_CM)))</f>
        <v/>
      </c>
      <c r="R326" s="9">
        <f>IF(OR(NOT(ISNUMBER($O326)),NOT(ISNUMBER($N326)),NOT(ISNUMBER($Q326))),"",$O326*($N326/100)*$Q326*10)</f>
        <v/>
      </c>
      <c r="S326" s="11">
        <f>IF(AND($A326="",$B326="",$D326=""),"",IF(AND($A326&lt;&gt;"",COUNTIF('1. Plot &amp; Site Log'!$A$5:$A$64,$A326)=0),"Plot ID not in the Plot &amp; Site Log. ","")&amp;IF(AND(ISNUMBER($D326),ISNUMBER($E326),$E326&lt;=$D326),"Bottom depth is not below top depth. ","")&amp;IF($L326="Not confirmed","Bulk-density basis not confirmed with the lab — the coarse-fragment correction may be wrong or doubled. ","")&amp;IF(AND(ISNUMBER($M326),OR($M326&lt;QC_BD_MIN,$M326&gt;QC_BD_MAX)),"Bulk density outside the plausible range for a mineral grassland soil. ","")&amp;IF(AND(ISNUMBER($N326),$N326&gt;QC_CARBON_PCT_MAX),"Organic carbon above the QC ceiling — check units, and whether this is an organic horizon. ","")&amp;IF(AND(ISNUMBER($J326),$J326&lt;QC_RECOVERY_MIN),"Recovered less than the QC minimum of the depth driven — the increments may not sit where you think. Do NOT stretch them back out. ","")&amp;IF(AND(ISNUMBER($K326),$K326&gt;0,$L326="Fine earth / total volume"),"Coarse fragments recorded and the lab basis already accounts for them — no further correction applied, which is correct. ",""))</f>
        <v/>
      </c>
      <c r="T326" s="6" t="n"/>
      <c r="U326" s="9">
        <f>IF($B326="",0,IF(COUNTIFS($B$5:$B326,$B326)=1,1,0))</f>
        <v/>
      </c>
    </row>
    <row r="327">
      <c r="A327" s="6" t="n"/>
      <c r="B327" s="6" t="n"/>
      <c r="C327" s="6" t="n"/>
      <c r="D327" s="6" t="n"/>
      <c r="E327" s="6" t="n"/>
      <c r="F327" s="9">
        <f>IF(OR($D327="",$E327=""),"",$E327-$D327)</f>
        <v/>
      </c>
      <c r="G327" s="6" t="n"/>
      <c r="H327" s="6" t="n"/>
      <c r="I327" s="6" t="n"/>
      <c r="J327" s="9">
        <f>IF(OR(NOT(ISNUMBER($H327)),NOT(ISNUMBER($I327)),$H327=0),"",$I327/$H327)</f>
        <v/>
      </c>
      <c r="K327" s="6" t="n"/>
      <c r="L327" s="8" t="n"/>
      <c r="M327" s="7" t="n"/>
      <c r="N327" s="7" t="n"/>
      <c r="O327" s="9">
        <f>IF(NOT(ISNUMBER($M327)),"",IF($L327="Fine earth / fine-earth volume",$M327*(1-IF(ISNUMBER($K327),$K327,0)/100),$M327))</f>
        <v/>
      </c>
      <c r="P327" s="9">
        <f>IF(OR(NOT(ISNUMBER($O327)),NOT(ISNUMBER($N327)),NOT(ISNUMBER($F327))),"",$O327*($N327/100)*$F327*10)</f>
        <v/>
      </c>
      <c r="Q327" s="9">
        <f>IF(OR(NOT(ISNUMBER($D327)),NOT(ISNUMBER($E327))),"",MAX(0,MIN($E327,SOIL_REPORTING_DEPTH_CM)-MIN($D327,SOIL_REPORTING_DEPTH_CM)))</f>
        <v/>
      </c>
      <c r="R327" s="9">
        <f>IF(OR(NOT(ISNUMBER($O327)),NOT(ISNUMBER($N327)),NOT(ISNUMBER($Q327))),"",$O327*($N327/100)*$Q327*10)</f>
        <v/>
      </c>
      <c r="S327" s="11">
        <f>IF(AND($A327="",$B327="",$D327=""),"",IF(AND($A327&lt;&gt;"",COUNTIF('1. Plot &amp; Site Log'!$A$5:$A$64,$A327)=0),"Plot ID not in the Plot &amp; Site Log. ","")&amp;IF(AND(ISNUMBER($D327),ISNUMBER($E327),$E327&lt;=$D327),"Bottom depth is not below top depth. ","")&amp;IF($L327="Not confirmed","Bulk-density basis not confirmed with the lab — the coarse-fragment correction may be wrong or doubled. ","")&amp;IF(AND(ISNUMBER($M327),OR($M327&lt;QC_BD_MIN,$M327&gt;QC_BD_MAX)),"Bulk density outside the plausible range for a mineral grassland soil. ","")&amp;IF(AND(ISNUMBER($N327),$N327&gt;QC_CARBON_PCT_MAX),"Organic carbon above the QC ceiling — check units, and whether this is an organic horizon. ","")&amp;IF(AND(ISNUMBER($J327),$J327&lt;QC_RECOVERY_MIN),"Recovered less than the QC minimum of the depth driven — the increments may not sit where you think. Do NOT stretch them back out. ","")&amp;IF(AND(ISNUMBER($K327),$K327&gt;0,$L327="Fine earth / total volume"),"Coarse fragments recorded and the lab basis already accounts for them — no further correction applied, which is correct. ",""))</f>
        <v/>
      </c>
      <c r="T327" s="6" t="n"/>
      <c r="U327" s="9">
        <f>IF($B327="",0,IF(COUNTIFS($B$5:$B327,$B327)=1,1,0))</f>
        <v/>
      </c>
    </row>
    <row r="328">
      <c r="A328" s="6" t="n"/>
      <c r="B328" s="6" t="n"/>
      <c r="C328" s="6" t="n"/>
      <c r="D328" s="6" t="n"/>
      <c r="E328" s="6" t="n"/>
      <c r="F328" s="9">
        <f>IF(OR($D328="",$E328=""),"",$E328-$D328)</f>
        <v/>
      </c>
      <c r="G328" s="6" t="n"/>
      <c r="H328" s="6" t="n"/>
      <c r="I328" s="6" t="n"/>
      <c r="J328" s="9">
        <f>IF(OR(NOT(ISNUMBER($H328)),NOT(ISNUMBER($I328)),$H328=0),"",$I328/$H328)</f>
        <v/>
      </c>
      <c r="K328" s="6" t="n"/>
      <c r="L328" s="8" t="n"/>
      <c r="M328" s="7" t="n"/>
      <c r="N328" s="7" t="n"/>
      <c r="O328" s="9">
        <f>IF(NOT(ISNUMBER($M328)),"",IF($L328="Fine earth / fine-earth volume",$M328*(1-IF(ISNUMBER($K328),$K328,0)/100),$M328))</f>
        <v/>
      </c>
      <c r="P328" s="9">
        <f>IF(OR(NOT(ISNUMBER($O328)),NOT(ISNUMBER($N328)),NOT(ISNUMBER($F328))),"",$O328*($N328/100)*$F328*10)</f>
        <v/>
      </c>
      <c r="Q328" s="9">
        <f>IF(OR(NOT(ISNUMBER($D328)),NOT(ISNUMBER($E328))),"",MAX(0,MIN($E328,SOIL_REPORTING_DEPTH_CM)-MIN($D328,SOIL_REPORTING_DEPTH_CM)))</f>
        <v/>
      </c>
      <c r="R328" s="9">
        <f>IF(OR(NOT(ISNUMBER($O328)),NOT(ISNUMBER($N328)),NOT(ISNUMBER($Q328))),"",$O328*($N328/100)*$Q328*10)</f>
        <v/>
      </c>
      <c r="S328" s="11">
        <f>IF(AND($A328="",$B328="",$D328=""),"",IF(AND($A328&lt;&gt;"",COUNTIF('1. Plot &amp; Site Log'!$A$5:$A$64,$A328)=0),"Plot ID not in the Plot &amp; Site Log. ","")&amp;IF(AND(ISNUMBER($D328),ISNUMBER($E328),$E328&lt;=$D328),"Bottom depth is not below top depth. ","")&amp;IF($L328="Not confirmed","Bulk-density basis not confirmed with the lab — the coarse-fragment correction may be wrong or doubled. ","")&amp;IF(AND(ISNUMBER($M328),OR($M328&lt;QC_BD_MIN,$M328&gt;QC_BD_MAX)),"Bulk density outside the plausible range for a mineral grassland soil. ","")&amp;IF(AND(ISNUMBER($N328),$N328&gt;QC_CARBON_PCT_MAX),"Organic carbon above the QC ceiling — check units, and whether this is an organic horizon. ","")&amp;IF(AND(ISNUMBER($J328),$J328&lt;QC_RECOVERY_MIN),"Recovered less than the QC minimum of the depth driven — the increments may not sit where you think. Do NOT stretch them back out. ","")&amp;IF(AND(ISNUMBER($K328),$K328&gt;0,$L328="Fine earth / total volume"),"Coarse fragments recorded and the lab basis already accounts for them — no further correction applied, which is correct. ",""))</f>
        <v/>
      </c>
      <c r="T328" s="6" t="n"/>
      <c r="U328" s="9">
        <f>IF($B328="",0,IF(COUNTIFS($B$5:$B328,$B328)=1,1,0))</f>
        <v/>
      </c>
    </row>
    <row r="329">
      <c r="A329" s="6" t="n"/>
      <c r="B329" s="6" t="n"/>
      <c r="C329" s="6" t="n"/>
      <c r="D329" s="6" t="n"/>
      <c r="E329" s="6" t="n"/>
      <c r="F329" s="9">
        <f>IF(OR($D329="",$E329=""),"",$E329-$D329)</f>
        <v/>
      </c>
      <c r="G329" s="6" t="n"/>
      <c r="H329" s="6" t="n"/>
      <c r="I329" s="6" t="n"/>
      <c r="J329" s="9">
        <f>IF(OR(NOT(ISNUMBER($H329)),NOT(ISNUMBER($I329)),$H329=0),"",$I329/$H329)</f>
        <v/>
      </c>
      <c r="K329" s="6" t="n"/>
      <c r="L329" s="8" t="n"/>
      <c r="M329" s="7" t="n"/>
      <c r="N329" s="7" t="n"/>
      <c r="O329" s="9">
        <f>IF(NOT(ISNUMBER($M329)),"",IF($L329="Fine earth / fine-earth volume",$M329*(1-IF(ISNUMBER($K329),$K329,0)/100),$M329))</f>
        <v/>
      </c>
      <c r="P329" s="9">
        <f>IF(OR(NOT(ISNUMBER($O329)),NOT(ISNUMBER($N329)),NOT(ISNUMBER($F329))),"",$O329*($N329/100)*$F329*10)</f>
        <v/>
      </c>
      <c r="Q329" s="9">
        <f>IF(OR(NOT(ISNUMBER($D329)),NOT(ISNUMBER($E329))),"",MAX(0,MIN($E329,SOIL_REPORTING_DEPTH_CM)-MIN($D329,SOIL_REPORTING_DEPTH_CM)))</f>
        <v/>
      </c>
      <c r="R329" s="9">
        <f>IF(OR(NOT(ISNUMBER($O329)),NOT(ISNUMBER($N329)),NOT(ISNUMBER($Q329))),"",$O329*($N329/100)*$Q329*10)</f>
        <v/>
      </c>
      <c r="S329" s="11">
        <f>IF(AND($A329="",$B329="",$D329=""),"",IF(AND($A329&lt;&gt;"",COUNTIF('1. Plot &amp; Site Log'!$A$5:$A$64,$A329)=0),"Plot ID not in the Plot &amp; Site Log. ","")&amp;IF(AND(ISNUMBER($D329),ISNUMBER($E329),$E329&lt;=$D329),"Bottom depth is not below top depth. ","")&amp;IF($L329="Not confirmed","Bulk-density basis not confirmed with the lab — the coarse-fragment correction may be wrong or doubled. ","")&amp;IF(AND(ISNUMBER($M329),OR($M329&lt;QC_BD_MIN,$M329&gt;QC_BD_MAX)),"Bulk density outside the plausible range for a mineral grassland soil. ","")&amp;IF(AND(ISNUMBER($N329),$N329&gt;QC_CARBON_PCT_MAX),"Organic carbon above the QC ceiling — check units, and whether this is an organic horizon. ","")&amp;IF(AND(ISNUMBER($J329),$J329&lt;QC_RECOVERY_MIN),"Recovered less than the QC minimum of the depth driven — the increments may not sit where you think. Do NOT stretch them back out. ","")&amp;IF(AND(ISNUMBER($K329),$K329&gt;0,$L329="Fine earth / total volume"),"Coarse fragments recorded and the lab basis already accounts for them — no further correction applied, which is correct. ",""))</f>
        <v/>
      </c>
      <c r="T329" s="6" t="n"/>
      <c r="U329" s="9">
        <f>IF($B329="",0,IF(COUNTIFS($B$5:$B329,$B329)=1,1,0))</f>
        <v/>
      </c>
    </row>
    <row r="330">
      <c r="A330" s="6" t="n"/>
      <c r="B330" s="6" t="n"/>
      <c r="C330" s="6" t="n"/>
      <c r="D330" s="6" t="n"/>
      <c r="E330" s="6" t="n"/>
      <c r="F330" s="9">
        <f>IF(OR($D330="",$E330=""),"",$E330-$D330)</f>
        <v/>
      </c>
      <c r="G330" s="6" t="n"/>
      <c r="H330" s="6" t="n"/>
      <c r="I330" s="6" t="n"/>
      <c r="J330" s="9">
        <f>IF(OR(NOT(ISNUMBER($H330)),NOT(ISNUMBER($I330)),$H330=0),"",$I330/$H330)</f>
        <v/>
      </c>
      <c r="K330" s="6" t="n"/>
      <c r="L330" s="8" t="n"/>
      <c r="M330" s="7" t="n"/>
      <c r="N330" s="7" t="n"/>
      <c r="O330" s="9">
        <f>IF(NOT(ISNUMBER($M330)),"",IF($L330="Fine earth / fine-earth volume",$M330*(1-IF(ISNUMBER($K330),$K330,0)/100),$M330))</f>
        <v/>
      </c>
      <c r="P330" s="9">
        <f>IF(OR(NOT(ISNUMBER($O330)),NOT(ISNUMBER($N330)),NOT(ISNUMBER($F330))),"",$O330*($N330/100)*$F330*10)</f>
        <v/>
      </c>
      <c r="Q330" s="9">
        <f>IF(OR(NOT(ISNUMBER($D330)),NOT(ISNUMBER($E330))),"",MAX(0,MIN($E330,SOIL_REPORTING_DEPTH_CM)-MIN($D330,SOIL_REPORTING_DEPTH_CM)))</f>
        <v/>
      </c>
      <c r="R330" s="9">
        <f>IF(OR(NOT(ISNUMBER($O330)),NOT(ISNUMBER($N330)),NOT(ISNUMBER($Q330))),"",$O330*($N330/100)*$Q330*10)</f>
        <v/>
      </c>
      <c r="S330" s="11">
        <f>IF(AND($A330="",$B330="",$D330=""),"",IF(AND($A330&lt;&gt;"",COUNTIF('1. Plot &amp; Site Log'!$A$5:$A$64,$A330)=0),"Plot ID not in the Plot &amp; Site Log. ","")&amp;IF(AND(ISNUMBER($D330),ISNUMBER($E330),$E330&lt;=$D330),"Bottom depth is not below top depth. ","")&amp;IF($L330="Not confirmed","Bulk-density basis not confirmed with the lab — the coarse-fragment correction may be wrong or doubled. ","")&amp;IF(AND(ISNUMBER($M330),OR($M330&lt;QC_BD_MIN,$M330&gt;QC_BD_MAX)),"Bulk density outside the plausible range for a mineral grassland soil. ","")&amp;IF(AND(ISNUMBER($N330),$N330&gt;QC_CARBON_PCT_MAX),"Organic carbon above the QC ceiling — check units, and whether this is an organic horizon. ","")&amp;IF(AND(ISNUMBER($J330),$J330&lt;QC_RECOVERY_MIN),"Recovered less than the QC minimum of the depth driven — the increments may not sit where you think. Do NOT stretch them back out. ","")&amp;IF(AND(ISNUMBER($K330),$K330&gt;0,$L330="Fine earth / total volume"),"Coarse fragments recorded and the lab basis already accounts for them — no further correction applied, which is correct. ",""))</f>
        <v/>
      </c>
      <c r="T330" s="6" t="n"/>
      <c r="U330" s="9">
        <f>IF($B330="",0,IF(COUNTIFS($B$5:$B330,$B330)=1,1,0))</f>
        <v/>
      </c>
    </row>
    <row r="331">
      <c r="A331" s="6" t="n"/>
      <c r="B331" s="6" t="n"/>
      <c r="C331" s="6" t="n"/>
      <c r="D331" s="6" t="n"/>
      <c r="E331" s="6" t="n"/>
      <c r="F331" s="9">
        <f>IF(OR($D331="",$E331=""),"",$E331-$D331)</f>
        <v/>
      </c>
      <c r="G331" s="6" t="n"/>
      <c r="H331" s="6" t="n"/>
      <c r="I331" s="6" t="n"/>
      <c r="J331" s="9">
        <f>IF(OR(NOT(ISNUMBER($H331)),NOT(ISNUMBER($I331)),$H331=0),"",$I331/$H331)</f>
        <v/>
      </c>
      <c r="K331" s="6" t="n"/>
      <c r="L331" s="8" t="n"/>
      <c r="M331" s="7" t="n"/>
      <c r="N331" s="7" t="n"/>
      <c r="O331" s="9">
        <f>IF(NOT(ISNUMBER($M331)),"",IF($L331="Fine earth / fine-earth volume",$M331*(1-IF(ISNUMBER($K331),$K331,0)/100),$M331))</f>
        <v/>
      </c>
      <c r="P331" s="9">
        <f>IF(OR(NOT(ISNUMBER($O331)),NOT(ISNUMBER($N331)),NOT(ISNUMBER($F331))),"",$O331*($N331/100)*$F331*10)</f>
        <v/>
      </c>
      <c r="Q331" s="9">
        <f>IF(OR(NOT(ISNUMBER($D331)),NOT(ISNUMBER($E331))),"",MAX(0,MIN($E331,SOIL_REPORTING_DEPTH_CM)-MIN($D331,SOIL_REPORTING_DEPTH_CM)))</f>
        <v/>
      </c>
      <c r="R331" s="9">
        <f>IF(OR(NOT(ISNUMBER($O331)),NOT(ISNUMBER($N331)),NOT(ISNUMBER($Q331))),"",$O331*($N331/100)*$Q331*10)</f>
        <v/>
      </c>
      <c r="S331" s="11">
        <f>IF(AND($A331="",$B331="",$D331=""),"",IF(AND($A331&lt;&gt;"",COUNTIF('1. Plot &amp; Site Log'!$A$5:$A$64,$A331)=0),"Plot ID not in the Plot &amp; Site Log. ","")&amp;IF(AND(ISNUMBER($D331),ISNUMBER($E331),$E331&lt;=$D331),"Bottom depth is not below top depth. ","")&amp;IF($L331="Not confirmed","Bulk-density basis not confirmed with the lab — the coarse-fragment correction may be wrong or doubled. ","")&amp;IF(AND(ISNUMBER($M331),OR($M331&lt;QC_BD_MIN,$M331&gt;QC_BD_MAX)),"Bulk density outside the plausible range for a mineral grassland soil. ","")&amp;IF(AND(ISNUMBER($N331),$N331&gt;QC_CARBON_PCT_MAX),"Organic carbon above the QC ceiling — check units, and whether this is an organic horizon. ","")&amp;IF(AND(ISNUMBER($J331),$J331&lt;QC_RECOVERY_MIN),"Recovered less than the QC minimum of the depth driven — the increments may not sit where you think. Do NOT stretch them back out. ","")&amp;IF(AND(ISNUMBER($K331),$K331&gt;0,$L331="Fine earth / total volume"),"Coarse fragments recorded and the lab basis already accounts for them — no further correction applied, which is correct. ",""))</f>
        <v/>
      </c>
      <c r="T331" s="6" t="n"/>
      <c r="U331" s="9">
        <f>IF($B331="",0,IF(COUNTIFS($B$5:$B331,$B331)=1,1,0))</f>
        <v/>
      </c>
    </row>
    <row r="332">
      <c r="A332" s="6" t="n"/>
      <c r="B332" s="6" t="n"/>
      <c r="C332" s="6" t="n"/>
      <c r="D332" s="6" t="n"/>
      <c r="E332" s="6" t="n"/>
      <c r="F332" s="9">
        <f>IF(OR($D332="",$E332=""),"",$E332-$D332)</f>
        <v/>
      </c>
      <c r="G332" s="6" t="n"/>
      <c r="H332" s="6" t="n"/>
      <c r="I332" s="6" t="n"/>
      <c r="J332" s="9">
        <f>IF(OR(NOT(ISNUMBER($H332)),NOT(ISNUMBER($I332)),$H332=0),"",$I332/$H332)</f>
        <v/>
      </c>
      <c r="K332" s="6" t="n"/>
      <c r="L332" s="8" t="n"/>
      <c r="M332" s="7" t="n"/>
      <c r="N332" s="7" t="n"/>
      <c r="O332" s="9">
        <f>IF(NOT(ISNUMBER($M332)),"",IF($L332="Fine earth / fine-earth volume",$M332*(1-IF(ISNUMBER($K332),$K332,0)/100),$M332))</f>
        <v/>
      </c>
      <c r="P332" s="9">
        <f>IF(OR(NOT(ISNUMBER($O332)),NOT(ISNUMBER($N332)),NOT(ISNUMBER($F332))),"",$O332*($N332/100)*$F332*10)</f>
        <v/>
      </c>
      <c r="Q332" s="9">
        <f>IF(OR(NOT(ISNUMBER($D332)),NOT(ISNUMBER($E332))),"",MAX(0,MIN($E332,SOIL_REPORTING_DEPTH_CM)-MIN($D332,SOIL_REPORTING_DEPTH_CM)))</f>
        <v/>
      </c>
      <c r="R332" s="9">
        <f>IF(OR(NOT(ISNUMBER($O332)),NOT(ISNUMBER($N332)),NOT(ISNUMBER($Q332))),"",$O332*($N332/100)*$Q332*10)</f>
        <v/>
      </c>
      <c r="S332" s="11">
        <f>IF(AND($A332="",$B332="",$D332=""),"",IF(AND($A332&lt;&gt;"",COUNTIF('1. Plot &amp; Site Log'!$A$5:$A$64,$A332)=0),"Plot ID not in the Plot &amp; Site Log. ","")&amp;IF(AND(ISNUMBER($D332),ISNUMBER($E332),$E332&lt;=$D332),"Bottom depth is not below top depth. ","")&amp;IF($L332="Not confirmed","Bulk-density basis not confirmed with the lab — the coarse-fragment correction may be wrong or doubled. ","")&amp;IF(AND(ISNUMBER($M332),OR($M332&lt;QC_BD_MIN,$M332&gt;QC_BD_MAX)),"Bulk density outside the plausible range for a mineral grassland soil. ","")&amp;IF(AND(ISNUMBER($N332),$N332&gt;QC_CARBON_PCT_MAX),"Organic carbon above the QC ceiling — check units, and whether this is an organic horizon. ","")&amp;IF(AND(ISNUMBER($J332),$J332&lt;QC_RECOVERY_MIN),"Recovered less than the QC minimum of the depth driven — the increments may not sit where you think. Do NOT stretch them back out. ","")&amp;IF(AND(ISNUMBER($K332),$K332&gt;0,$L332="Fine earth / total volume"),"Coarse fragments recorded and the lab basis already accounts for them — no further correction applied, which is correct. ",""))</f>
        <v/>
      </c>
      <c r="T332" s="6" t="n"/>
      <c r="U332" s="9">
        <f>IF($B332="",0,IF(COUNTIFS($B$5:$B332,$B332)=1,1,0))</f>
        <v/>
      </c>
    </row>
    <row r="333">
      <c r="A333" s="6" t="n"/>
      <c r="B333" s="6" t="n"/>
      <c r="C333" s="6" t="n"/>
      <c r="D333" s="6" t="n"/>
      <c r="E333" s="6" t="n"/>
      <c r="F333" s="9">
        <f>IF(OR($D333="",$E333=""),"",$E333-$D333)</f>
        <v/>
      </c>
      <c r="G333" s="6" t="n"/>
      <c r="H333" s="6" t="n"/>
      <c r="I333" s="6" t="n"/>
      <c r="J333" s="9">
        <f>IF(OR(NOT(ISNUMBER($H333)),NOT(ISNUMBER($I333)),$H333=0),"",$I333/$H333)</f>
        <v/>
      </c>
      <c r="K333" s="6" t="n"/>
      <c r="L333" s="8" t="n"/>
      <c r="M333" s="7" t="n"/>
      <c r="N333" s="7" t="n"/>
      <c r="O333" s="9">
        <f>IF(NOT(ISNUMBER($M333)),"",IF($L333="Fine earth / fine-earth volume",$M333*(1-IF(ISNUMBER($K333),$K333,0)/100),$M333))</f>
        <v/>
      </c>
      <c r="P333" s="9">
        <f>IF(OR(NOT(ISNUMBER($O333)),NOT(ISNUMBER($N333)),NOT(ISNUMBER($F333))),"",$O333*($N333/100)*$F333*10)</f>
        <v/>
      </c>
      <c r="Q333" s="9">
        <f>IF(OR(NOT(ISNUMBER($D333)),NOT(ISNUMBER($E333))),"",MAX(0,MIN($E333,SOIL_REPORTING_DEPTH_CM)-MIN($D333,SOIL_REPORTING_DEPTH_CM)))</f>
        <v/>
      </c>
      <c r="R333" s="9">
        <f>IF(OR(NOT(ISNUMBER($O333)),NOT(ISNUMBER($N333)),NOT(ISNUMBER($Q333))),"",$O333*($N333/100)*$Q333*10)</f>
        <v/>
      </c>
      <c r="S333" s="11">
        <f>IF(AND($A333="",$B333="",$D333=""),"",IF(AND($A333&lt;&gt;"",COUNTIF('1. Plot &amp; Site Log'!$A$5:$A$64,$A333)=0),"Plot ID not in the Plot &amp; Site Log. ","")&amp;IF(AND(ISNUMBER($D333),ISNUMBER($E333),$E333&lt;=$D333),"Bottom depth is not below top depth. ","")&amp;IF($L333="Not confirmed","Bulk-density basis not confirmed with the lab — the coarse-fragment correction may be wrong or doubled. ","")&amp;IF(AND(ISNUMBER($M333),OR($M333&lt;QC_BD_MIN,$M333&gt;QC_BD_MAX)),"Bulk density outside the plausible range for a mineral grassland soil. ","")&amp;IF(AND(ISNUMBER($N333),$N333&gt;QC_CARBON_PCT_MAX),"Organic carbon above the QC ceiling — check units, and whether this is an organic horizon. ","")&amp;IF(AND(ISNUMBER($J333),$J333&lt;QC_RECOVERY_MIN),"Recovered less than the QC minimum of the depth driven — the increments may not sit where you think. Do NOT stretch them back out. ","")&amp;IF(AND(ISNUMBER($K333),$K333&gt;0,$L333="Fine earth / total volume"),"Coarse fragments recorded and the lab basis already accounts for them — no further correction applied, which is correct. ",""))</f>
        <v/>
      </c>
      <c r="T333" s="6" t="n"/>
      <c r="U333" s="9">
        <f>IF($B333="",0,IF(COUNTIFS($B$5:$B333,$B333)=1,1,0))</f>
        <v/>
      </c>
    </row>
    <row r="334">
      <c r="A334" s="6" t="n"/>
      <c r="B334" s="6" t="n"/>
      <c r="C334" s="6" t="n"/>
      <c r="D334" s="6" t="n"/>
      <c r="E334" s="6" t="n"/>
      <c r="F334" s="9">
        <f>IF(OR($D334="",$E334=""),"",$E334-$D334)</f>
        <v/>
      </c>
      <c r="G334" s="6" t="n"/>
      <c r="H334" s="6" t="n"/>
      <c r="I334" s="6" t="n"/>
      <c r="J334" s="9">
        <f>IF(OR(NOT(ISNUMBER($H334)),NOT(ISNUMBER($I334)),$H334=0),"",$I334/$H334)</f>
        <v/>
      </c>
      <c r="K334" s="6" t="n"/>
      <c r="L334" s="8" t="n"/>
      <c r="M334" s="7" t="n"/>
      <c r="N334" s="7" t="n"/>
      <c r="O334" s="9">
        <f>IF(NOT(ISNUMBER($M334)),"",IF($L334="Fine earth / fine-earth volume",$M334*(1-IF(ISNUMBER($K334),$K334,0)/100),$M334))</f>
        <v/>
      </c>
      <c r="P334" s="9">
        <f>IF(OR(NOT(ISNUMBER($O334)),NOT(ISNUMBER($N334)),NOT(ISNUMBER($F334))),"",$O334*($N334/100)*$F334*10)</f>
        <v/>
      </c>
      <c r="Q334" s="9">
        <f>IF(OR(NOT(ISNUMBER($D334)),NOT(ISNUMBER($E334))),"",MAX(0,MIN($E334,SOIL_REPORTING_DEPTH_CM)-MIN($D334,SOIL_REPORTING_DEPTH_CM)))</f>
        <v/>
      </c>
      <c r="R334" s="9">
        <f>IF(OR(NOT(ISNUMBER($O334)),NOT(ISNUMBER($N334)),NOT(ISNUMBER($Q334))),"",$O334*($N334/100)*$Q334*10)</f>
        <v/>
      </c>
      <c r="S334" s="11">
        <f>IF(AND($A334="",$B334="",$D334=""),"",IF(AND($A334&lt;&gt;"",COUNTIF('1. Plot &amp; Site Log'!$A$5:$A$64,$A334)=0),"Plot ID not in the Plot &amp; Site Log. ","")&amp;IF(AND(ISNUMBER($D334),ISNUMBER($E334),$E334&lt;=$D334),"Bottom depth is not below top depth. ","")&amp;IF($L334="Not confirmed","Bulk-density basis not confirmed with the lab — the coarse-fragment correction may be wrong or doubled. ","")&amp;IF(AND(ISNUMBER($M334),OR($M334&lt;QC_BD_MIN,$M334&gt;QC_BD_MAX)),"Bulk density outside the plausible range for a mineral grassland soil. ","")&amp;IF(AND(ISNUMBER($N334),$N334&gt;QC_CARBON_PCT_MAX),"Organic carbon above the QC ceiling — check units, and whether this is an organic horizon. ","")&amp;IF(AND(ISNUMBER($J334),$J334&lt;QC_RECOVERY_MIN),"Recovered less than the QC minimum of the depth driven — the increments may not sit where you think. Do NOT stretch them back out. ","")&amp;IF(AND(ISNUMBER($K334),$K334&gt;0,$L334="Fine earth / total volume"),"Coarse fragments recorded and the lab basis already accounts for them — no further correction applied, which is correct. ",""))</f>
        <v/>
      </c>
      <c r="T334" s="6" t="n"/>
      <c r="U334" s="9">
        <f>IF($B334="",0,IF(COUNTIFS($B$5:$B334,$B334)=1,1,0))</f>
        <v/>
      </c>
    </row>
    <row r="335">
      <c r="A335" s="6" t="n"/>
      <c r="B335" s="6" t="n"/>
      <c r="C335" s="6" t="n"/>
      <c r="D335" s="6" t="n"/>
      <c r="E335" s="6" t="n"/>
      <c r="F335" s="9">
        <f>IF(OR($D335="",$E335=""),"",$E335-$D335)</f>
        <v/>
      </c>
      <c r="G335" s="6" t="n"/>
      <c r="H335" s="6" t="n"/>
      <c r="I335" s="6" t="n"/>
      <c r="J335" s="9">
        <f>IF(OR(NOT(ISNUMBER($H335)),NOT(ISNUMBER($I335)),$H335=0),"",$I335/$H335)</f>
        <v/>
      </c>
      <c r="K335" s="6" t="n"/>
      <c r="L335" s="8" t="n"/>
      <c r="M335" s="7" t="n"/>
      <c r="N335" s="7" t="n"/>
      <c r="O335" s="9">
        <f>IF(NOT(ISNUMBER($M335)),"",IF($L335="Fine earth / fine-earth volume",$M335*(1-IF(ISNUMBER($K335),$K335,0)/100),$M335))</f>
        <v/>
      </c>
      <c r="P335" s="9">
        <f>IF(OR(NOT(ISNUMBER($O335)),NOT(ISNUMBER($N335)),NOT(ISNUMBER($F335))),"",$O335*($N335/100)*$F335*10)</f>
        <v/>
      </c>
      <c r="Q335" s="9">
        <f>IF(OR(NOT(ISNUMBER($D335)),NOT(ISNUMBER($E335))),"",MAX(0,MIN($E335,SOIL_REPORTING_DEPTH_CM)-MIN($D335,SOIL_REPORTING_DEPTH_CM)))</f>
        <v/>
      </c>
      <c r="R335" s="9">
        <f>IF(OR(NOT(ISNUMBER($O335)),NOT(ISNUMBER($N335)),NOT(ISNUMBER($Q335))),"",$O335*($N335/100)*$Q335*10)</f>
        <v/>
      </c>
      <c r="S335" s="11">
        <f>IF(AND($A335="",$B335="",$D335=""),"",IF(AND($A335&lt;&gt;"",COUNTIF('1. Plot &amp; Site Log'!$A$5:$A$64,$A335)=0),"Plot ID not in the Plot &amp; Site Log. ","")&amp;IF(AND(ISNUMBER($D335),ISNUMBER($E335),$E335&lt;=$D335),"Bottom depth is not below top depth. ","")&amp;IF($L335="Not confirmed","Bulk-density basis not confirmed with the lab — the coarse-fragment correction may be wrong or doubled. ","")&amp;IF(AND(ISNUMBER($M335),OR($M335&lt;QC_BD_MIN,$M335&gt;QC_BD_MAX)),"Bulk density outside the plausible range for a mineral grassland soil. ","")&amp;IF(AND(ISNUMBER($N335),$N335&gt;QC_CARBON_PCT_MAX),"Organic carbon above the QC ceiling — check units, and whether this is an organic horizon. ","")&amp;IF(AND(ISNUMBER($J335),$J335&lt;QC_RECOVERY_MIN),"Recovered less than the QC minimum of the depth driven — the increments may not sit where you think. Do NOT stretch them back out. ","")&amp;IF(AND(ISNUMBER($K335),$K335&gt;0,$L335="Fine earth / total volume"),"Coarse fragments recorded and the lab basis already accounts for them — no further correction applied, which is correct. ",""))</f>
        <v/>
      </c>
      <c r="T335" s="6" t="n"/>
      <c r="U335" s="9">
        <f>IF($B335="",0,IF(COUNTIFS($B$5:$B335,$B335)=1,1,0))</f>
        <v/>
      </c>
    </row>
    <row r="336">
      <c r="A336" s="6" t="n"/>
      <c r="B336" s="6" t="n"/>
      <c r="C336" s="6" t="n"/>
      <c r="D336" s="6" t="n"/>
      <c r="E336" s="6" t="n"/>
      <c r="F336" s="9">
        <f>IF(OR($D336="",$E336=""),"",$E336-$D336)</f>
        <v/>
      </c>
      <c r="G336" s="6" t="n"/>
      <c r="H336" s="6" t="n"/>
      <c r="I336" s="6" t="n"/>
      <c r="J336" s="9">
        <f>IF(OR(NOT(ISNUMBER($H336)),NOT(ISNUMBER($I336)),$H336=0),"",$I336/$H336)</f>
        <v/>
      </c>
      <c r="K336" s="6" t="n"/>
      <c r="L336" s="8" t="n"/>
      <c r="M336" s="7" t="n"/>
      <c r="N336" s="7" t="n"/>
      <c r="O336" s="9">
        <f>IF(NOT(ISNUMBER($M336)),"",IF($L336="Fine earth / fine-earth volume",$M336*(1-IF(ISNUMBER($K336),$K336,0)/100),$M336))</f>
        <v/>
      </c>
      <c r="P336" s="9">
        <f>IF(OR(NOT(ISNUMBER($O336)),NOT(ISNUMBER($N336)),NOT(ISNUMBER($F336))),"",$O336*($N336/100)*$F336*10)</f>
        <v/>
      </c>
      <c r="Q336" s="9">
        <f>IF(OR(NOT(ISNUMBER($D336)),NOT(ISNUMBER($E336))),"",MAX(0,MIN($E336,SOIL_REPORTING_DEPTH_CM)-MIN($D336,SOIL_REPORTING_DEPTH_CM)))</f>
        <v/>
      </c>
      <c r="R336" s="9">
        <f>IF(OR(NOT(ISNUMBER($O336)),NOT(ISNUMBER($N336)),NOT(ISNUMBER($Q336))),"",$O336*($N336/100)*$Q336*10)</f>
        <v/>
      </c>
      <c r="S336" s="11">
        <f>IF(AND($A336="",$B336="",$D336=""),"",IF(AND($A336&lt;&gt;"",COUNTIF('1. Plot &amp; Site Log'!$A$5:$A$64,$A336)=0),"Plot ID not in the Plot &amp; Site Log. ","")&amp;IF(AND(ISNUMBER($D336),ISNUMBER($E336),$E336&lt;=$D336),"Bottom depth is not below top depth. ","")&amp;IF($L336="Not confirmed","Bulk-density basis not confirmed with the lab — the coarse-fragment correction may be wrong or doubled. ","")&amp;IF(AND(ISNUMBER($M336),OR($M336&lt;QC_BD_MIN,$M336&gt;QC_BD_MAX)),"Bulk density outside the plausible range for a mineral grassland soil. ","")&amp;IF(AND(ISNUMBER($N336),$N336&gt;QC_CARBON_PCT_MAX),"Organic carbon above the QC ceiling — check units, and whether this is an organic horizon. ","")&amp;IF(AND(ISNUMBER($J336),$J336&lt;QC_RECOVERY_MIN),"Recovered less than the QC minimum of the depth driven — the increments may not sit where you think. Do NOT stretch them back out. ","")&amp;IF(AND(ISNUMBER($K336),$K336&gt;0,$L336="Fine earth / total volume"),"Coarse fragments recorded and the lab basis already accounts for them — no further correction applied, which is correct. ",""))</f>
        <v/>
      </c>
      <c r="T336" s="6" t="n"/>
      <c r="U336" s="9">
        <f>IF($B336="",0,IF(COUNTIFS($B$5:$B336,$B336)=1,1,0))</f>
        <v/>
      </c>
    </row>
    <row r="337">
      <c r="A337" s="6" t="n"/>
      <c r="B337" s="6" t="n"/>
      <c r="C337" s="6" t="n"/>
      <c r="D337" s="6" t="n"/>
      <c r="E337" s="6" t="n"/>
      <c r="F337" s="9">
        <f>IF(OR($D337="",$E337=""),"",$E337-$D337)</f>
        <v/>
      </c>
      <c r="G337" s="6" t="n"/>
      <c r="H337" s="6" t="n"/>
      <c r="I337" s="6" t="n"/>
      <c r="J337" s="9">
        <f>IF(OR(NOT(ISNUMBER($H337)),NOT(ISNUMBER($I337)),$H337=0),"",$I337/$H337)</f>
        <v/>
      </c>
      <c r="K337" s="6" t="n"/>
      <c r="L337" s="8" t="n"/>
      <c r="M337" s="7" t="n"/>
      <c r="N337" s="7" t="n"/>
      <c r="O337" s="9">
        <f>IF(NOT(ISNUMBER($M337)),"",IF($L337="Fine earth / fine-earth volume",$M337*(1-IF(ISNUMBER($K337),$K337,0)/100),$M337))</f>
        <v/>
      </c>
      <c r="P337" s="9">
        <f>IF(OR(NOT(ISNUMBER($O337)),NOT(ISNUMBER($N337)),NOT(ISNUMBER($F337))),"",$O337*($N337/100)*$F337*10)</f>
        <v/>
      </c>
      <c r="Q337" s="9">
        <f>IF(OR(NOT(ISNUMBER($D337)),NOT(ISNUMBER($E337))),"",MAX(0,MIN($E337,SOIL_REPORTING_DEPTH_CM)-MIN($D337,SOIL_REPORTING_DEPTH_CM)))</f>
        <v/>
      </c>
      <c r="R337" s="9">
        <f>IF(OR(NOT(ISNUMBER($O337)),NOT(ISNUMBER($N337)),NOT(ISNUMBER($Q337))),"",$O337*($N337/100)*$Q337*10)</f>
        <v/>
      </c>
      <c r="S337" s="11">
        <f>IF(AND($A337="",$B337="",$D337=""),"",IF(AND($A337&lt;&gt;"",COUNTIF('1. Plot &amp; Site Log'!$A$5:$A$64,$A337)=0),"Plot ID not in the Plot &amp; Site Log. ","")&amp;IF(AND(ISNUMBER($D337),ISNUMBER($E337),$E337&lt;=$D337),"Bottom depth is not below top depth. ","")&amp;IF($L337="Not confirmed","Bulk-density basis not confirmed with the lab — the coarse-fragment correction may be wrong or doubled. ","")&amp;IF(AND(ISNUMBER($M337),OR($M337&lt;QC_BD_MIN,$M337&gt;QC_BD_MAX)),"Bulk density outside the plausible range for a mineral grassland soil. ","")&amp;IF(AND(ISNUMBER($N337),$N337&gt;QC_CARBON_PCT_MAX),"Organic carbon above the QC ceiling — check units, and whether this is an organic horizon. ","")&amp;IF(AND(ISNUMBER($J337),$J337&lt;QC_RECOVERY_MIN),"Recovered less than the QC minimum of the depth driven — the increments may not sit where you think. Do NOT stretch them back out. ","")&amp;IF(AND(ISNUMBER($K337),$K337&gt;0,$L337="Fine earth / total volume"),"Coarse fragments recorded and the lab basis already accounts for them — no further correction applied, which is correct. ",""))</f>
        <v/>
      </c>
      <c r="T337" s="6" t="n"/>
      <c r="U337" s="9">
        <f>IF($B337="",0,IF(COUNTIFS($B$5:$B337,$B337)=1,1,0))</f>
        <v/>
      </c>
    </row>
    <row r="338">
      <c r="A338" s="6" t="n"/>
      <c r="B338" s="6" t="n"/>
      <c r="C338" s="6" t="n"/>
      <c r="D338" s="6" t="n"/>
      <c r="E338" s="6" t="n"/>
      <c r="F338" s="9">
        <f>IF(OR($D338="",$E338=""),"",$E338-$D338)</f>
        <v/>
      </c>
      <c r="G338" s="6" t="n"/>
      <c r="H338" s="6" t="n"/>
      <c r="I338" s="6" t="n"/>
      <c r="J338" s="9">
        <f>IF(OR(NOT(ISNUMBER($H338)),NOT(ISNUMBER($I338)),$H338=0),"",$I338/$H338)</f>
        <v/>
      </c>
      <c r="K338" s="6" t="n"/>
      <c r="L338" s="8" t="n"/>
      <c r="M338" s="7" t="n"/>
      <c r="N338" s="7" t="n"/>
      <c r="O338" s="9">
        <f>IF(NOT(ISNUMBER($M338)),"",IF($L338="Fine earth / fine-earth volume",$M338*(1-IF(ISNUMBER($K338),$K338,0)/100),$M338))</f>
        <v/>
      </c>
      <c r="P338" s="9">
        <f>IF(OR(NOT(ISNUMBER($O338)),NOT(ISNUMBER($N338)),NOT(ISNUMBER($F338))),"",$O338*($N338/100)*$F338*10)</f>
        <v/>
      </c>
      <c r="Q338" s="9">
        <f>IF(OR(NOT(ISNUMBER($D338)),NOT(ISNUMBER($E338))),"",MAX(0,MIN($E338,SOIL_REPORTING_DEPTH_CM)-MIN($D338,SOIL_REPORTING_DEPTH_CM)))</f>
        <v/>
      </c>
      <c r="R338" s="9">
        <f>IF(OR(NOT(ISNUMBER($O338)),NOT(ISNUMBER($N338)),NOT(ISNUMBER($Q338))),"",$O338*($N338/100)*$Q338*10)</f>
        <v/>
      </c>
      <c r="S338" s="11">
        <f>IF(AND($A338="",$B338="",$D338=""),"",IF(AND($A338&lt;&gt;"",COUNTIF('1. Plot &amp; Site Log'!$A$5:$A$64,$A338)=0),"Plot ID not in the Plot &amp; Site Log. ","")&amp;IF(AND(ISNUMBER($D338),ISNUMBER($E338),$E338&lt;=$D338),"Bottom depth is not below top depth. ","")&amp;IF($L338="Not confirmed","Bulk-density basis not confirmed with the lab — the coarse-fragment correction may be wrong or doubled. ","")&amp;IF(AND(ISNUMBER($M338),OR($M338&lt;QC_BD_MIN,$M338&gt;QC_BD_MAX)),"Bulk density outside the plausible range for a mineral grassland soil. ","")&amp;IF(AND(ISNUMBER($N338),$N338&gt;QC_CARBON_PCT_MAX),"Organic carbon above the QC ceiling — check units, and whether this is an organic horizon. ","")&amp;IF(AND(ISNUMBER($J338),$J338&lt;QC_RECOVERY_MIN),"Recovered less than the QC minimum of the depth driven — the increments may not sit where you think. Do NOT stretch them back out. ","")&amp;IF(AND(ISNUMBER($K338),$K338&gt;0,$L338="Fine earth / total volume"),"Coarse fragments recorded and the lab basis already accounts for them — no further correction applied, which is correct. ",""))</f>
        <v/>
      </c>
      <c r="T338" s="6" t="n"/>
      <c r="U338" s="9">
        <f>IF($B338="",0,IF(COUNTIFS($B$5:$B338,$B338)=1,1,0))</f>
        <v/>
      </c>
    </row>
    <row r="339">
      <c r="A339" s="6" t="n"/>
      <c r="B339" s="6" t="n"/>
      <c r="C339" s="6" t="n"/>
      <c r="D339" s="6" t="n"/>
      <c r="E339" s="6" t="n"/>
      <c r="F339" s="9">
        <f>IF(OR($D339="",$E339=""),"",$E339-$D339)</f>
        <v/>
      </c>
      <c r="G339" s="6" t="n"/>
      <c r="H339" s="6" t="n"/>
      <c r="I339" s="6" t="n"/>
      <c r="J339" s="9">
        <f>IF(OR(NOT(ISNUMBER($H339)),NOT(ISNUMBER($I339)),$H339=0),"",$I339/$H339)</f>
        <v/>
      </c>
      <c r="K339" s="6" t="n"/>
      <c r="L339" s="8" t="n"/>
      <c r="M339" s="7" t="n"/>
      <c r="N339" s="7" t="n"/>
      <c r="O339" s="9">
        <f>IF(NOT(ISNUMBER($M339)),"",IF($L339="Fine earth / fine-earth volume",$M339*(1-IF(ISNUMBER($K339),$K339,0)/100),$M339))</f>
        <v/>
      </c>
      <c r="P339" s="9">
        <f>IF(OR(NOT(ISNUMBER($O339)),NOT(ISNUMBER($N339)),NOT(ISNUMBER($F339))),"",$O339*($N339/100)*$F339*10)</f>
        <v/>
      </c>
      <c r="Q339" s="9">
        <f>IF(OR(NOT(ISNUMBER($D339)),NOT(ISNUMBER($E339))),"",MAX(0,MIN($E339,SOIL_REPORTING_DEPTH_CM)-MIN($D339,SOIL_REPORTING_DEPTH_CM)))</f>
        <v/>
      </c>
      <c r="R339" s="9">
        <f>IF(OR(NOT(ISNUMBER($O339)),NOT(ISNUMBER($N339)),NOT(ISNUMBER($Q339))),"",$O339*($N339/100)*$Q339*10)</f>
        <v/>
      </c>
      <c r="S339" s="11">
        <f>IF(AND($A339="",$B339="",$D339=""),"",IF(AND($A339&lt;&gt;"",COUNTIF('1. Plot &amp; Site Log'!$A$5:$A$64,$A339)=0),"Plot ID not in the Plot &amp; Site Log. ","")&amp;IF(AND(ISNUMBER($D339),ISNUMBER($E339),$E339&lt;=$D339),"Bottom depth is not below top depth. ","")&amp;IF($L339="Not confirmed","Bulk-density basis not confirmed with the lab — the coarse-fragment correction may be wrong or doubled. ","")&amp;IF(AND(ISNUMBER($M339),OR($M339&lt;QC_BD_MIN,$M339&gt;QC_BD_MAX)),"Bulk density outside the plausible range for a mineral grassland soil. ","")&amp;IF(AND(ISNUMBER($N339),$N339&gt;QC_CARBON_PCT_MAX),"Organic carbon above the QC ceiling — check units, and whether this is an organic horizon. ","")&amp;IF(AND(ISNUMBER($J339),$J339&lt;QC_RECOVERY_MIN),"Recovered less than the QC minimum of the depth driven — the increments may not sit where you think. Do NOT stretch them back out. ","")&amp;IF(AND(ISNUMBER($K339),$K339&gt;0,$L339="Fine earth / total volume"),"Coarse fragments recorded and the lab basis already accounts for them — no further correction applied, which is correct. ",""))</f>
        <v/>
      </c>
      <c r="T339" s="6" t="n"/>
      <c r="U339" s="9">
        <f>IF($B339="",0,IF(COUNTIFS($B$5:$B339,$B339)=1,1,0))</f>
        <v/>
      </c>
    </row>
    <row r="340">
      <c r="A340" s="6" t="n"/>
      <c r="B340" s="6" t="n"/>
      <c r="C340" s="6" t="n"/>
      <c r="D340" s="6" t="n"/>
      <c r="E340" s="6" t="n"/>
      <c r="F340" s="9">
        <f>IF(OR($D340="",$E340=""),"",$E340-$D340)</f>
        <v/>
      </c>
      <c r="G340" s="6" t="n"/>
      <c r="H340" s="6" t="n"/>
      <c r="I340" s="6" t="n"/>
      <c r="J340" s="9">
        <f>IF(OR(NOT(ISNUMBER($H340)),NOT(ISNUMBER($I340)),$H340=0),"",$I340/$H340)</f>
        <v/>
      </c>
      <c r="K340" s="6" t="n"/>
      <c r="L340" s="8" t="n"/>
      <c r="M340" s="7" t="n"/>
      <c r="N340" s="7" t="n"/>
      <c r="O340" s="9">
        <f>IF(NOT(ISNUMBER($M340)),"",IF($L340="Fine earth / fine-earth volume",$M340*(1-IF(ISNUMBER($K340),$K340,0)/100),$M340))</f>
        <v/>
      </c>
      <c r="P340" s="9">
        <f>IF(OR(NOT(ISNUMBER($O340)),NOT(ISNUMBER($N340)),NOT(ISNUMBER($F340))),"",$O340*($N340/100)*$F340*10)</f>
        <v/>
      </c>
      <c r="Q340" s="9">
        <f>IF(OR(NOT(ISNUMBER($D340)),NOT(ISNUMBER($E340))),"",MAX(0,MIN($E340,SOIL_REPORTING_DEPTH_CM)-MIN($D340,SOIL_REPORTING_DEPTH_CM)))</f>
        <v/>
      </c>
      <c r="R340" s="9">
        <f>IF(OR(NOT(ISNUMBER($O340)),NOT(ISNUMBER($N340)),NOT(ISNUMBER($Q340))),"",$O340*($N340/100)*$Q340*10)</f>
        <v/>
      </c>
      <c r="S340" s="11">
        <f>IF(AND($A340="",$B340="",$D340=""),"",IF(AND($A340&lt;&gt;"",COUNTIF('1. Plot &amp; Site Log'!$A$5:$A$64,$A340)=0),"Plot ID not in the Plot &amp; Site Log. ","")&amp;IF(AND(ISNUMBER($D340),ISNUMBER($E340),$E340&lt;=$D340),"Bottom depth is not below top depth. ","")&amp;IF($L340="Not confirmed","Bulk-density basis not confirmed with the lab — the coarse-fragment correction may be wrong or doubled. ","")&amp;IF(AND(ISNUMBER($M340),OR($M340&lt;QC_BD_MIN,$M340&gt;QC_BD_MAX)),"Bulk density outside the plausible range for a mineral grassland soil. ","")&amp;IF(AND(ISNUMBER($N340),$N340&gt;QC_CARBON_PCT_MAX),"Organic carbon above the QC ceiling — check units, and whether this is an organic horizon. ","")&amp;IF(AND(ISNUMBER($J340),$J340&lt;QC_RECOVERY_MIN),"Recovered less than the QC minimum of the depth driven — the increments may not sit where you think. Do NOT stretch them back out. ","")&amp;IF(AND(ISNUMBER($K340),$K340&gt;0,$L340="Fine earth / total volume"),"Coarse fragments recorded and the lab basis already accounts for them — no further correction applied, which is correct. ",""))</f>
        <v/>
      </c>
      <c r="T340" s="6" t="n"/>
      <c r="U340" s="9">
        <f>IF($B340="",0,IF(COUNTIFS($B$5:$B340,$B340)=1,1,0))</f>
        <v/>
      </c>
    </row>
    <row r="341">
      <c r="A341" s="6" t="n"/>
      <c r="B341" s="6" t="n"/>
      <c r="C341" s="6" t="n"/>
      <c r="D341" s="6" t="n"/>
      <c r="E341" s="6" t="n"/>
      <c r="F341" s="9">
        <f>IF(OR($D341="",$E341=""),"",$E341-$D341)</f>
        <v/>
      </c>
      <c r="G341" s="6" t="n"/>
      <c r="H341" s="6" t="n"/>
      <c r="I341" s="6" t="n"/>
      <c r="J341" s="9">
        <f>IF(OR(NOT(ISNUMBER($H341)),NOT(ISNUMBER($I341)),$H341=0),"",$I341/$H341)</f>
        <v/>
      </c>
      <c r="K341" s="6" t="n"/>
      <c r="L341" s="8" t="n"/>
      <c r="M341" s="7" t="n"/>
      <c r="N341" s="7" t="n"/>
      <c r="O341" s="9">
        <f>IF(NOT(ISNUMBER($M341)),"",IF($L341="Fine earth / fine-earth volume",$M341*(1-IF(ISNUMBER($K341),$K341,0)/100),$M341))</f>
        <v/>
      </c>
      <c r="P341" s="9">
        <f>IF(OR(NOT(ISNUMBER($O341)),NOT(ISNUMBER($N341)),NOT(ISNUMBER($F341))),"",$O341*($N341/100)*$F341*10)</f>
        <v/>
      </c>
      <c r="Q341" s="9">
        <f>IF(OR(NOT(ISNUMBER($D341)),NOT(ISNUMBER($E341))),"",MAX(0,MIN($E341,SOIL_REPORTING_DEPTH_CM)-MIN($D341,SOIL_REPORTING_DEPTH_CM)))</f>
        <v/>
      </c>
      <c r="R341" s="9">
        <f>IF(OR(NOT(ISNUMBER($O341)),NOT(ISNUMBER($N341)),NOT(ISNUMBER($Q341))),"",$O341*($N341/100)*$Q341*10)</f>
        <v/>
      </c>
      <c r="S341" s="11">
        <f>IF(AND($A341="",$B341="",$D341=""),"",IF(AND($A341&lt;&gt;"",COUNTIF('1. Plot &amp; Site Log'!$A$5:$A$64,$A341)=0),"Plot ID not in the Plot &amp; Site Log. ","")&amp;IF(AND(ISNUMBER($D341),ISNUMBER($E341),$E341&lt;=$D341),"Bottom depth is not below top depth. ","")&amp;IF($L341="Not confirmed","Bulk-density basis not confirmed with the lab — the coarse-fragment correction may be wrong or doubled. ","")&amp;IF(AND(ISNUMBER($M341),OR($M341&lt;QC_BD_MIN,$M341&gt;QC_BD_MAX)),"Bulk density outside the plausible range for a mineral grassland soil. ","")&amp;IF(AND(ISNUMBER($N341),$N341&gt;QC_CARBON_PCT_MAX),"Organic carbon above the QC ceiling — check units, and whether this is an organic horizon. ","")&amp;IF(AND(ISNUMBER($J341),$J341&lt;QC_RECOVERY_MIN),"Recovered less than the QC minimum of the depth driven — the increments may not sit where you think. Do NOT stretch them back out. ","")&amp;IF(AND(ISNUMBER($K341),$K341&gt;0,$L341="Fine earth / total volume"),"Coarse fragments recorded and the lab basis already accounts for them — no further correction applied, which is correct. ",""))</f>
        <v/>
      </c>
      <c r="T341" s="6" t="n"/>
      <c r="U341" s="9">
        <f>IF($B341="",0,IF(COUNTIFS($B$5:$B341,$B341)=1,1,0))</f>
        <v/>
      </c>
    </row>
    <row r="342">
      <c r="A342" s="6" t="n"/>
      <c r="B342" s="6" t="n"/>
      <c r="C342" s="6" t="n"/>
      <c r="D342" s="6" t="n"/>
      <c r="E342" s="6" t="n"/>
      <c r="F342" s="9">
        <f>IF(OR($D342="",$E342=""),"",$E342-$D342)</f>
        <v/>
      </c>
      <c r="G342" s="6" t="n"/>
      <c r="H342" s="6" t="n"/>
      <c r="I342" s="6" t="n"/>
      <c r="J342" s="9">
        <f>IF(OR(NOT(ISNUMBER($H342)),NOT(ISNUMBER($I342)),$H342=0),"",$I342/$H342)</f>
        <v/>
      </c>
      <c r="K342" s="6" t="n"/>
      <c r="L342" s="8" t="n"/>
      <c r="M342" s="7" t="n"/>
      <c r="N342" s="7" t="n"/>
      <c r="O342" s="9">
        <f>IF(NOT(ISNUMBER($M342)),"",IF($L342="Fine earth / fine-earth volume",$M342*(1-IF(ISNUMBER($K342),$K342,0)/100),$M342))</f>
        <v/>
      </c>
      <c r="P342" s="9">
        <f>IF(OR(NOT(ISNUMBER($O342)),NOT(ISNUMBER($N342)),NOT(ISNUMBER($F342))),"",$O342*($N342/100)*$F342*10)</f>
        <v/>
      </c>
      <c r="Q342" s="9">
        <f>IF(OR(NOT(ISNUMBER($D342)),NOT(ISNUMBER($E342))),"",MAX(0,MIN($E342,SOIL_REPORTING_DEPTH_CM)-MIN($D342,SOIL_REPORTING_DEPTH_CM)))</f>
        <v/>
      </c>
      <c r="R342" s="9">
        <f>IF(OR(NOT(ISNUMBER($O342)),NOT(ISNUMBER($N342)),NOT(ISNUMBER($Q342))),"",$O342*($N342/100)*$Q342*10)</f>
        <v/>
      </c>
      <c r="S342" s="11">
        <f>IF(AND($A342="",$B342="",$D342=""),"",IF(AND($A342&lt;&gt;"",COUNTIF('1. Plot &amp; Site Log'!$A$5:$A$64,$A342)=0),"Plot ID not in the Plot &amp; Site Log. ","")&amp;IF(AND(ISNUMBER($D342),ISNUMBER($E342),$E342&lt;=$D342),"Bottom depth is not below top depth. ","")&amp;IF($L342="Not confirmed","Bulk-density basis not confirmed with the lab — the coarse-fragment correction may be wrong or doubled. ","")&amp;IF(AND(ISNUMBER($M342),OR($M342&lt;QC_BD_MIN,$M342&gt;QC_BD_MAX)),"Bulk density outside the plausible range for a mineral grassland soil. ","")&amp;IF(AND(ISNUMBER($N342),$N342&gt;QC_CARBON_PCT_MAX),"Organic carbon above the QC ceiling — check units, and whether this is an organic horizon. ","")&amp;IF(AND(ISNUMBER($J342),$J342&lt;QC_RECOVERY_MIN),"Recovered less than the QC minimum of the depth driven — the increments may not sit where you think. Do NOT stretch them back out. ","")&amp;IF(AND(ISNUMBER($K342),$K342&gt;0,$L342="Fine earth / total volume"),"Coarse fragments recorded and the lab basis already accounts for them — no further correction applied, which is correct. ",""))</f>
        <v/>
      </c>
      <c r="T342" s="6" t="n"/>
      <c r="U342" s="9">
        <f>IF($B342="",0,IF(COUNTIFS($B$5:$B342,$B342)=1,1,0))</f>
        <v/>
      </c>
    </row>
    <row r="343">
      <c r="A343" s="6" t="n"/>
      <c r="B343" s="6" t="n"/>
      <c r="C343" s="6" t="n"/>
      <c r="D343" s="6" t="n"/>
      <c r="E343" s="6" t="n"/>
      <c r="F343" s="9">
        <f>IF(OR($D343="",$E343=""),"",$E343-$D343)</f>
        <v/>
      </c>
      <c r="G343" s="6" t="n"/>
      <c r="H343" s="6" t="n"/>
      <c r="I343" s="6" t="n"/>
      <c r="J343" s="9">
        <f>IF(OR(NOT(ISNUMBER($H343)),NOT(ISNUMBER($I343)),$H343=0),"",$I343/$H343)</f>
        <v/>
      </c>
      <c r="K343" s="6" t="n"/>
      <c r="L343" s="8" t="n"/>
      <c r="M343" s="7" t="n"/>
      <c r="N343" s="7" t="n"/>
      <c r="O343" s="9">
        <f>IF(NOT(ISNUMBER($M343)),"",IF($L343="Fine earth / fine-earth volume",$M343*(1-IF(ISNUMBER($K343),$K343,0)/100),$M343))</f>
        <v/>
      </c>
      <c r="P343" s="9">
        <f>IF(OR(NOT(ISNUMBER($O343)),NOT(ISNUMBER($N343)),NOT(ISNUMBER($F343))),"",$O343*($N343/100)*$F343*10)</f>
        <v/>
      </c>
      <c r="Q343" s="9">
        <f>IF(OR(NOT(ISNUMBER($D343)),NOT(ISNUMBER($E343))),"",MAX(0,MIN($E343,SOIL_REPORTING_DEPTH_CM)-MIN($D343,SOIL_REPORTING_DEPTH_CM)))</f>
        <v/>
      </c>
      <c r="R343" s="9">
        <f>IF(OR(NOT(ISNUMBER($O343)),NOT(ISNUMBER($N343)),NOT(ISNUMBER($Q343))),"",$O343*($N343/100)*$Q343*10)</f>
        <v/>
      </c>
      <c r="S343" s="11">
        <f>IF(AND($A343="",$B343="",$D343=""),"",IF(AND($A343&lt;&gt;"",COUNTIF('1. Plot &amp; Site Log'!$A$5:$A$64,$A343)=0),"Plot ID not in the Plot &amp; Site Log. ","")&amp;IF(AND(ISNUMBER($D343),ISNUMBER($E343),$E343&lt;=$D343),"Bottom depth is not below top depth. ","")&amp;IF($L343="Not confirmed","Bulk-density basis not confirmed with the lab — the coarse-fragment correction may be wrong or doubled. ","")&amp;IF(AND(ISNUMBER($M343),OR($M343&lt;QC_BD_MIN,$M343&gt;QC_BD_MAX)),"Bulk density outside the plausible range for a mineral grassland soil. ","")&amp;IF(AND(ISNUMBER($N343),$N343&gt;QC_CARBON_PCT_MAX),"Organic carbon above the QC ceiling — check units, and whether this is an organic horizon. ","")&amp;IF(AND(ISNUMBER($J343),$J343&lt;QC_RECOVERY_MIN),"Recovered less than the QC minimum of the depth driven — the increments may not sit where you think. Do NOT stretch them back out. ","")&amp;IF(AND(ISNUMBER($K343),$K343&gt;0,$L343="Fine earth / total volume"),"Coarse fragments recorded and the lab basis already accounts for them — no further correction applied, which is correct. ",""))</f>
        <v/>
      </c>
      <c r="T343" s="6" t="n"/>
      <c r="U343" s="9">
        <f>IF($B343="",0,IF(COUNTIFS($B$5:$B343,$B343)=1,1,0))</f>
        <v/>
      </c>
    </row>
    <row r="344">
      <c r="A344" s="6" t="n"/>
      <c r="B344" s="6" t="n"/>
      <c r="C344" s="6" t="n"/>
      <c r="D344" s="6" t="n"/>
      <c r="E344" s="6" t="n"/>
      <c r="F344" s="9">
        <f>IF(OR($D344="",$E344=""),"",$E344-$D344)</f>
        <v/>
      </c>
      <c r="G344" s="6" t="n"/>
      <c r="H344" s="6" t="n"/>
      <c r="I344" s="6" t="n"/>
      <c r="J344" s="9">
        <f>IF(OR(NOT(ISNUMBER($H344)),NOT(ISNUMBER($I344)),$H344=0),"",$I344/$H344)</f>
        <v/>
      </c>
      <c r="K344" s="6" t="n"/>
      <c r="L344" s="8" t="n"/>
      <c r="M344" s="7" t="n"/>
      <c r="N344" s="7" t="n"/>
      <c r="O344" s="9">
        <f>IF(NOT(ISNUMBER($M344)),"",IF($L344="Fine earth / fine-earth volume",$M344*(1-IF(ISNUMBER($K344),$K344,0)/100),$M344))</f>
        <v/>
      </c>
      <c r="P344" s="9">
        <f>IF(OR(NOT(ISNUMBER($O344)),NOT(ISNUMBER($N344)),NOT(ISNUMBER($F344))),"",$O344*($N344/100)*$F344*10)</f>
        <v/>
      </c>
      <c r="Q344" s="9">
        <f>IF(OR(NOT(ISNUMBER($D344)),NOT(ISNUMBER($E344))),"",MAX(0,MIN($E344,SOIL_REPORTING_DEPTH_CM)-MIN($D344,SOIL_REPORTING_DEPTH_CM)))</f>
        <v/>
      </c>
      <c r="R344" s="9">
        <f>IF(OR(NOT(ISNUMBER($O344)),NOT(ISNUMBER($N344)),NOT(ISNUMBER($Q344))),"",$O344*($N344/100)*$Q344*10)</f>
        <v/>
      </c>
      <c r="S344" s="11">
        <f>IF(AND($A344="",$B344="",$D344=""),"",IF(AND($A344&lt;&gt;"",COUNTIF('1. Plot &amp; Site Log'!$A$5:$A$64,$A344)=0),"Plot ID not in the Plot &amp; Site Log. ","")&amp;IF(AND(ISNUMBER($D344),ISNUMBER($E344),$E344&lt;=$D344),"Bottom depth is not below top depth. ","")&amp;IF($L344="Not confirmed","Bulk-density basis not confirmed with the lab — the coarse-fragment correction may be wrong or doubled. ","")&amp;IF(AND(ISNUMBER($M344),OR($M344&lt;QC_BD_MIN,$M344&gt;QC_BD_MAX)),"Bulk density outside the plausible range for a mineral grassland soil. ","")&amp;IF(AND(ISNUMBER($N344),$N344&gt;QC_CARBON_PCT_MAX),"Organic carbon above the QC ceiling — check units, and whether this is an organic horizon. ","")&amp;IF(AND(ISNUMBER($J344),$J344&lt;QC_RECOVERY_MIN),"Recovered less than the QC minimum of the depth driven — the increments may not sit where you think. Do NOT stretch them back out. ","")&amp;IF(AND(ISNUMBER($K344),$K344&gt;0,$L344="Fine earth / total volume"),"Coarse fragments recorded and the lab basis already accounts for them — no further correction applied, which is correct. ",""))</f>
        <v/>
      </c>
      <c r="T344" s="6" t="n"/>
      <c r="U344" s="9">
        <f>IF($B344="",0,IF(COUNTIFS($B$5:$B344,$B344)=1,1,0))</f>
        <v/>
      </c>
    </row>
    <row r="345">
      <c r="A345" s="6" t="n"/>
      <c r="B345" s="6" t="n"/>
      <c r="C345" s="6" t="n"/>
      <c r="D345" s="6" t="n"/>
      <c r="E345" s="6" t="n"/>
      <c r="F345" s="9">
        <f>IF(OR($D345="",$E345=""),"",$E345-$D345)</f>
        <v/>
      </c>
      <c r="G345" s="6" t="n"/>
      <c r="H345" s="6" t="n"/>
      <c r="I345" s="6" t="n"/>
      <c r="J345" s="9">
        <f>IF(OR(NOT(ISNUMBER($H345)),NOT(ISNUMBER($I345)),$H345=0),"",$I345/$H345)</f>
        <v/>
      </c>
      <c r="K345" s="6" t="n"/>
      <c r="L345" s="8" t="n"/>
      <c r="M345" s="7" t="n"/>
      <c r="N345" s="7" t="n"/>
      <c r="O345" s="9">
        <f>IF(NOT(ISNUMBER($M345)),"",IF($L345="Fine earth / fine-earth volume",$M345*(1-IF(ISNUMBER($K345),$K345,0)/100),$M345))</f>
        <v/>
      </c>
      <c r="P345" s="9">
        <f>IF(OR(NOT(ISNUMBER($O345)),NOT(ISNUMBER($N345)),NOT(ISNUMBER($F345))),"",$O345*($N345/100)*$F345*10)</f>
        <v/>
      </c>
      <c r="Q345" s="9">
        <f>IF(OR(NOT(ISNUMBER($D345)),NOT(ISNUMBER($E345))),"",MAX(0,MIN($E345,SOIL_REPORTING_DEPTH_CM)-MIN($D345,SOIL_REPORTING_DEPTH_CM)))</f>
        <v/>
      </c>
      <c r="R345" s="9">
        <f>IF(OR(NOT(ISNUMBER($O345)),NOT(ISNUMBER($N345)),NOT(ISNUMBER($Q345))),"",$O345*($N345/100)*$Q345*10)</f>
        <v/>
      </c>
      <c r="S345" s="11">
        <f>IF(AND($A345="",$B345="",$D345=""),"",IF(AND($A345&lt;&gt;"",COUNTIF('1. Plot &amp; Site Log'!$A$5:$A$64,$A345)=0),"Plot ID not in the Plot &amp; Site Log. ","")&amp;IF(AND(ISNUMBER($D345),ISNUMBER($E345),$E345&lt;=$D345),"Bottom depth is not below top depth. ","")&amp;IF($L345="Not confirmed","Bulk-density basis not confirmed with the lab — the coarse-fragment correction may be wrong or doubled. ","")&amp;IF(AND(ISNUMBER($M345),OR($M345&lt;QC_BD_MIN,$M345&gt;QC_BD_MAX)),"Bulk density outside the plausible range for a mineral grassland soil. ","")&amp;IF(AND(ISNUMBER($N345),$N345&gt;QC_CARBON_PCT_MAX),"Organic carbon above the QC ceiling — check units, and whether this is an organic horizon. ","")&amp;IF(AND(ISNUMBER($J345),$J345&lt;QC_RECOVERY_MIN),"Recovered less than the QC minimum of the depth driven — the increments may not sit where you think. Do NOT stretch them back out. ","")&amp;IF(AND(ISNUMBER($K345),$K345&gt;0,$L345="Fine earth / total volume"),"Coarse fragments recorded and the lab basis already accounts for them — no further correction applied, which is correct. ",""))</f>
        <v/>
      </c>
      <c r="T345" s="6" t="n"/>
      <c r="U345" s="9">
        <f>IF($B345="",0,IF(COUNTIFS($B$5:$B345,$B345)=1,1,0))</f>
        <v/>
      </c>
    </row>
    <row r="346">
      <c r="A346" s="6" t="n"/>
      <c r="B346" s="6" t="n"/>
      <c r="C346" s="6" t="n"/>
      <c r="D346" s="6" t="n"/>
      <c r="E346" s="6" t="n"/>
      <c r="F346" s="9">
        <f>IF(OR($D346="",$E346=""),"",$E346-$D346)</f>
        <v/>
      </c>
      <c r="G346" s="6" t="n"/>
      <c r="H346" s="6" t="n"/>
      <c r="I346" s="6" t="n"/>
      <c r="J346" s="9">
        <f>IF(OR(NOT(ISNUMBER($H346)),NOT(ISNUMBER($I346)),$H346=0),"",$I346/$H346)</f>
        <v/>
      </c>
      <c r="K346" s="6" t="n"/>
      <c r="L346" s="8" t="n"/>
      <c r="M346" s="7" t="n"/>
      <c r="N346" s="7" t="n"/>
      <c r="O346" s="9">
        <f>IF(NOT(ISNUMBER($M346)),"",IF($L346="Fine earth / fine-earth volume",$M346*(1-IF(ISNUMBER($K346),$K346,0)/100),$M346))</f>
        <v/>
      </c>
      <c r="P346" s="9">
        <f>IF(OR(NOT(ISNUMBER($O346)),NOT(ISNUMBER($N346)),NOT(ISNUMBER($F346))),"",$O346*($N346/100)*$F346*10)</f>
        <v/>
      </c>
      <c r="Q346" s="9">
        <f>IF(OR(NOT(ISNUMBER($D346)),NOT(ISNUMBER($E346))),"",MAX(0,MIN($E346,SOIL_REPORTING_DEPTH_CM)-MIN($D346,SOIL_REPORTING_DEPTH_CM)))</f>
        <v/>
      </c>
      <c r="R346" s="9">
        <f>IF(OR(NOT(ISNUMBER($O346)),NOT(ISNUMBER($N346)),NOT(ISNUMBER($Q346))),"",$O346*($N346/100)*$Q346*10)</f>
        <v/>
      </c>
      <c r="S346" s="11">
        <f>IF(AND($A346="",$B346="",$D346=""),"",IF(AND($A346&lt;&gt;"",COUNTIF('1. Plot &amp; Site Log'!$A$5:$A$64,$A346)=0),"Plot ID not in the Plot &amp; Site Log. ","")&amp;IF(AND(ISNUMBER($D346),ISNUMBER($E346),$E346&lt;=$D346),"Bottom depth is not below top depth. ","")&amp;IF($L346="Not confirmed","Bulk-density basis not confirmed with the lab — the coarse-fragment correction may be wrong or doubled. ","")&amp;IF(AND(ISNUMBER($M346),OR($M346&lt;QC_BD_MIN,$M346&gt;QC_BD_MAX)),"Bulk density outside the plausible range for a mineral grassland soil. ","")&amp;IF(AND(ISNUMBER($N346),$N346&gt;QC_CARBON_PCT_MAX),"Organic carbon above the QC ceiling — check units, and whether this is an organic horizon. ","")&amp;IF(AND(ISNUMBER($J346),$J346&lt;QC_RECOVERY_MIN),"Recovered less than the QC minimum of the depth driven — the increments may not sit where you think. Do NOT stretch them back out. ","")&amp;IF(AND(ISNUMBER($K346),$K346&gt;0,$L346="Fine earth / total volume"),"Coarse fragments recorded and the lab basis already accounts for them — no further correction applied, which is correct. ",""))</f>
        <v/>
      </c>
      <c r="T346" s="6" t="n"/>
      <c r="U346" s="9">
        <f>IF($B346="",0,IF(COUNTIFS($B$5:$B346,$B346)=1,1,0))</f>
        <v/>
      </c>
    </row>
    <row r="347">
      <c r="A347" s="6" t="n"/>
      <c r="B347" s="6" t="n"/>
      <c r="C347" s="6" t="n"/>
      <c r="D347" s="6" t="n"/>
      <c r="E347" s="6" t="n"/>
      <c r="F347" s="9">
        <f>IF(OR($D347="",$E347=""),"",$E347-$D347)</f>
        <v/>
      </c>
      <c r="G347" s="6" t="n"/>
      <c r="H347" s="6" t="n"/>
      <c r="I347" s="6" t="n"/>
      <c r="J347" s="9">
        <f>IF(OR(NOT(ISNUMBER($H347)),NOT(ISNUMBER($I347)),$H347=0),"",$I347/$H347)</f>
        <v/>
      </c>
      <c r="K347" s="6" t="n"/>
      <c r="L347" s="8" t="n"/>
      <c r="M347" s="7" t="n"/>
      <c r="N347" s="7" t="n"/>
      <c r="O347" s="9">
        <f>IF(NOT(ISNUMBER($M347)),"",IF($L347="Fine earth / fine-earth volume",$M347*(1-IF(ISNUMBER($K347),$K347,0)/100),$M347))</f>
        <v/>
      </c>
      <c r="P347" s="9">
        <f>IF(OR(NOT(ISNUMBER($O347)),NOT(ISNUMBER($N347)),NOT(ISNUMBER($F347))),"",$O347*($N347/100)*$F347*10)</f>
        <v/>
      </c>
      <c r="Q347" s="9">
        <f>IF(OR(NOT(ISNUMBER($D347)),NOT(ISNUMBER($E347))),"",MAX(0,MIN($E347,SOIL_REPORTING_DEPTH_CM)-MIN($D347,SOIL_REPORTING_DEPTH_CM)))</f>
        <v/>
      </c>
      <c r="R347" s="9">
        <f>IF(OR(NOT(ISNUMBER($O347)),NOT(ISNUMBER($N347)),NOT(ISNUMBER($Q347))),"",$O347*($N347/100)*$Q347*10)</f>
        <v/>
      </c>
      <c r="S347" s="11">
        <f>IF(AND($A347="",$B347="",$D347=""),"",IF(AND($A347&lt;&gt;"",COUNTIF('1. Plot &amp; Site Log'!$A$5:$A$64,$A347)=0),"Plot ID not in the Plot &amp; Site Log. ","")&amp;IF(AND(ISNUMBER($D347),ISNUMBER($E347),$E347&lt;=$D347),"Bottom depth is not below top depth. ","")&amp;IF($L347="Not confirmed","Bulk-density basis not confirmed with the lab — the coarse-fragment correction may be wrong or doubled. ","")&amp;IF(AND(ISNUMBER($M347),OR($M347&lt;QC_BD_MIN,$M347&gt;QC_BD_MAX)),"Bulk density outside the plausible range for a mineral grassland soil. ","")&amp;IF(AND(ISNUMBER($N347),$N347&gt;QC_CARBON_PCT_MAX),"Organic carbon above the QC ceiling — check units, and whether this is an organic horizon. ","")&amp;IF(AND(ISNUMBER($J347),$J347&lt;QC_RECOVERY_MIN),"Recovered less than the QC minimum of the depth driven — the increments may not sit where you think. Do NOT stretch them back out. ","")&amp;IF(AND(ISNUMBER($K347),$K347&gt;0,$L347="Fine earth / total volume"),"Coarse fragments recorded and the lab basis already accounts for them — no further correction applied, which is correct. ",""))</f>
        <v/>
      </c>
      <c r="T347" s="6" t="n"/>
      <c r="U347" s="9">
        <f>IF($B347="",0,IF(COUNTIFS($B$5:$B347,$B347)=1,1,0))</f>
        <v/>
      </c>
    </row>
    <row r="348">
      <c r="A348" s="6" t="n"/>
      <c r="B348" s="6" t="n"/>
      <c r="C348" s="6" t="n"/>
      <c r="D348" s="6" t="n"/>
      <c r="E348" s="6" t="n"/>
      <c r="F348" s="9">
        <f>IF(OR($D348="",$E348=""),"",$E348-$D348)</f>
        <v/>
      </c>
      <c r="G348" s="6" t="n"/>
      <c r="H348" s="6" t="n"/>
      <c r="I348" s="6" t="n"/>
      <c r="J348" s="9">
        <f>IF(OR(NOT(ISNUMBER($H348)),NOT(ISNUMBER($I348)),$H348=0),"",$I348/$H348)</f>
        <v/>
      </c>
      <c r="K348" s="6" t="n"/>
      <c r="L348" s="8" t="n"/>
      <c r="M348" s="7" t="n"/>
      <c r="N348" s="7" t="n"/>
      <c r="O348" s="9">
        <f>IF(NOT(ISNUMBER($M348)),"",IF($L348="Fine earth / fine-earth volume",$M348*(1-IF(ISNUMBER($K348),$K348,0)/100),$M348))</f>
        <v/>
      </c>
      <c r="P348" s="9">
        <f>IF(OR(NOT(ISNUMBER($O348)),NOT(ISNUMBER($N348)),NOT(ISNUMBER($F348))),"",$O348*($N348/100)*$F348*10)</f>
        <v/>
      </c>
      <c r="Q348" s="9">
        <f>IF(OR(NOT(ISNUMBER($D348)),NOT(ISNUMBER($E348))),"",MAX(0,MIN($E348,SOIL_REPORTING_DEPTH_CM)-MIN($D348,SOIL_REPORTING_DEPTH_CM)))</f>
        <v/>
      </c>
      <c r="R348" s="9">
        <f>IF(OR(NOT(ISNUMBER($O348)),NOT(ISNUMBER($N348)),NOT(ISNUMBER($Q348))),"",$O348*($N348/100)*$Q348*10)</f>
        <v/>
      </c>
      <c r="S348" s="11">
        <f>IF(AND($A348="",$B348="",$D348=""),"",IF(AND($A348&lt;&gt;"",COUNTIF('1. Plot &amp; Site Log'!$A$5:$A$64,$A348)=0),"Plot ID not in the Plot &amp; Site Log. ","")&amp;IF(AND(ISNUMBER($D348),ISNUMBER($E348),$E348&lt;=$D348),"Bottom depth is not below top depth. ","")&amp;IF($L348="Not confirmed","Bulk-density basis not confirmed with the lab — the coarse-fragment correction may be wrong or doubled. ","")&amp;IF(AND(ISNUMBER($M348),OR($M348&lt;QC_BD_MIN,$M348&gt;QC_BD_MAX)),"Bulk density outside the plausible range for a mineral grassland soil. ","")&amp;IF(AND(ISNUMBER($N348),$N348&gt;QC_CARBON_PCT_MAX),"Organic carbon above the QC ceiling — check units, and whether this is an organic horizon. ","")&amp;IF(AND(ISNUMBER($J348),$J348&lt;QC_RECOVERY_MIN),"Recovered less than the QC minimum of the depth driven — the increments may not sit where you think. Do NOT stretch them back out. ","")&amp;IF(AND(ISNUMBER($K348),$K348&gt;0,$L348="Fine earth / total volume"),"Coarse fragments recorded and the lab basis already accounts for them — no further correction applied, which is correct. ",""))</f>
        <v/>
      </c>
      <c r="T348" s="6" t="n"/>
      <c r="U348" s="9">
        <f>IF($B348="",0,IF(COUNTIFS($B$5:$B348,$B348)=1,1,0))</f>
        <v/>
      </c>
    </row>
    <row r="349">
      <c r="A349" s="6" t="n"/>
      <c r="B349" s="6" t="n"/>
      <c r="C349" s="6" t="n"/>
      <c r="D349" s="6" t="n"/>
      <c r="E349" s="6" t="n"/>
      <c r="F349" s="9">
        <f>IF(OR($D349="",$E349=""),"",$E349-$D349)</f>
        <v/>
      </c>
      <c r="G349" s="6" t="n"/>
      <c r="H349" s="6" t="n"/>
      <c r="I349" s="6" t="n"/>
      <c r="J349" s="9">
        <f>IF(OR(NOT(ISNUMBER($H349)),NOT(ISNUMBER($I349)),$H349=0),"",$I349/$H349)</f>
        <v/>
      </c>
      <c r="K349" s="6" t="n"/>
      <c r="L349" s="8" t="n"/>
      <c r="M349" s="7" t="n"/>
      <c r="N349" s="7" t="n"/>
      <c r="O349" s="9">
        <f>IF(NOT(ISNUMBER($M349)),"",IF($L349="Fine earth / fine-earth volume",$M349*(1-IF(ISNUMBER($K349),$K349,0)/100),$M349))</f>
        <v/>
      </c>
      <c r="P349" s="9">
        <f>IF(OR(NOT(ISNUMBER($O349)),NOT(ISNUMBER($N349)),NOT(ISNUMBER($F349))),"",$O349*($N349/100)*$F349*10)</f>
        <v/>
      </c>
      <c r="Q349" s="9">
        <f>IF(OR(NOT(ISNUMBER($D349)),NOT(ISNUMBER($E349))),"",MAX(0,MIN($E349,SOIL_REPORTING_DEPTH_CM)-MIN($D349,SOIL_REPORTING_DEPTH_CM)))</f>
        <v/>
      </c>
      <c r="R349" s="9">
        <f>IF(OR(NOT(ISNUMBER($O349)),NOT(ISNUMBER($N349)),NOT(ISNUMBER($Q349))),"",$O349*($N349/100)*$Q349*10)</f>
        <v/>
      </c>
      <c r="S349" s="11">
        <f>IF(AND($A349="",$B349="",$D349=""),"",IF(AND($A349&lt;&gt;"",COUNTIF('1. Plot &amp; Site Log'!$A$5:$A$64,$A349)=0),"Plot ID not in the Plot &amp; Site Log. ","")&amp;IF(AND(ISNUMBER($D349),ISNUMBER($E349),$E349&lt;=$D349),"Bottom depth is not below top depth. ","")&amp;IF($L349="Not confirmed","Bulk-density basis not confirmed with the lab — the coarse-fragment correction may be wrong or doubled. ","")&amp;IF(AND(ISNUMBER($M349),OR($M349&lt;QC_BD_MIN,$M349&gt;QC_BD_MAX)),"Bulk density outside the plausible range for a mineral grassland soil. ","")&amp;IF(AND(ISNUMBER($N349),$N349&gt;QC_CARBON_PCT_MAX),"Organic carbon above the QC ceiling — check units, and whether this is an organic horizon. ","")&amp;IF(AND(ISNUMBER($J349),$J349&lt;QC_RECOVERY_MIN),"Recovered less than the QC minimum of the depth driven — the increments may not sit where you think. Do NOT stretch them back out. ","")&amp;IF(AND(ISNUMBER($K349),$K349&gt;0,$L349="Fine earth / total volume"),"Coarse fragments recorded and the lab basis already accounts for them — no further correction applied, which is correct. ",""))</f>
        <v/>
      </c>
      <c r="T349" s="6" t="n"/>
      <c r="U349" s="9">
        <f>IF($B349="",0,IF(COUNTIFS($B$5:$B349,$B349)=1,1,0))</f>
        <v/>
      </c>
    </row>
    <row r="350">
      <c r="A350" s="6" t="n"/>
      <c r="B350" s="6" t="n"/>
      <c r="C350" s="6" t="n"/>
      <c r="D350" s="6" t="n"/>
      <c r="E350" s="6" t="n"/>
      <c r="F350" s="9">
        <f>IF(OR($D350="",$E350=""),"",$E350-$D350)</f>
        <v/>
      </c>
      <c r="G350" s="6" t="n"/>
      <c r="H350" s="6" t="n"/>
      <c r="I350" s="6" t="n"/>
      <c r="J350" s="9">
        <f>IF(OR(NOT(ISNUMBER($H350)),NOT(ISNUMBER($I350)),$H350=0),"",$I350/$H350)</f>
        <v/>
      </c>
      <c r="K350" s="6" t="n"/>
      <c r="L350" s="8" t="n"/>
      <c r="M350" s="7" t="n"/>
      <c r="N350" s="7" t="n"/>
      <c r="O350" s="9">
        <f>IF(NOT(ISNUMBER($M350)),"",IF($L350="Fine earth / fine-earth volume",$M350*(1-IF(ISNUMBER($K350),$K350,0)/100),$M350))</f>
        <v/>
      </c>
      <c r="P350" s="9">
        <f>IF(OR(NOT(ISNUMBER($O350)),NOT(ISNUMBER($N350)),NOT(ISNUMBER($F350))),"",$O350*($N350/100)*$F350*10)</f>
        <v/>
      </c>
      <c r="Q350" s="9">
        <f>IF(OR(NOT(ISNUMBER($D350)),NOT(ISNUMBER($E350))),"",MAX(0,MIN($E350,SOIL_REPORTING_DEPTH_CM)-MIN($D350,SOIL_REPORTING_DEPTH_CM)))</f>
        <v/>
      </c>
      <c r="R350" s="9">
        <f>IF(OR(NOT(ISNUMBER($O350)),NOT(ISNUMBER($N350)),NOT(ISNUMBER($Q350))),"",$O350*($N350/100)*$Q350*10)</f>
        <v/>
      </c>
      <c r="S350" s="11">
        <f>IF(AND($A350="",$B350="",$D350=""),"",IF(AND($A350&lt;&gt;"",COUNTIF('1. Plot &amp; Site Log'!$A$5:$A$64,$A350)=0),"Plot ID not in the Plot &amp; Site Log. ","")&amp;IF(AND(ISNUMBER($D350),ISNUMBER($E350),$E350&lt;=$D350),"Bottom depth is not below top depth. ","")&amp;IF($L350="Not confirmed","Bulk-density basis not confirmed with the lab — the coarse-fragment correction may be wrong or doubled. ","")&amp;IF(AND(ISNUMBER($M350),OR($M350&lt;QC_BD_MIN,$M350&gt;QC_BD_MAX)),"Bulk density outside the plausible range for a mineral grassland soil. ","")&amp;IF(AND(ISNUMBER($N350),$N350&gt;QC_CARBON_PCT_MAX),"Organic carbon above the QC ceiling — check units, and whether this is an organic horizon. ","")&amp;IF(AND(ISNUMBER($J350),$J350&lt;QC_RECOVERY_MIN),"Recovered less than the QC minimum of the depth driven — the increments may not sit where you think. Do NOT stretch them back out. ","")&amp;IF(AND(ISNUMBER($K350),$K350&gt;0,$L350="Fine earth / total volume"),"Coarse fragments recorded and the lab basis already accounts for them — no further correction applied, which is correct. ",""))</f>
        <v/>
      </c>
      <c r="T350" s="6" t="n"/>
      <c r="U350" s="9">
        <f>IF($B350="",0,IF(COUNTIFS($B$5:$B350,$B350)=1,1,0))</f>
        <v/>
      </c>
    </row>
    <row r="351">
      <c r="A351" s="6" t="n"/>
      <c r="B351" s="6" t="n"/>
      <c r="C351" s="6" t="n"/>
      <c r="D351" s="6" t="n"/>
      <c r="E351" s="6" t="n"/>
      <c r="F351" s="9">
        <f>IF(OR($D351="",$E351=""),"",$E351-$D351)</f>
        <v/>
      </c>
      <c r="G351" s="6" t="n"/>
      <c r="H351" s="6" t="n"/>
      <c r="I351" s="6" t="n"/>
      <c r="J351" s="9">
        <f>IF(OR(NOT(ISNUMBER($H351)),NOT(ISNUMBER($I351)),$H351=0),"",$I351/$H351)</f>
        <v/>
      </c>
      <c r="K351" s="6" t="n"/>
      <c r="L351" s="8" t="n"/>
      <c r="M351" s="7" t="n"/>
      <c r="N351" s="7" t="n"/>
      <c r="O351" s="9">
        <f>IF(NOT(ISNUMBER($M351)),"",IF($L351="Fine earth / fine-earth volume",$M351*(1-IF(ISNUMBER($K351),$K351,0)/100),$M351))</f>
        <v/>
      </c>
      <c r="P351" s="9">
        <f>IF(OR(NOT(ISNUMBER($O351)),NOT(ISNUMBER($N351)),NOT(ISNUMBER($F351))),"",$O351*($N351/100)*$F351*10)</f>
        <v/>
      </c>
      <c r="Q351" s="9">
        <f>IF(OR(NOT(ISNUMBER($D351)),NOT(ISNUMBER($E351))),"",MAX(0,MIN($E351,SOIL_REPORTING_DEPTH_CM)-MIN($D351,SOIL_REPORTING_DEPTH_CM)))</f>
        <v/>
      </c>
      <c r="R351" s="9">
        <f>IF(OR(NOT(ISNUMBER($O351)),NOT(ISNUMBER($N351)),NOT(ISNUMBER($Q351))),"",$O351*($N351/100)*$Q351*10)</f>
        <v/>
      </c>
      <c r="S351" s="11">
        <f>IF(AND($A351="",$B351="",$D351=""),"",IF(AND($A351&lt;&gt;"",COUNTIF('1. Plot &amp; Site Log'!$A$5:$A$64,$A351)=0),"Plot ID not in the Plot &amp; Site Log. ","")&amp;IF(AND(ISNUMBER($D351),ISNUMBER($E351),$E351&lt;=$D351),"Bottom depth is not below top depth. ","")&amp;IF($L351="Not confirmed","Bulk-density basis not confirmed with the lab — the coarse-fragment correction may be wrong or doubled. ","")&amp;IF(AND(ISNUMBER($M351),OR($M351&lt;QC_BD_MIN,$M351&gt;QC_BD_MAX)),"Bulk density outside the plausible range for a mineral grassland soil. ","")&amp;IF(AND(ISNUMBER($N351),$N351&gt;QC_CARBON_PCT_MAX),"Organic carbon above the QC ceiling — check units, and whether this is an organic horizon. ","")&amp;IF(AND(ISNUMBER($J351),$J351&lt;QC_RECOVERY_MIN),"Recovered less than the QC minimum of the depth driven — the increments may not sit where you think. Do NOT stretch them back out. ","")&amp;IF(AND(ISNUMBER($K351),$K351&gt;0,$L351="Fine earth / total volume"),"Coarse fragments recorded and the lab basis already accounts for them — no further correction applied, which is correct. ",""))</f>
        <v/>
      </c>
      <c r="T351" s="6" t="n"/>
      <c r="U351" s="9">
        <f>IF($B351="",0,IF(COUNTIFS($B$5:$B351,$B351)=1,1,0))</f>
        <v/>
      </c>
    </row>
    <row r="352">
      <c r="A352" s="6" t="n"/>
      <c r="B352" s="6" t="n"/>
      <c r="C352" s="6" t="n"/>
      <c r="D352" s="6" t="n"/>
      <c r="E352" s="6" t="n"/>
      <c r="F352" s="9">
        <f>IF(OR($D352="",$E352=""),"",$E352-$D352)</f>
        <v/>
      </c>
      <c r="G352" s="6" t="n"/>
      <c r="H352" s="6" t="n"/>
      <c r="I352" s="6" t="n"/>
      <c r="J352" s="9">
        <f>IF(OR(NOT(ISNUMBER($H352)),NOT(ISNUMBER($I352)),$H352=0),"",$I352/$H352)</f>
        <v/>
      </c>
      <c r="K352" s="6" t="n"/>
      <c r="L352" s="8" t="n"/>
      <c r="M352" s="7" t="n"/>
      <c r="N352" s="7" t="n"/>
      <c r="O352" s="9">
        <f>IF(NOT(ISNUMBER($M352)),"",IF($L352="Fine earth / fine-earth volume",$M352*(1-IF(ISNUMBER($K352),$K352,0)/100),$M352))</f>
        <v/>
      </c>
      <c r="P352" s="9">
        <f>IF(OR(NOT(ISNUMBER($O352)),NOT(ISNUMBER($N352)),NOT(ISNUMBER($F352))),"",$O352*($N352/100)*$F352*10)</f>
        <v/>
      </c>
      <c r="Q352" s="9">
        <f>IF(OR(NOT(ISNUMBER($D352)),NOT(ISNUMBER($E352))),"",MAX(0,MIN($E352,SOIL_REPORTING_DEPTH_CM)-MIN($D352,SOIL_REPORTING_DEPTH_CM)))</f>
        <v/>
      </c>
      <c r="R352" s="9">
        <f>IF(OR(NOT(ISNUMBER($O352)),NOT(ISNUMBER($N352)),NOT(ISNUMBER($Q352))),"",$O352*($N352/100)*$Q352*10)</f>
        <v/>
      </c>
      <c r="S352" s="11">
        <f>IF(AND($A352="",$B352="",$D352=""),"",IF(AND($A352&lt;&gt;"",COUNTIF('1. Plot &amp; Site Log'!$A$5:$A$64,$A352)=0),"Plot ID not in the Plot &amp; Site Log. ","")&amp;IF(AND(ISNUMBER($D352),ISNUMBER($E352),$E352&lt;=$D352),"Bottom depth is not below top depth. ","")&amp;IF($L352="Not confirmed","Bulk-density basis not confirmed with the lab — the coarse-fragment correction may be wrong or doubled. ","")&amp;IF(AND(ISNUMBER($M352),OR($M352&lt;QC_BD_MIN,$M352&gt;QC_BD_MAX)),"Bulk density outside the plausible range for a mineral grassland soil. ","")&amp;IF(AND(ISNUMBER($N352),$N352&gt;QC_CARBON_PCT_MAX),"Organic carbon above the QC ceiling — check units, and whether this is an organic horizon. ","")&amp;IF(AND(ISNUMBER($J352),$J352&lt;QC_RECOVERY_MIN),"Recovered less than the QC minimum of the depth driven — the increments may not sit where you think. Do NOT stretch them back out. ","")&amp;IF(AND(ISNUMBER($K352),$K352&gt;0,$L352="Fine earth / total volume"),"Coarse fragments recorded and the lab basis already accounts for them — no further correction applied, which is correct. ",""))</f>
        <v/>
      </c>
      <c r="T352" s="6" t="n"/>
      <c r="U352" s="9">
        <f>IF($B352="",0,IF(COUNTIFS($B$5:$B352,$B352)=1,1,0))</f>
        <v/>
      </c>
    </row>
    <row r="353">
      <c r="A353" s="6" t="n"/>
      <c r="B353" s="6" t="n"/>
      <c r="C353" s="6" t="n"/>
      <c r="D353" s="6" t="n"/>
      <c r="E353" s="6" t="n"/>
      <c r="F353" s="9">
        <f>IF(OR($D353="",$E353=""),"",$E353-$D353)</f>
        <v/>
      </c>
      <c r="G353" s="6" t="n"/>
      <c r="H353" s="6" t="n"/>
      <c r="I353" s="6" t="n"/>
      <c r="J353" s="9">
        <f>IF(OR(NOT(ISNUMBER($H353)),NOT(ISNUMBER($I353)),$H353=0),"",$I353/$H353)</f>
        <v/>
      </c>
      <c r="K353" s="6" t="n"/>
      <c r="L353" s="8" t="n"/>
      <c r="M353" s="7" t="n"/>
      <c r="N353" s="7" t="n"/>
      <c r="O353" s="9">
        <f>IF(NOT(ISNUMBER($M353)),"",IF($L353="Fine earth / fine-earth volume",$M353*(1-IF(ISNUMBER($K353),$K353,0)/100),$M353))</f>
        <v/>
      </c>
      <c r="P353" s="9">
        <f>IF(OR(NOT(ISNUMBER($O353)),NOT(ISNUMBER($N353)),NOT(ISNUMBER($F353))),"",$O353*($N353/100)*$F353*10)</f>
        <v/>
      </c>
      <c r="Q353" s="9">
        <f>IF(OR(NOT(ISNUMBER($D353)),NOT(ISNUMBER($E353))),"",MAX(0,MIN($E353,SOIL_REPORTING_DEPTH_CM)-MIN($D353,SOIL_REPORTING_DEPTH_CM)))</f>
        <v/>
      </c>
      <c r="R353" s="9">
        <f>IF(OR(NOT(ISNUMBER($O353)),NOT(ISNUMBER($N353)),NOT(ISNUMBER($Q353))),"",$O353*($N353/100)*$Q353*10)</f>
        <v/>
      </c>
      <c r="S353" s="11">
        <f>IF(AND($A353="",$B353="",$D353=""),"",IF(AND($A353&lt;&gt;"",COUNTIF('1. Plot &amp; Site Log'!$A$5:$A$64,$A353)=0),"Plot ID not in the Plot &amp; Site Log. ","")&amp;IF(AND(ISNUMBER($D353),ISNUMBER($E353),$E353&lt;=$D353),"Bottom depth is not below top depth. ","")&amp;IF($L353="Not confirmed","Bulk-density basis not confirmed with the lab — the coarse-fragment correction may be wrong or doubled. ","")&amp;IF(AND(ISNUMBER($M353),OR($M353&lt;QC_BD_MIN,$M353&gt;QC_BD_MAX)),"Bulk density outside the plausible range for a mineral grassland soil. ","")&amp;IF(AND(ISNUMBER($N353),$N353&gt;QC_CARBON_PCT_MAX),"Organic carbon above the QC ceiling — check units, and whether this is an organic horizon. ","")&amp;IF(AND(ISNUMBER($J353),$J353&lt;QC_RECOVERY_MIN),"Recovered less than the QC minimum of the depth driven — the increments may not sit where you think. Do NOT stretch them back out. ","")&amp;IF(AND(ISNUMBER($K353),$K353&gt;0,$L353="Fine earth / total volume"),"Coarse fragments recorded and the lab basis already accounts for them — no further correction applied, which is correct. ",""))</f>
        <v/>
      </c>
      <c r="T353" s="6" t="n"/>
      <c r="U353" s="9">
        <f>IF($B353="",0,IF(COUNTIFS($B$5:$B353,$B353)=1,1,0))</f>
        <v/>
      </c>
    </row>
    <row r="354">
      <c r="A354" s="6" t="n"/>
      <c r="B354" s="6" t="n"/>
      <c r="C354" s="6" t="n"/>
      <c r="D354" s="6" t="n"/>
      <c r="E354" s="6" t="n"/>
      <c r="F354" s="9">
        <f>IF(OR($D354="",$E354=""),"",$E354-$D354)</f>
        <v/>
      </c>
      <c r="G354" s="6" t="n"/>
      <c r="H354" s="6" t="n"/>
      <c r="I354" s="6" t="n"/>
      <c r="J354" s="9">
        <f>IF(OR(NOT(ISNUMBER($H354)),NOT(ISNUMBER($I354)),$H354=0),"",$I354/$H354)</f>
        <v/>
      </c>
      <c r="K354" s="6" t="n"/>
      <c r="L354" s="8" t="n"/>
      <c r="M354" s="7" t="n"/>
      <c r="N354" s="7" t="n"/>
      <c r="O354" s="9">
        <f>IF(NOT(ISNUMBER($M354)),"",IF($L354="Fine earth / fine-earth volume",$M354*(1-IF(ISNUMBER($K354),$K354,0)/100),$M354))</f>
        <v/>
      </c>
      <c r="P354" s="9">
        <f>IF(OR(NOT(ISNUMBER($O354)),NOT(ISNUMBER($N354)),NOT(ISNUMBER($F354))),"",$O354*($N354/100)*$F354*10)</f>
        <v/>
      </c>
      <c r="Q354" s="9">
        <f>IF(OR(NOT(ISNUMBER($D354)),NOT(ISNUMBER($E354))),"",MAX(0,MIN($E354,SOIL_REPORTING_DEPTH_CM)-MIN($D354,SOIL_REPORTING_DEPTH_CM)))</f>
        <v/>
      </c>
      <c r="R354" s="9">
        <f>IF(OR(NOT(ISNUMBER($O354)),NOT(ISNUMBER($N354)),NOT(ISNUMBER($Q354))),"",$O354*($N354/100)*$Q354*10)</f>
        <v/>
      </c>
      <c r="S354" s="11">
        <f>IF(AND($A354="",$B354="",$D354=""),"",IF(AND($A354&lt;&gt;"",COUNTIF('1. Plot &amp; Site Log'!$A$5:$A$64,$A354)=0),"Plot ID not in the Plot &amp; Site Log. ","")&amp;IF(AND(ISNUMBER($D354),ISNUMBER($E354),$E354&lt;=$D354),"Bottom depth is not below top depth. ","")&amp;IF($L354="Not confirmed","Bulk-density basis not confirmed with the lab — the coarse-fragment correction may be wrong or doubled. ","")&amp;IF(AND(ISNUMBER($M354),OR($M354&lt;QC_BD_MIN,$M354&gt;QC_BD_MAX)),"Bulk density outside the plausible range for a mineral grassland soil. ","")&amp;IF(AND(ISNUMBER($N354),$N354&gt;QC_CARBON_PCT_MAX),"Organic carbon above the QC ceiling — check units, and whether this is an organic horizon. ","")&amp;IF(AND(ISNUMBER($J354),$J354&lt;QC_RECOVERY_MIN),"Recovered less than the QC minimum of the depth driven — the increments may not sit where you think. Do NOT stretch them back out. ","")&amp;IF(AND(ISNUMBER($K354),$K354&gt;0,$L354="Fine earth / total volume"),"Coarse fragments recorded and the lab basis already accounts for them — no further correction applied, which is correct. ",""))</f>
        <v/>
      </c>
      <c r="T354" s="6" t="n"/>
      <c r="U354" s="9">
        <f>IF($B354="",0,IF(COUNTIFS($B$5:$B354,$B354)=1,1,0))</f>
        <v/>
      </c>
    </row>
    <row r="355">
      <c r="A355" s="6" t="n"/>
      <c r="B355" s="6" t="n"/>
      <c r="C355" s="6" t="n"/>
      <c r="D355" s="6" t="n"/>
      <c r="E355" s="6" t="n"/>
      <c r="F355" s="9">
        <f>IF(OR($D355="",$E355=""),"",$E355-$D355)</f>
        <v/>
      </c>
      <c r="G355" s="6" t="n"/>
      <c r="H355" s="6" t="n"/>
      <c r="I355" s="6" t="n"/>
      <c r="J355" s="9">
        <f>IF(OR(NOT(ISNUMBER($H355)),NOT(ISNUMBER($I355)),$H355=0),"",$I355/$H355)</f>
        <v/>
      </c>
      <c r="K355" s="6" t="n"/>
      <c r="L355" s="8" t="n"/>
      <c r="M355" s="7" t="n"/>
      <c r="N355" s="7" t="n"/>
      <c r="O355" s="9">
        <f>IF(NOT(ISNUMBER($M355)),"",IF($L355="Fine earth / fine-earth volume",$M355*(1-IF(ISNUMBER($K355),$K355,0)/100),$M355))</f>
        <v/>
      </c>
      <c r="P355" s="9">
        <f>IF(OR(NOT(ISNUMBER($O355)),NOT(ISNUMBER($N355)),NOT(ISNUMBER($F355))),"",$O355*($N355/100)*$F355*10)</f>
        <v/>
      </c>
      <c r="Q355" s="9">
        <f>IF(OR(NOT(ISNUMBER($D355)),NOT(ISNUMBER($E355))),"",MAX(0,MIN($E355,SOIL_REPORTING_DEPTH_CM)-MIN($D355,SOIL_REPORTING_DEPTH_CM)))</f>
        <v/>
      </c>
      <c r="R355" s="9">
        <f>IF(OR(NOT(ISNUMBER($O355)),NOT(ISNUMBER($N355)),NOT(ISNUMBER($Q355))),"",$O355*($N355/100)*$Q355*10)</f>
        <v/>
      </c>
      <c r="S355" s="11">
        <f>IF(AND($A355="",$B355="",$D355=""),"",IF(AND($A355&lt;&gt;"",COUNTIF('1. Plot &amp; Site Log'!$A$5:$A$64,$A355)=0),"Plot ID not in the Plot &amp; Site Log. ","")&amp;IF(AND(ISNUMBER($D355),ISNUMBER($E355),$E355&lt;=$D355),"Bottom depth is not below top depth. ","")&amp;IF($L355="Not confirmed","Bulk-density basis not confirmed with the lab — the coarse-fragment correction may be wrong or doubled. ","")&amp;IF(AND(ISNUMBER($M355),OR($M355&lt;QC_BD_MIN,$M355&gt;QC_BD_MAX)),"Bulk density outside the plausible range for a mineral grassland soil. ","")&amp;IF(AND(ISNUMBER($N355),$N355&gt;QC_CARBON_PCT_MAX),"Organic carbon above the QC ceiling — check units, and whether this is an organic horizon. ","")&amp;IF(AND(ISNUMBER($J355),$J355&lt;QC_RECOVERY_MIN),"Recovered less than the QC minimum of the depth driven — the increments may not sit where you think. Do NOT stretch them back out. ","")&amp;IF(AND(ISNUMBER($K355),$K355&gt;0,$L355="Fine earth / total volume"),"Coarse fragments recorded and the lab basis already accounts for them — no further correction applied, which is correct. ",""))</f>
        <v/>
      </c>
      <c r="T355" s="6" t="n"/>
      <c r="U355" s="9">
        <f>IF($B355="",0,IF(COUNTIFS($B$5:$B355,$B355)=1,1,0))</f>
        <v/>
      </c>
    </row>
    <row r="356">
      <c r="A356" s="6" t="n"/>
      <c r="B356" s="6" t="n"/>
      <c r="C356" s="6" t="n"/>
      <c r="D356" s="6" t="n"/>
      <c r="E356" s="6" t="n"/>
      <c r="F356" s="9">
        <f>IF(OR($D356="",$E356=""),"",$E356-$D356)</f>
        <v/>
      </c>
      <c r="G356" s="6" t="n"/>
      <c r="H356" s="6" t="n"/>
      <c r="I356" s="6" t="n"/>
      <c r="J356" s="9">
        <f>IF(OR(NOT(ISNUMBER($H356)),NOT(ISNUMBER($I356)),$H356=0),"",$I356/$H356)</f>
        <v/>
      </c>
      <c r="K356" s="6" t="n"/>
      <c r="L356" s="8" t="n"/>
      <c r="M356" s="7" t="n"/>
      <c r="N356" s="7" t="n"/>
      <c r="O356" s="9">
        <f>IF(NOT(ISNUMBER($M356)),"",IF($L356="Fine earth / fine-earth volume",$M356*(1-IF(ISNUMBER($K356),$K356,0)/100),$M356))</f>
        <v/>
      </c>
      <c r="P356" s="9">
        <f>IF(OR(NOT(ISNUMBER($O356)),NOT(ISNUMBER($N356)),NOT(ISNUMBER($F356))),"",$O356*($N356/100)*$F356*10)</f>
        <v/>
      </c>
      <c r="Q356" s="9">
        <f>IF(OR(NOT(ISNUMBER($D356)),NOT(ISNUMBER($E356))),"",MAX(0,MIN($E356,SOIL_REPORTING_DEPTH_CM)-MIN($D356,SOIL_REPORTING_DEPTH_CM)))</f>
        <v/>
      </c>
      <c r="R356" s="9">
        <f>IF(OR(NOT(ISNUMBER($O356)),NOT(ISNUMBER($N356)),NOT(ISNUMBER($Q356))),"",$O356*($N356/100)*$Q356*10)</f>
        <v/>
      </c>
      <c r="S356" s="11">
        <f>IF(AND($A356="",$B356="",$D356=""),"",IF(AND($A356&lt;&gt;"",COUNTIF('1. Plot &amp; Site Log'!$A$5:$A$64,$A356)=0),"Plot ID not in the Plot &amp; Site Log. ","")&amp;IF(AND(ISNUMBER($D356),ISNUMBER($E356),$E356&lt;=$D356),"Bottom depth is not below top depth. ","")&amp;IF($L356="Not confirmed","Bulk-density basis not confirmed with the lab — the coarse-fragment correction may be wrong or doubled. ","")&amp;IF(AND(ISNUMBER($M356),OR($M356&lt;QC_BD_MIN,$M356&gt;QC_BD_MAX)),"Bulk density outside the plausible range for a mineral grassland soil. ","")&amp;IF(AND(ISNUMBER($N356),$N356&gt;QC_CARBON_PCT_MAX),"Organic carbon above the QC ceiling — check units, and whether this is an organic horizon. ","")&amp;IF(AND(ISNUMBER($J356),$J356&lt;QC_RECOVERY_MIN),"Recovered less than the QC minimum of the depth driven — the increments may not sit where you think. Do NOT stretch them back out. ","")&amp;IF(AND(ISNUMBER($K356),$K356&gt;0,$L356="Fine earth / total volume"),"Coarse fragments recorded and the lab basis already accounts for them — no further correction applied, which is correct. ",""))</f>
        <v/>
      </c>
      <c r="T356" s="6" t="n"/>
      <c r="U356" s="9">
        <f>IF($B356="",0,IF(COUNTIFS($B$5:$B356,$B356)=1,1,0))</f>
        <v/>
      </c>
    </row>
    <row r="357">
      <c r="A357" s="6" t="n"/>
      <c r="B357" s="6" t="n"/>
      <c r="C357" s="6" t="n"/>
      <c r="D357" s="6" t="n"/>
      <c r="E357" s="6" t="n"/>
      <c r="F357" s="9">
        <f>IF(OR($D357="",$E357=""),"",$E357-$D357)</f>
        <v/>
      </c>
      <c r="G357" s="6" t="n"/>
      <c r="H357" s="6" t="n"/>
      <c r="I357" s="6" t="n"/>
      <c r="J357" s="9">
        <f>IF(OR(NOT(ISNUMBER($H357)),NOT(ISNUMBER($I357)),$H357=0),"",$I357/$H357)</f>
        <v/>
      </c>
      <c r="K357" s="6" t="n"/>
      <c r="L357" s="8" t="n"/>
      <c r="M357" s="7" t="n"/>
      <c r="N357" s="7" t="n"/>
      <c r="O357" s="9">
        <f>IF(NOT(ISNUMBER($M357)),"",IF($L357="Fine earth / fine-earth volume",$M357*(1-IF(ISNUMBER($K357),$K357,0)/100),$M357))</f>
        <v/>
      </c>
      <c r="P357" s="9">
        <f>IF(OR(NOT(ISNUMBER($O357)),NOT(ISNUMBER($N357)),NOT(ISNUMBER($F357))),"",$O357*($N357/100)*$F357*10)</f>
        <v/>
      </c>
      <c r="Q357" s="9">
        <f>IF(OR(NOT(ISNUMBER($D357)),NOT(ISNUMBER($E357))),"",MAX(0,MIN($E357,SOIL_REPORTING_DEPTH_CM)-MIN($D357,SOIL_REPORTING_DEPTH_CM)))</f>
        <v/>
      </c>
      <c r="R357" s="9">
        <f>IF(OR(NOT(ISNUMBER($O357)),NOT(ISNUMBER($N357)),NOT(ISNUMBER($Q357))),"",$O357*($N357/100)*$Q357*10)</f>
        <v/>
      </c>
      <c r="S357" s="11">
        <f>IF(AND($A357="",$B357="",$D357=""),"",IF(AND($A357&lt;&gt;"",COUNTIF('1. Plot &amp; Site Log'!$A$5:$A$64,$A357)=0),"Plot ID not in the Plot &amp; Site Log. ","")&amp;IF(AND(ISNUMBER($D357),ISNUMBER($E357),$E357&lt;=$D357),"Bottom depth is not below top depth. ","")&amp;IF($L357="Not confirmed","Bulk-density basis not confirmed with the lab — the coarse-fragment correction may be wrong or doubled. ","")&amp;IF(AND(ISNUMBER($M357),OR($M357&lt;QC_BD_MIN,$M357&gt;QC_BD_MAX)),"Bulk density outside the plausible range for a mineral grassland soil. ","")&amp;IF(AND(ISNUMBER($N357),$N357&gt;QC_CARBON_PCT_MAX),"Organic carbon above the QC ceiling — check units, and whether this is an organic horizon. ","")&amp;IF(AND(ISNUMBER($J357),$J357&lt;QC_RECOVERY_MIN),"Recovered less than the QC minimum of the depth driven — the increments may not sit where you think. Do NOT stretch them back out. ","")&amp;IF(AND(ISNUMBER($K357),$K357&gt;0,$L357="Fine earth / total volume"),"Coarse fragments recorded and the lab basis already accounts for them — no further correction applied, which is correct. ",""))</f>
        <v/>
      </c>
      <c r="T357" s="6" t="n"/>
      <c r="U357" s="9">
        <f>IF($B357="",0,IF(COUNTIFS($B$5:$B357,$B357)=1,1,0))</f>
        <v/>
      </c>
    </row>
    <row r="358">
      <c r="A358" s="6" t="n"/>
      <c r="B358" s="6" t="n"/>
      <c r="C358" s="6" t="n"/>
      <c r="D358" s="6" t="n"/>
      <c r="E358" s="6" t="n"/>
      <c r="F358" s="9">
        <f>IF(OR($D358="",$E358=""),"",$E358-$D358)</f>
        <v/>
      </c>
      <c r="G358" s="6" t="n"/>
      <c r="H358" s="6" t="n"/>
      <c r="I358" s="6" t="n"/>
      <c r="J358" s="9">
        <f>IF(OR(NOT(ISNUMBER($H358)),NOT(ISNUMBER($I358)),$H358=0),"",$I358/$H358)</f>
        <v/>
      </c>
      <c r="K358" s="6" t="n"/>
      <c r="L358" s="8" t="n"/>
      <c r="M358" s="7" t="n"/>
      <c r="N358" s="7" t="n"/>
      <c r="O358" s="9">
        <f>IF(NOT(ISNUMBER($M358)),"",IF($L358="Fine earth / fine-earth volume",$M358*(1-IF(ISNUMBER($K358),$K358,0)/100),$M358))</f>
        <v/>
      </c>
      <c r="P358" s="9">
        <f>IF(OR(NOT(ISNUMBER($O358)),NOT(ISNUMBER($N358)),NOT(ISNUMBER($F358))),"",$O358*($N358/100)*$F358*10)</f>
        <v/>
      </c>
      <c r="Q358" s="9">
        <f>IF(OR(NOT(ISNUMBER($D358)),NOT(ISNUMBER($E358))),"",MAX(0,MIN($E358,SOIL_REPORTING_DEPTH_CM)-MIN($D358,SOIL_REPORTING_DEPTH_CM)))</f>
        <v/>
      </c>
      <c r="R358" s="9">
        <f>IF(OR(NOT(ISNUMBER($O358)),NOT(ISNUMBER($N358)),NOT(ISNUMBER($Q358))),"",$O358*($N358/100)*$Q358*10)</f>
        <v/>
      </c>
      <c r="S358" s="11">
        <f>IF(AND($A358="",$B358="",$D358=""),"",IF(AND($A358&lt;&gt;"",COUNTIF('1. Plot &amp; Site Log'!$A$5:$A$64,$A358)=0),"Plot ID not in the Plot &amp; Site Log. ","")&amp;IF(AND(ISNUMBER($D358),ISNUMBER($E358),$E358&lt;=$D358),"Bottom depth is not below top depth. ","")&amp;IF($L358="Not confirmed","Bulk-density basis not confirmed with the lab — the coarse-fragment correction may be wrong or doubled. ","")&amp;IF(AND(ISNUMBER($M358),OR($M358&lt;QC_BD_MIN,$M358&gt;QC_BD_MAX)),"Bulk density outside the plausible range for a mineral grassland soil. ","")&amp;IF(AND(ISNUMBER($N358),$N358&gt;QC_CARBON_PCT_MAX),"Organic carbon above the QC ceiling — check units, and whether this is an organic horizon. ","")&amp;IF(AND(ISNUMBER($J358),$J358&lt;QC_RECOVERY_MIN),"Recovered less than the QC minimum of the depth driven — the increments may not sit where you think. Do NOT stretch them back out. ","")&amp;IF(AND(ISNUMBER($K358),$K358&gt;0,$L358="Fine earth / total volume"),"Coarse fragments recorded and the lab basis already accounts for them — no further correction applied, which is correct. ",""))</f>
        <v/>
      </c>
      <c r="T358" s="6" t="n"/>
      <c r="U358" s="9">
        <f>IF($B358="",0,IF(COUNTIFS($B$5:$B358,$B358)=1,1,0))</f>
        <v/>
      </c>
    </row>
    <row r="359">
      <c r="A359" s="6" t="n"/>
      <c r="B359" s="6" t="n"/>
      <c r="C359" s="6" t="n"/>
      <c r="D359" s="6" t="n"/>
      <c r="E359" s="6" t="n"/>
      <c r="F359" s="9">
        <f>IF(OR($D359="",$E359=""),"",$E359-$D359)</f>
        <v/>
      </c>
      <c r="G359" s="6" t="n"/>
      <c r="H359" s="6" t="n"/>
      <c r="I359" s="6" t="n"/>
      <c r="J359" s="9">
        <f>IF(OR(NOT(ISNUMBER($H359)),NOT(ISNUMBER($I359)),$H359=0),"",$I359/$H359)</f>
        <v/>
      </c>
      <c r="K359" s="6" t="n"/>
      <c r="L359" s="8" t="n"/>
      <c r="M359" s="7" t="n"/>
      <c r="N359" s="7" t="n"/>
      <c r="O359" s="9">
        <f>IF(NOT(ISNUMBER($M359)),"",IF($L359="Fine earth / fine-earth volume",$M359*(1-IF(ISNUMBER($K359),$K359,0)/100),$M359))</f>
        <v/>
      </c>
      <c r="P359" s="9">
        <f>IF(OR(NOT(ISNUMBER($O359)),NOT(ISNUMBER($N359)),NOT(ISNUMBER($F359))),"",$O359*($N359/100)*$F359*10)</f>
        <v/>
      </c>
      <c r="Q359" s="9">
        <f>IF(OR(NOT(ISNUMBER($D359)),NOT(ISNUMBER($E359))),"",MAX(0,MIN($E359,SOIL_REPORTING_DEPTH_CM)-MIN($D359,SOIL_REPORTING_DEPTH_CM)))</f>
        <v/>
      </c>
      <c r="R359" s="9">
        <f>IF(OR(NOT(ISNUMBER($O359)),NOT(ISNUMBER($N359)),NOT(ISNUMBER($Q359))),"",$O359*($N359/100)*$Q359*10)</f>
        <v/>
      </c>
      <c r="S359" s="11">
        <f>IF(AND($A359="",$B359="",$D359=""),"",IF(AND($A359&lt;&gt;"",COUNTIF('1. Plot &amp; Site Log'!$A$5:$A$64,$A359)=0),"Plot ID not in the Plot &amp; Site Log. ","")&amp;IF(AND(ISNUMBER($D359),ISNUMBER($E359),$E359&lt;=$D359),"Bottom depth is not below top depth. ","")&amp;IF($L359="Not confirmed","Bulk-density basis not confirmed with the lab — the coarse-fragment correction may be wrong or doubled. ","")&amp;IF(AND(ISNUMBER($M359),OR($M359&lt;QC_BD_MIN,$M359&gt;QC_BD_MAX)),"Bulk density outside the plausible range for a mineral grassland soil. ","")&amp;IF(AND(ISNUMBER($N359),$N359&gt;QC_CARBON_PCT_MAX),"Organic carbon above the QC ceiling — check units, and whether this is an organic horizon. ","")&amp;IF(AND(ISNUMBER($J359),$J359&lt;QC_RECOVERY_MIN),"Recovered less than the QC minimum of the depth driven — the increments may not sit where you think. Do NOT stretch them back out. ","")&amp;IF(AND(ISNUMBER($K359),$K359&gt;0,$L359="Fine earth / total volume"),"Coarse fragments recorded and the lab basis already accounts for them — no further correction applied, which is correct. ",""))</f>
        <v/>
      </c>
      <c r="T359" s="6" t="n"/>
      <c r="U359" s="9">
        <f>IF($B359="",0,IF(COUNTIFS($B$5:$B359,$B359)=1,1,0))</f>
        <v/>
      </c>
    </row>
    <row r="360">
      <c r="A360" s="6" t="n"/>
      <c r="B360" s="6" t="n"/>
      <c r="C360" s="6" t="n"/>
      <c r="D360" s="6" t="n"/>
      <c r="E360" s="6" t="n"/>
      <c r="F360" s="9">
        <f>IF(OR($D360="",$E360=""),"",$E360-$D360)</f>
        <v/>
      </c>
      <c r="G360" s="6" t="n"/>
      <c r="H360" s="6" t="n"/>
      <c r="I360" s="6" t="n"/>
      <c r="J360" s="9">
        <f>IF(OR(NOT(ISNUMBER($H360)),NOT(ISNUMBER($I360)),$H360=0),"",$I360/$H360)</f>
        <v/>
      </c>
      <c r="K360" s="6" t="n"/>
      <c r="L360" s="8" t="n"/>
      <c r="M360" s="7" t="n"/>
      <c r="N360" s="7" t="n"/>
      <c r="O360" s="9">
        <f>IF(NOT(ISNUMBER($M360)),"",IF($L360="Fine earth / fine-earth volume",$M360*(1-IF(ISNUMBER($K360),$K360,0)/100),$M360))</f>
        <v/>
      </c>
      <c r="P360" s="9">
        <f>IF(OR(NOT(ISNUMBER($O360)),NOT(ISNUMBER($N360)),NOT(ISNUMBER($F360))),"",$O360*($N360/100)*$F360*10)</f>
        <v/>
      </c>
      <c r="Q360" s="9">
        <f>IF(OR(NOT(ISNUMBER($D360)),NOT(ISNUMBER($E360))),"",MAX(0,MIN($E360,SOIL_REPORTING_DEPTH_CM)-MIN($D360,SOIL_REPORTING_DEPTH_CM)))</f>
        <v/>
      </c>
      <c r="R360" s="9">
        <f>IF(OR(NOT(ISNUMBER($O360)),NOT(ISNUMBER($N360)),NOT(ISNUMBER($Q360))),"",$O360*($N360/100)*$Q360*10)</f>
        <v/>
      </c>
      <c r="S360" s="11">
        <f>IF(AND($A360="",$B360="",$D360=""),"",IF(AND($A360&lt;&gt;"",COUNTIF('1. Plot &amp; Site Log'!$A$5:$A$64,$A360)=0),"Plot ID not in the Plot &amp; Site Log. ","")&amp;IF(AND(ISNUMBER($D360),ISNUMBER($E360),$E360&lt;=$D360),"Bottom depth is not below top depth. ","")&amp;IF($L360="Not confirmed","Bulk-density basis not confirmed with the lab — the coarse-fragment correction may be wrong or doubled. ","")&amp;IF(AND(ISNUMBER($M360),OR($M360&lt;QC_BD_MIN,$M360&gt;QC_BD_MAX)),"Bulk density outside the plausible range for a mineral grassland soil. ","")&amp;IF(AND(ISNUMBER($N360),$N360&gt;QC_CARBON_PCT_MAX),"Organic carbon above the QC ceiling — check units, and whether this is an organic horizon. ","")&amp;IF(AND(ISNUMBER($J360),$J360&lt;QC_RECOVERY_MIN),"Recovered less than the QC minimum of the depth driven — the increments may not sit where you think. Do NOT stretch them back out. ","")&amp;IF(AND(ISNUMBER($K360),$K360&gt;0,$L360="Fine earth / total volume"),"Coarse fragments recorded and the lab basis already accounts for them — no further correction applied, which is correct. ",""))</f>
        <v/>
      </c>
      <c r="T360" s="6" t="n"/>
      <c r="U360" s="9">
        <f>IF($B360="",0,IF(COUNTIFS($B$5:$B360,$B360)=1,1,0))</f>
        <v/>
      </c>
    </row>
    <row r="361">
      <c r="A361" s="6" t="n"/>
      <c r="B361" s="6" t="n"/>
      <c r="C361" s="6" t="n"/>
      <c r="D361" s="6" t="n"/>
      <c r="E361" s="6" t="n"/>
      <c r="F361" s="9">
        <f>IF(OR($D361="",$E361=""),"",$E361-$D361)</f>
        <v/>
      </c>
      <c r="G361" s="6" t="n"/>
      <c r="H361" s="6" t="n"/>
      <c r="I361" s="6" t="n"/>
      <c r="J361" s="9">
        <f>IF(OR(NOT(ISNUMBER($H361)),NOT(ISNUMBER($I361)),$H361=0),"",$I361/$H361)</f>
        <v/>
      </c>
      <c r="K361" s="6" t="n"/>
      <c r="L361" s="8" t="n"/>
      <c r="M361" s="7" t="n"/>
      <c r="N361" s="7" t="n"/>
      <c r="O361" s="9">
        <f>IF(NOT(ISNUMBER($M361)),"",IF($L361="Fine earth / fine-earth volume",$M361*(1-IF(ISNUMBER($K361),$K361,0)/100),$M361))</f>
        <v/>
      </c>
      <c r="P361" s="9">
        <f>IF(OR(NOT(ISNUMBER($O361)),NOT(ISNUMBER($N361)),NOT(ISNUMBER($F361))),"",$O361*($N361/100)*$F361*10)</f>
        <v/>
      </c>
      <c r="Q361" s="9">
        <f>IF(OR(NOT(ISNUMBER($D361)),NOT(ISNUMBER($E361))),"",MAX(0,MIN($E361,SOIL_REPORTING_DEPTH_CM)-MIN($D361,SOIL_REPORTING_DEPTH_CM)))</f>
        <v/>
      </c>
      <c r="R361" s="9">
        <f>IF(OR(NOT(ISNUMBER($O361)),NOT(ISNUMBER($N361)),NOT(ISNUMBER($Q361))),"",$O361*($N361/100)*$Q361*10)</f>
        <v/>
      </c>
      <c r="S361" s="11">
        <f>IF(AND($A361="",$B361="",$D361=""),"",IF(AND($A361&lt;&gt;"",COUNTIF('1. Plot &amp; Site Log'!$A$5:$A$64,$A361)=0),"Plot ID not in the Plot &amp; Site Log. ","")&amp;IF(AND(ISNUMBER($D361),ISNUMBER($E361),$E361&lt;=$D361),"Bottom depth is not below top depth. ","")&amp;IF($L361="Not confirmed","Bulk-density basis not confirmed with the lab — the coarse-fragment correction may be wrong or doubled. ","")&amp;IF(AND(ISNUMBER($M361),OR($M361&lt;QC_BD_MIN,$M361&gt;QC_BD_MAX)),"Bulk density outside the plausible range for a mineral grassland soil. ","")&amp;IF(AND(ISNUMBER($N361),$N361&gt;QC_CARBON_PCT_MAX),"Organic carbon above the QC ceiling — check units, and whether this is an organic horizon. ","")&amp;IF(AND(ISNUMBER($J361),$J361&lt;QC_RECOVERY_MIN),"Recovered less than the QC minimum of the depth driven — the increments may not sit where you think. Do NOT stretch them back out. ","")&amp;IF(AND(ISNUMBER($K361),$K361&gt;0,$L361="Fine earth / total volume"),"Coarse fragments recorded and the lab basis already accounts for them — no further correction applied, which is correct. ",""))</f>
        <v/>
      </c>
      <c r="T361" s="6" t="n"/>
      <c r="U361" s="9">
        <f>IF($B361="",0,IF(COUNTIFS($B$5:$B361,$B361)=1,1,0))</f>
        <v/>
      </c>
    </row>
    <row r="362">
      <c r="A362" s="6" t="n"/>
      <c r="B362" s="6" t="n"/>
      <c r="C362" s="6" t="n"/>
      <c r="D362" s="6" t="n"/>
      <c r="E362" s="6" t="n"/>
      <c r="F362" s="9">
        <f>IF(OR($D362="",$E362=""),"",$E362-$D362)</f>
        <v/>
      </c>
      <c r="G362" s="6" t="n"/>
      <c r="H362" s="6" t="n"/>
      <c r="I362" s="6" t="n"/>
      <c r="J362" s="9">
        <f>IF(OR(NOT(ISNUMBER($H362)),NOT(ISNUMBER($I362)),$H362=0),"",$I362/$H362)</f>
        <v/>
      </c>
      <c r="K362" s="6" t="n"/>
      <c r="L362" s="8" t="n"/>
      <c r="M362" s="7" t="n"/>
      <c r="N362" s="7" t="n"/>
      <c r="O362" s="9">
        <f>IF(NOT(ISNUMBER($M362)),"",IF($L362="Fine earth / fine-earth volume",$M362*(1-IF(ISNUMBER($K362),$K362,0)/100),$M362))</f>
        <v/>
      </c>
      <c r="P362" s="9">
        <f>IF(OR(NOT(ISNUMBER($O362)),NOT(ISNUMBER($N362)),NOT(ISNUMBER($F362))),"",$O362*($N362/100)*$F362*10)</f>
        <v/>
      </c>
      <c r="Q362" s="9">
        <f>IF(OR(NOT(ISNUMBER($D362)),NOT(ISNUMBER($E362))),"",MAX(0,MIN($E362,SOIL_REPORTING_DEPTH_CM)-MIN($D362,SOIL_REPORTING_DEPTH_CM)))</f>
        <v/>
      </c>
      <c r="R362" s="9">
        <f>IF(OR(NOT(ISNUMBER($O362)),NOT(ISNUMBER($N362)),NOT(ISNUMBER($Q362))),"",$O362*($N362/100)*$Q362*10)</f>
        <v/>
      </c>
      <c r="S362" s="11">
        <f>IF(AND($A362="",$B362="",$D362=""),"",IF(AND($A362&lt;&gt;"",COUNTIF('1. Plot &amp; Site Log'!$A$5:$A$64,$A362)=0),"Plot ID not in the Plot &amp; Site Log. ","")&amp;IF(AND(ISNUMBER($D362),ISNUMBER($E362),$E362&lt;=$D362),"Bottom depth is not below top depth. ","")&amp;IF($L362="Not confirmed","Bulk-density basis not confirmed with the lab — the coarse-fragment correction may be wrong or doubled. ","")&amp;IF(AND(ISNUMBER($M362),OR($M362&lt;QC_BD_MIN,$M362&gt;QC_BD_MAX)),"Bulk density outside the plausible range for a mineral grassland soil. ","")&amp;IF(AND(ISNUMBER($N362),$N362&gt;QC_CARBON_PCT_MAX),"Organic carbon above the QC ceiling — check units, and whether this is an organic horizon. ","")&amp;IF(AND(ISNUMBER($J362),$J362&lt;QC_RECOVERY_MIN),"Recovered less than the QC minimum of the depth driven — the increments may not sit where you think. Do NOT stretch them back out. ","")&amp;IF(AND(ISNUMBER($K362),$K362&gt;0,$L362="Fine earth / total volume"),"Coarse fragments recorded and the lab basis already accounts for them — no further correction applied, which is correct. ",""))</f>
        <v/>
      </c>
      <c r="T362" s="6" t="n"/>
      <c r="U362" s="9">
        <f>IF($B362="",0,IF(COUNTIFS($B$5:$B362,$B362)=1,1,0))</f>
        <v/>
      </c>
    </row>
    <row r="363">
      <c r="A363" s="6" t="n"/>
      <c r="B363" s="6" t="n"/>
      <c r="C363" s="6" t="n"/>
      <c r="D363" s="6" t="n"/>
      <c r="E363" s="6" t="n"/>
      <c r="F363" s="9">
        <f>IF(OR($D363="",$E363=""),"",$E363-$D363)</f>
        <v/>
      </c>
      <c r="G363" s="6" t="n"/>
      <c r="H363" s="6" t="n"/>
      <c r="I363" s="6" t="n"/>
      <c r="J363" s="9">
        <f>IF(OR(NOT(ISNUMBER($H363)),NOT(ISNUMBER($I363)),$H363=0),"",$I363/$H363)</f>
        <v/>
      </c>
      <c r="K363" s="6" t="n"/>
      <c r="L363" s="8" t="n"/>
      <c r="M363" s="7" t="n"/>
      <c r="N363" s="7" t="n"/>
      <c r="O363" s="9">
        <f>IF(NOT(ISNUMBER($M363)),"",IF($L363="Fine earth / fine-earth volume",$M363*(1-IF(ISNUMBER($K363),$K363,0)/100),$M363))</f>
        <v/>
      </c>
      <c r="P363" s="9">
        <f>IF(OR(NOT(ISNUMBER($O363)),NOT(ISNUMBER($N363)),NOT(ISNUMBER($F363))),"",$O363*($N363/100)*$F363*10)</f>
        <v/>
      </c>
      <c r="Q363" s="9">
        <f>IF(OR(NOT(ISNUMBER($D363)),NOT(ISNUMBER($E363))),"",MAX(0,MIN($E363,SOIL_REPORTING_DEPTH_CM)-MIN($D363,SOIL_REPORTING_DEPTH_CM)))</f>
        <v/>
      </c>
      <c r="R363" s="9">
        <f>IF(OR(NOT(ISNUMBER($O363)),NOT(ISNUMBER($N363)),NOT(ISNUMBER($Q363))),"",$O363*($N363/100)*$Q363*10)</f>
        <v/>
      </c>
      <c r="S363" s="11">
        <f>IF(AND($A363="",$B363="",$D363=""),"",IF(AND($A363&lt;&gt;"",COUNTIF('1. Plot &amp; Site Log'!$A$5:$A$64,$A363)=0),"Plot ID not in the Plot &amp; Site Log. ","")&amp;IF(AND(ISNUMBER($D363),ISNUMBER($E363),$E363&lt;=$D363),"Bottom depth is not below top depth. ","")&amp;IF($L363="Not confirmed","Bulk-density basis not confirmed with the lab — the coarse-fragment correction may be wrong or doubled. ","")&amp;IF(AND(ISNUMBER($M363),OR($M363&lt;QC_BD_MIN,$M363&gt;QC_BD_MAX)),"Bulk density outside the plausible range for a mineral grassland soil. ","")&amp;IF(AND(ISNUMBER($N363),$N363&gt;QC_CARBON_PCT_MAX),"Organic carbon above the QC ceiling — check units, and whether this is an organic horizon. ","")&amp;IF(AND(ISNUMBER($J363),$J363&lt;QC_RECOVERY_MIN),"Recovered less than the QC minimum of the depth driven — the increments may not sit where you think. Do NOT stretch them back out. ","")&amp;IF(AND(ISNUMBER($K363),$K363&gt;0,$L363="Fine earth / total volume"),"Coarse fragments recorded and the lab basis already accounts for them — no further correction applied, which is correct. ",""))</f>
        <v/>
      </c>
      <c r="T363" s="6" t="n"/>
      <c r="U363" s="9">
        <f>IF($B363="",0,IF(COUNTIFS($B$5:$B363,$B363)=1,1,0))</f>
        <v/>
      </c>
    </row>
    <row r="364">
      <c r="A364" s="6" t="n"/>
      <c r="B364" s="6" t="n"/>
      <c r="C364" s="6" t="n"/>
      <c r="D364" s="6" t="n"/>
      <c r="E364" s="6" t="n"/>
      <c r="F364" s="9">
        <f>IF(OR($D364="",$E364=""),"",$E364-$D364)</f>
        <v/>
      </c>
      <c r="G364" s="6" t="n"/>
      <c r="H364" s="6" t="n"/>
      <c r="I364" s="6" t="n"/>
      <c r="J364" s="9">
        <f>IF(OR(NOT(ISNUMBER($H364)),NOT(ISNUMBER($I364)),$H364=0),"",$I364/$H364)</f>
        <v/>
      </c>
      <c r="K364" s="6" t="n"/>
      <c r="L364" s="8" t="n"/>
      <c r="M364" s="7" t="n"/>
      <c r="N364" s="7" t="n"/>
      <c r="O364" s="9">
        <f>IF(NOT(ISNUMBER($M364)),"",IF($L364="Fine earth / fine-earth volume",$M364*(1-IF(ISNUMBER($K364),$K364,0)/100),$M364))</f>
        <v/>
      </c>
      <c r="P364" s="9">
        <f>IF(OR(NOT(ISNUMBER($O364)),NOT(ISNUMBER($N364)),NOT(ISNUMBER($F364))),"",$O364*($N364/100)*$F364*10)</f>
        <v/>
      </c>
      <c r="Q364" s="9">
        <f>IF(OR(NOT(ISNUMBER($D364)),NOT(ISNUMBER($E364))),"",MAX(0,MIN($E364,SOIL_REPORTING_DEPTH_CM)-MIN($D364,SOIL_REPORTING_DEPTH_CM)))</f>
        <v/>
      </c>
      <c r="R364" s="9">
        <f>IF(OR(NOT(ISNUMBER($O364)),NOT(ISNUMBER($N364)),NOT(ISNUMBER($Q364))),"",$O364*($N364/100)*$Q364*10)</f>
        <v/>
      </c>
      <c r="S364" s="11">
        <f>IF(AND($A364="",$B364="",$D364=""),"",IF(AND($A364&lt;&gt;"",COUNTIF('1. Plot &amp; Site Log'!$A$5:$A$64,$A364)=0),"Plot ID not in the Plot &amp; Site Log. ","")&amp;IF(AND(ISNUMBER($D364),ISNUMBER($E364),$E364&lt;=$D364),"Bottom depth is not below top depth. ","")&amp;IF($L364="Not confirmed","Bulk-density basis not confirmed with the lab — the coarse-fragment correction may be wrong or doubled. ","")&amp;IF(AND(ISNUMBER($M364),OR($M364&lt;QC_BD_MIN,$M364&gt;QC_BD_MAX)),"Bulk density outside the plausible range for a mineral grassland soil. ","")&amp;IF(AND(ISNUMBER($N364),$N364&gt;QC_CARBON_PCT_MAX),"Organic carbon above the QC ceiling — check units, and whether this is an organic horizon. ","")&amp;IF(AND(ISNUMBER($J364),$J364&lt;QC_RECOVERY_MIN),"Recovered less than the QC minimum of the depth driven — the increments may not sit where you think. Do NOT stretch them back out. ","")&amp;IF(AND(ISNUMBER($K364),$K364&gt;0,$L364="Fine earth / total volume"),"Coarse fragments recorded and the lab basis already accounts for them — no further correction applied, which is correct. ",""))</f>
        <v/>
      </c>
      <c r="T364" s="6" t="n"/>
      <c r="U364" s="9">
        <f>IF($B364="",0,IF(COUNTIFS($B$5:$B364,$B364)=1,1,0))</f>
        <v/>
      </c>
    </row>
    <row r="365">
      <c r="A365" s="6" t="n"/>
      <c r="B365" s="6" t="n"/>
      <c r="C365" s="6" t="n"/>
      <c r="D365" s="6" t="n"/>
      <c r="E365" s="6" t="n"/>
      <c r="F365" s="9">
        <f>IF(OR($D365="",$E365=""),"",$E365-$D365)</f>
        <v/>
      </c>
      <c r="G365" s="6" t="n"/>
      <c r="H365" s="6" t="n"/>
      <c r="I365" s="6" t="n"/>
      <c r="J365" s="9">
        <f>IF(OR(NOT(ISNUMBER($H365)),NOT(ISNUMBER($I365)),$H365=0),"",$I365/$H365)</f>
        <v/>
      </c>
      <c r="K365" s="6" t="n"/>
      <c r="L365" s="8" t="n"/>
      <c r="M365" s="7" t="n"/>
      <c r="N365" s="7" t="n"/>
      <c r="O365" s="9">
        <f>IF(NOT(ISNUMBER($M365)),"",IF($L365="Fine earth / fine-earth volume",$M365*(1-IF(ISNUMBER($K365),$K365,0)/100),$M365))</f>
        <v/>
      </c>
      <c r="P365" s="9">
        <f>IF(OR(NOT(ISNUMBER($O365)),NOT(ISNUMBER($N365)),NOT(ISNUMBER($F365))),"",$O365*($N365/100)*$F365*10)</f>
        <v/>
      </c>
      <c r="Q365" s="9">
        <f>IF(OR(NOT(ISNUMBER($D365)),NOT(ISNUMBER($E365))),"",MAX(0,MIN($E365,SOIL_REPORTING_DEPTH_CM)-MIN($D365,SOIL_REPORTING_DEPTH_CM)))</f>
        <v/>
      </c>
      <c r="R365" s="9">
        <f>IF(OR(NOT(ISNUMBER($O365)),NOT(ISNUMBER($N365)),NOT(ISNUMBER($Q365))),"",$O365*($N365/100)*$Q365*10)</f>
        <v/>
      </c>
      <c r="S365" s="11">
        <f>IF(AND($A365="",$B365="",$D365=""),"",IF(AND($A365&lt;&gt;"",COUNTIF('1. Plot &amp; Site Log'!$A$5:$A$64,$A365)=0),"Plot ID not in the Plot &amp; Site Log. ","")&amp;IF(AND(ISNUMBER($D365),ISNUMBER($E365),$E365&lt;=$D365),"Bottom depth is not below top depth. ","")&amp;IF($L365="Not confirmed","Bulk-density basis not confirmed with the lab — the coarse-fragment correction may be wrong or doubled. ","")&amp;IF(AND(ISNUMBER($M365),OR($M365&lt;QC_BD_MIN,$M365&gt;QC_BD_MAX)),"Bulk density outside the plausible range for a mineral grassland soil. ","")&amp;IF(AND(ISNUMBER($N365),$N365&gt;QC_CARBON_PCT_MAX),"Organic carbon above the QC ceiling — check units, and whether this is an organic horizon. ","")&amp;IF(AND(ISNUMBER($J365),$J365&lt;QC_RECOVERY_MIN),"Recovered less than the QC minimum of the depth driven — the increments may not sit where you think. Do NOT stretch them back out. ","")&amp;IF(AND(ISNUMBER($K365),$K365&gt;0,$L365="Fine earth / total volume"),"Coarse fragments recorded and the lab basis already accounts for them — no further correction applied, which is correct. ",""))</f>
        <v/>
      </c>
      <c r="T365" s="6" t="n"/>
      <c r="U365" s="9">
        <f>IF($B365="",0,IF(COUNTIFS($B$5:$B365,$B365)=1,1,0))</f>
        <v/>
      </c>
    </row>
    <row r="366">
      <c r="A366" s="6" t="n"/>
      <c r="B366" s="6" t="n"/>
      <c r="C366" s="6" t="n"/>
      <c r="D366" s="6" t="n"/>
      <c r="E366" s="6" t="n"/>
      <c r="F366" s="9">
        <f>IF(OR($D366="",$E366=""),"",$E366-$D366)</f>
        <v/>
      </c>
      <c r="G366" s="6" t="n"/>
      <c r="H366" s="6" t="n"/>
      <c r="I366" s="6" t="n"/>
      <c r="J366" s="9">
        <f>IF(OR(NOT(ISNUMBER($H366)),NOT(ISNUMBER($I366)),$H366=0),"",$I366/$H366)</f>
        <v/>
      </c>
      <c r="K366" s="6" t="n"/>
      <c r="L366" s="8" t="n"/>
      <c r="M366" s="7" t="n"/>
      <c r="N366" s="7" t="n"/>
      <c r="O366" s="9">
        <f>IF(NOT(ISNUMBER($M366)),"",IF($L366="Fine earth / fine-earth volume",$M366*(1-IF(ISNUMBER($K366),$K366,0)/100),$M366))</f>
        <v/>
      </c>
      <c r="P366" s="9">
        <f>IF(OR(NOT(ISNUMBER($O366)),NOT(ISNUMBER($N366)),NOT(ISNUMBER($F366))),"",$O366*($N366/100)*$F366*10)</f>
        <v/>
      </c>
      <c r="Q366" s="9">
        <f>IF(OR(NOT(ISNUMBER($D366)),NOT(ISNUMBER($E366))),"",MAX(0,MIN($E366,SOIL_REPORTING_DEPTH_CM)-MIN($D366,SOIL_REPORTING_DEPTH_CM)))</f>
        <v/>
      </c>
      <c r="R366" s="9">
        <f>IF(OR(NOT(ISNUMBER($O366)),NOT(ISNUMBER($N366)),NOT(ISNUMBER($Q366))),"",$O366*($N366/100)*$Q366*10)</f>
        <v/>
      </c>
      <c r="S366" s="11">
        <f>IF(AND($A366="",$B366="",$D366=""),"",IF(AND($A366&lt;&gt;"",COUNTIF('1. Plot &amp; Site Log'!$A$5:$A$64,$A366)=0),"Plot ID not in the Plot &amp; Site Log. ","")&amp;IF(AND(ISNUMBER($D366),ISNUMBER($E366),$E366&lt;=$D366),"Bottom depth is not below top depth. ","")&amp;IF($L366="Not confirmed","Bulk-density basis not confirmed with the lab — the coarse-fragment correction may be wrong or doubled. ","")&amp;IF(AND(ISNUMBER($M366),OR($M366&lt;QC_BD_MIN,$M366&gt;QC_BD_MAX)),"Bulk density outside the plausible range for a mineral grassland soil. ","")&amp;IF(AND(ISNUMBER($N366),$N366&gt;QC_CARBON_PCT_MAX),"Organic carbon above the QC ceiling — check units, and whether this is an organic horizon. ","")&amp;IF(AND(ISNUMBER($J366),$J366&lt;QC_RECOVERY_MIN),"Recovered less than the QC minimum of the depth driven — the increments may not sit where you think. Do NOT stretch them back out. ","")&amp;IF(AND(ISNUMBER($K366),$K366&gt;0,$L366="Fine earth / total volume"),"Coarse fragments recorded and the lab basis already accounts for them — no further correction applied, which is correct. ",""))</f>
        <v/>
      </c>
      <c r="T366" s="6" t="n"/>
      <c r="U366" s="9">
        <f>IF($B366="",0,IF(COUNTIFS($B$5:$B366,$B366)=1,1,0))</f>
        <v/>
      </c>
    </row>
    <row r="367">
      <c r="A367" s="6" t="n"/>
      <c r="B367" s="6" t="n"/>
      <c r="C367" s="6" t="n"/>
      <c r="D367" s="6" t="n"/>
      <c r="E367" s="6" t="n"/>
      <c r="F367" s="9">
        <f>IF(OR($D367="",$E367=""),"",$E367-$D367)</f>
        <v/>
      </c>
      <c r="G367" s="6" t="n"/>
      <c r="H367" s="6" t="n"/>
      <c r="I367" s="6" t="n"/>
      <c r="J367" s="9">
        <f>IF(OR(NOT(ISNUMBER($H367)),NOT(ISNUMBER($I367)),$H367=0),"",$I367/$H367)</f>
        <v/>
      </c>
      <c r="K367" s="6" t="n"/>
      <c r="L367" s="8" t="n"/>
      <c r="M367" s="7" t="n"/>
      <c r="N367" s="7" t="n"/>
      <c r="O367" s="9">
        <f>IF(NOT(ISNUMBER($M367)),"",IF($L367="Fine earth / fine-earth volume",$M367*(1-IF(ISNUMBER($K367),$K367,0)/100),$M367))</f>
        <v/>
      </c>
      <c r="P367" s="9">
        <f>IF(OR(NOT(ISNUMBER($O367)),NOT(ISNUMBER($N367)),NOT(ISNUMBER($F367))),"",$O367*($N367/100)*$F367*10)</f>
        <v/>
      </c>
      <c r="Q367" s="9">
        <f>IF(OR(NOT(ISNUMBER($D367)),NOT(ISNUMBER($E367))),"",MAX(0,MIN($E367,SOIL_REPORTING_DEPTH_CM)-MIN($D367,SOIL_REPORTING_DEPTH_CM)))</f>
        <v/>
      </c>
      <c r="R367" s="9">
        <f>IF(OR(NOT(ISNUMBER($O367)),NOT(ISNUMBER($N367)),NOT(ISNUMBER($Q367))),"",$O367*($N367/100)*$Q367*10)</f>
        <v/>
      </c>
      <c r="S367" s="11">
        <f>IF(AND($A367="",$B367="",$D367=""),"",IF(AND($A367&lt;&gt;"",COUNTIF('1. Plot &amp; Site Log'!$A$5:$A$64,$A367)=0),"Plot ID not in the Plot &amp; Site Log. ","")&amp;IF(AND(ISNUMBER($D367),ISNUMBER($E367),$E367&lt;=$D367),"Bottom depth is not below top depth. ","")&amp;IF($L367="Not confirmed","Bulk-density basis not confirmed with the lab — the coarse-fragment correction may be wrong or doubled. ","")&amp;IF(AND(ISNUMBER($M367),OR($M367&lt;QC_BD_MIN,$M367&gt;QC_BD_MAX)),"Bulk density outside the plausible range for a mineral grassland soil. ","")&amp;IF(AND(ISNUMBER($N367),$N367&gt;QC_CARBON_PCT_MAX),"Organic carbon above the QC ceiling — check units, and whether this is an organic horizon. ","")&amp;IF(AND(ISNUMBER($J367),$J367&lt;QC_RECOVERY_MIN),"Recovered less than the QC minimum of the depth driven — the increments may not sit where you think. Do NOT stretch them back out. ","")&amp;IF(AND(ISNUMBER($K367),$K367&gt;0,$L367="Fine earth / total volume"),"Coarse fragments recorded and the lab basis already accounts for them — no further correction applied, which is correct. ",""))</f>
        <v/>
      </c>
      <c r="T367" s="6" t="n"/>
      <c r="U367" s="9">
        <f>IF($B367="",0,IF(COUNTIFS($B$5:$B367,$B367)=1,1,0))</f>
        <v/>
      </c>
    </row>
    <row r="368">
      <c r="A368" s="6" t="n"/>
      <c r="B368" s="6" t="n"/>
      <c r="C368" s="6" t="n"/>
      <c r="D368" s="6" t="n"/>
      <c r="E368" s="6" t="n"/>
      <c r="F368" s="9">
        <f>IF(OR($D368="",$E368=""),"",$E368-$D368)</f>
        <v/>
      </c>
      <c r="G368" s="6" t="n"/>
      <c r="H368" s="6" t="n"/>
      <c r="I368" s="6" t="n"/>
      <c r="J368" s="9">
        <f>IF(OR(NOT(ISNUMBER($H368)),NOT(ISNUMBER($I368)),$H368=0),"",$I368/$H368)</f>
        <v/>
      </c>
      <c r="K368" s="6" t="n"/>
      <c r="L368" s="8" t="n"/>
      <c r="M368" s="7" t="n"/>
      <c r="N368" s="7" t="n"/>
      <c r="O368" s="9">
        <f>IF(NOT(ISNUMBER($M368)),"",IF($L368="Fine earth / fine-earth volume",$M368*(1-IF(ISNUMBER($K368),$K368,0)/100),$M368))</f>
        <v/>
      </c>
      <c r="P368" s="9">
        <f>IF(OR(NOT(ISNUMBER($O368)),NOT(ISNUMBER($N368)),NOT(ISNUMBER($F368))),"",$O368*($N368/100)*$F368*10)</f>
        <v/>
      </c>
      <c r="Q368" s="9">
        <f>IF(OR(NOT(ISNUMBER($D368)),NOT(ISNUMBER($E368))),"",MAX(0,MIN($E368,SOIL_REPORTING_DEPTH_CM)-MIN($D368,SOIL_REPORTING_DEPTH_CM)))</f>
        <v/>
      </c>
      <c r="R368" s="9">
        <f>IF(OR(NOT(ISNUMBER($O368)),NOT(ISNUMBER($N368)),NOT(ISNUMBER($Q368))),"",$O368*($N368/100)*$Q368*10)</f>
        <v/>
      </c>
      <c r="S368" s="11">
        <f>IF(AND($A368="",$B368="",$D368=""),"",IF(AND($A368&lt;&gt;"",COUNTIF('1. Plot &amp; Site Log'!$A$5:$A$64,$A368)=0),"Plot ID not in the Plot &amp; Site Log. ","")&amp;IF(AND(ISNUMBER($D368),ISNUMBER($E368),$E368&lt;=$D368),"Bottom depth is not below top depth. ","")&amp;IF($L368="Not confirmed","Bulk-density basis not confirmed with the lab — the coarse-fragment correction may be wrong or doubled. ","")&amp;IF(AND(ISNUMBER($M368),OR($M368&lt;QC_BD_MIN,$M368&gt;QC_BD_MAX)),"Bulk density outside the plausible range for a mineral grassland soil. ","")&amp;IF(AND(ISNUMBER($N368),$N368&gt;QC_CARBON_PCT_MAX),"Organic carbon above the QC ceiling — check units, and whether this is an organic horizon. ","")&amp;IF(AND(ISNUMBER($J368),$J368&lt;QC_RECOVERY_MIN),"Recovered less than the QC minimum of the depth driven — the increments may not sit where you think. Do NOT stretch them back out. ","")&amp;IF(AND(ISNUMBER($K368),$K368&gt;0,$L368="Fine earth / total volume"),"Coarse fragments recorded and the lab basis already accounts for them — no further correction applied, which is correct. ",""))</f>
        <v/>
      </c>
      <c r="T368" s="6" t="n"/>
      <c r="U368" s="9">
        <f>IF($B368="",0,IF(COUNTIFS($B$5:$B368,$B368)=1,1,0))</f>
        <v/>
      </c>
    </row>
    <row r="369">
      <c r="A369" s="6" t="n"/>
      <c r="B369" s="6" t="n"/>
      <c r="C369" s="6" t="n"/>
      <c r="D369" s="6" t="n"/>
      <c r="E369" s="6" t="n"/>
      <c r="F369" s="9">
        <f>IF(OR($D369="",$E369=""),"",$E369-$D369)</f>
        <v/>
      </c>
      <c r="G369" s="6" t="n"/>
      <c r="H369" s="6" t="n"/>
      <c r="I369" s="6" t="n"/>
      <c r="J369" s="9">
        <f>IF(OR(NOT(ISNUMBER($H369)),NOT(ISNUMBER($I369)),$H369=0),"",$I369/$H369)</f>
        <v/>
      </c>
      <c r="K369" s="6" t="n"/>
      <c r="L369" s="8" t="n"/>
      <c r="M369" s="7" t="n"/>
      <c r="N369" s="7" t="n"/>
      <c r="O369" s="9">
        <f>IF(NOT(ISNUMBER($M369)),"",IF($L369="Fine earth / fine-earth volume",$M369*(1-IF(ISNUMBER($K369),$K369,0)/100),$M369))</f>
        <v/>
      </c>
      <c r="P369" s="9">
        <f>IF(OR(NOT(ISNUMBER($O369)),NOT(ISNUMBER($N369)),NOT(ISNUMBER($F369))),"",$O369*($N369/100)*$F369*10)</f>
        <v/>
      </c>
      <c r="Q369" s="9">
        <f>IF(OR(NOT(ISNUMBER($D369)),NOT(ISNUMBER($E369))),"",MAX(0,MIN($E369,SOIL_REPORTING_DEPTH_CM)-MIN($D369,SOIL_REPORTING_DEPTH_CM)))</f>
        <v/>
      </c>
      <c r="R369" s="9">
        <f>IF(OR(NOT(ISNUMBER($O369)),NOT(ISNUMBER($N369)),NOT(ISNUMBER($Q369))),"",$O369*($N369/100)*$Q369*10)</f>
        <v/>
      </c>
      <c r="S369" s="11">
        <f>IF(AND($A369="",$B369="",$D369=""),"",IF(AND($A369&lt;&gt;"",COUNTIF('1. Plot &amp; Site Log'!$A$5:$A$64,$A369)=0),"Plot ID not in the Plot &amp; Site Log. ","")&amp;IF(AND(ISNUMBER($D369),ISNUMBER($E369),$E369&lt;=$D369),"Bottom depth is not below top depth. ","")&amp;IF($L369="Not confirmed","Bulk-density basis not confirmed with the lab — the coarse-fragment correction may be wrong or doubled. ","")&amp;IF(AND(ISNUMBER($M369),OR($M369&lt;QC_BD_MIN,$M369&gt;QC_BD_MAX)),"Bulk density outside the plausible range for a mineral grassland soil. ","")&amp;IF(AND(ISNUMBER($N369),$N369&gt;QC_CARBON_PCT_MAX),"Organic carbon above the QC ceiling — check units, and whether this is an organic horizon. ","")&amp;IF(AND(ISNUMBER($J369),$J369&lt;QC_RECOVERY_MIN),"Recovered less than the QC minimum of the depth driven — the increments may not sit where you think. Do NOT stretch them back out. ","")&amp;IF(AND(ISNUMBER($K369),$K369&gt;0,$L369="Fine earth / total volume"),"Coarse fragments recorded and the lab basis already accounts for them — no further correction applied, which is correct. ",""))</f>
        <v/>
      </c>
      <c r="T369" s="6" t="n"/>
      <c r="U369" s="9">
        <f>IF($B369="",0,IF(COUNTIFS($B$5:$B369,$B369)=1,1,0))</f>
        <v/>
      </c>
    </row>
    <row r="370">
      <c r="A370" s="6" t="n"/>
      <c r="B370" s="6" t="n"/>
      <c r="C370" s="6" t="n"/>
      <c r="D370" s="6" t="n"/>
      <c r="E370" s="6" t="n"/>
      <c r="F370" s="9">
        <f>IF(OR($D370="",$E370=""),"",$E370-$D370)</f>
        <v/>
      </c>
      <c r="G370" s="6" t="n"/>
      <c r="H370" s="6" t="n"/>
      <c r="I370" s="6" t="n"/>
      <c r="J370" s="9">
        <f>IF(OR(NOT(ISNUMBER($H370)),NOT(ISNUMBER($I370)),$H370=0),"",$I370/$H370)</f>
        <v/>
      </c>
      <c r="K370" s="6" t="n"/>
      <c r="L370" s="8" t="n"/>
      <c r="M370" s="7" t="n"/>
      <c r="N370" s="7" t="n"/>
      <c r="O370" s="9">
        <f>IF(NOT(ISNUMBER($M370)),"",IF($L370="Fine earth / fine-earth volume",$M370*(1-IF(ISNUMBER($K370),$K370,0)/100),$M370))</f>
        <v/>
      </c>
      <c r="P370" s="9">
        <f>IF(OR(NOT(ISNUMBER($O370)),NOT(ISNUMBER($N370)),NOT(ISNUMBER($F370))),"",$O370*($N370/100)*$F370*10)</f>
        <v/>
      </c>
      <c r="Q370" s="9">
        <f>IF(OR(NOT(ISNUMBER($D370)),NOT(ISNUMBER($E370))),"",MAX(0,MIN($E370,SOIL_REPORTING_DEPTH_CM)-MIN($D370,SOIL_REPORTING_DEPTH_CM)))</f>
        <v/>
      </c>
      <c r="R370" s="9">
        <f>IF(OR(NOT(ISNUMBER($O370)),NOT(ISNUMBER($N370)),NOT(ISNUMBER($Q370))),"",$O370*($N370/100)*$Q370*10)</f>
        <v/>
      </c>
      <c r="S370" s="11">
        <f>IF(AND($A370="",$B370="",$D370=""),"",IF(AND($A370&lt;&gt;"",COUNTIF('1. Plot &amp; Site Log'!$A$5:$A$64,$A370)=0),"Plot ID not in the Plot &amp; Site Log. ","")&amp;IF(AND(ISNUMBER($D370),ISNUMBER($E370),$E370&lt;=$D370),"Bottom depth is not below top depth. ","")&amp;IF($L370="Not confirmed","Bulk-density basis not confirmed with the lab — the coarse-fragment correction may be wrong or doubled. ","")&amp;IF(AND(ISNUMBER($M370),OR($M370&lt;QC_BD_MIN,$M370&gt;QC_BD_MAX)),"Bulk density outside the plausible range for a mineral grassland soil. ","")&amp;IF(AND(ISNUMBER($N370),$N370&gt;QC_CARBON_PCT_MAX),"Organic carbon above the QC ceiling — check units, and whether this is an organic horizon. ","")&amp;IF(AND(ISNUMBER($J370),$J370&lt;QC_RECOVERY_MIN),"Recovered less than the QC minimum of the depth driven — the increments may not sit where you think. Do NOT stretch them back out. ","")&amp;IF(AND(ISNUMBER($K370),$K370&gt;0,$L370="Fine earth / total volume"),"Coarse fragments recorded and the lab basis already accounts for them — no further correction applied, which is correct. ",""))</f>
        <v/>
      </c>
      <c r="T370" s="6" t="n"/>
      <c r="U370" s="9">
        <f>IF($B370="",0,IF(COUNTIFS($B$5:$B370,$B370)=1,1,0))</f>
        <v/>
      </c>
    </row>
    <row r="371">
      <c r="A371" s="6" t="n"/>
      <c r="B371" s="6" t="n"/>
      <c r="C371" s="6" t="n"/>
      <c r="D371" s="6" t="n"/>
      <c r="E371" s="6" t="n"/>
      <c r="F371" s="9">
        <f>IF(OR($D371="",$E371=""),"",$E371-$D371)</f>
        <v/>
      </c>
      <c r="G371" s="6" t="n"/>
      <c r="H371" s="6" t="n"/>
      <c r="I371" s="6" t="n"/>
      <c r="J371" s="9">
        <f>IF(OR(NOT(ISNUMBER($H371)),NOT(ISNUMBER($I371)),$H371=0),"",$I371/$H371)</f>
        <v/>
      </c>
      <c r="K371" s="6" t="n"/>
      <c r="L371" s="8" t="n"/>
      <c r="M371" s="7" t="n"/>
      <c r="N371" s="7" t="n"/>
      <c r="O371" s="9">
        <f>IF(NOT(ISNUMBER($M371)),"",IF($L371="Fine earth / fine-earth volume",$M371*(1-IF(ISNUMBER($K371),$K371,0)/100),$M371))</f>
        <v/>
      </c>
      <c r="P371" s="9">
        <f>IF(OR(NOT(ISNUMBER($O371)),NOT(ISNUMBER($N371)),NOT(ISNUMBER($F371))),"",$O371*($N371/100)*$F371*10)</f>
        <v/>
      </c>
      <c r="Q371" s="9">
        <f>IF(OR(NOT(ISNUMBER($D371)),NOT(ISNUMBER($E371))),"",MAX(0,MIN($E371,SOIL_REPORTING_DEPTH_CM)-MIN($D371,SOIL_REPORTING_DEPTH_CM)))</f>
        <v/>
      </c>
      <c r="R371" s="9">
        <f>IF(OR(NOT(ISNUMBER($O371)),NOT(ISNUMBER($N371)),NOT(ISNUMBER($Q371))),"",$O371*($N371/100)*$Q371*10)</f>
        <v/>
      </c>
      <c r="S371" s="11">
        <f>IF(AND($A371="",$B371="",$D371=""),"",IF(AND($A371&lt;&gt;"",COUNTIF('1. Plot &amp; Site Log'!$A$5:$A$64,$A371)=0),"Plot ID not in the Plot &amp; Site Log. ","")&amp;IF(AND(ISNUMBER($D371),ISNUMBER($E371),$E371&lt;=$D371),"Bottom depth is not below top depth. ","")&amp;IF($L371="Not confirmed","Bulk-density basis not confirmed with the lab — the coarse-fragment correction may be wrong or doubled. ","")&amp;IF(AND(ISNUMBER($M371),OR($M371&lt;QC_BD_MIN,$M371&gt;QC_BD_MAX)),"Bulk density outside the plausible range for a mineral grassland soil. ","")&amp;IF(AND(ISNUMBER($N371),$N371&gt;QC_CARBON_PCT_MAX),"Organic carbon above the QC ceiling — check units, and whether this is an organic horizon. ","")&amp;IF(AND(ISNUMBER($J371),$J371&lt;QC_RECOVERY_MIN),"Recovered less than the QC minimum of the depth driven — the increments may not sit where you think. Do NOT stretch them back out. ","")&amp;IF(AND(ISNUMBER($K371),$K371&gt;0,$L371="Fine earth / total volume"),"Coarse fragments recorded and the lab basis already accounts for them — no further correction applied, which is correct. ",""))</f>
        <v/>
      </c>
      <c r="T371" s="6" t="n"/>
      <c r="U371" s="9">
        <f>IF($B371="",0,IF(COUNTIFS($B$5:$B371,$B371)=1,1,0))</f>
        <v/>
      </c>
    </row>
    <row r="372">
      <c r="A372" s="6" t="n"/>
      <c r="B372" s="6" t="n"/>
      <c r="C372" s="6" t="n"/>
      <c r="D372" s="6" t="n"/>
      <c r="E372" s="6" t="n"/>
      <c r="F372" s="9">
        <f>IF(OR($D372="",$E372=""),"",$E372-$D372)</f>
        <v/>
      </c>
      <c r="G372" s="6" t="n"/>
      <c r="H372" s="6" t="n"/>
      <c r="I372" s="6" t="n"/>
      <c r="J372" s="9">
        <f>IF(OR(NOT(ISNUMBER($H372)),NOT(ISNUMBER($I372)),$H372=0),"",$I372/$H372)</f>
        <v/>
      </c>
      <c r="K372" s="6" t="n"/>
      <c r="L372" s="8" t="n"/>
      <c r="M372" s="7" t="n"/>
      <c r="N372" s="7" t="n"/>
      <c r="O372" s="9">
        <f>IF(NOT(ISNUMBER($M372)),"",IF($L372="Fine earth / fine-earth volume",$M372*(1-IF(ISNUMBER($K372),$K372,0)/100),$M372))</f>
        <v/>
      </c>
      <c r="P372" s="9">
        <f>IF(OR(NOT(ISNUMBER($O372)),NOT(ISNUMBER($N372)),NOT(ISNUMBER($F372))),"",$O372*($N372/100)*$F372*10)</f>
        <v/>
      </c>
      <c r="Q372" s="9">
        <f>IF(OR(NOT(ISNUMBER($D372)),NOT(ISNUMBER($E372))),"",MAX(0,MIN($E372,SOIL_REPORTING_DEPTH_CM)-MIN($D372,SOIL_REPORTING_DEPTH_CM)))</f>
        <v/>
      </c>
      <c r="R372" s="9">
        <f>IF(OR(NOT(ISNUMBER($O372)),NOT(ISNUMBER($N372)),NOT(ISNUMBER($Q372))),"",$O372*($N372/100)*$Q372*10)</f>
        <v/>
      </c>
      <c r="S372" s="11">
        <f>IF(AND($A372="",$B372="",$D372=""),"",IF(AND($A372&lt;&gt;"",COUNTIF('1. Plot &amp; Site Log'!$A$5:$A$64,$A372)=0),"Plot ID not in the Plot &amp; Site Log. ","")&amp;IF(AND(ISNUMBER($D372),ISNUMBER($E372),$E372&lt;=$D372),"Bottom depth is not below top depth. ","")&amp;IF($L372="Not confirmed","Bulk-density basis not confirmed with the lab — the coarse-fragment correction may be wrong or doubled. ","")&amp;IF(AND(ISNUMBER($M372),OR($M372&lt;QC_BD_MIN,$M372&gt;QC_BD_MAX)),"Bulk density outside the plausible range for a mineral grassland soil. ","")&amp;IF(AND(ISNUMBER($N372),$N372&gt;QC_CARBON_PCT_MAX),"Organic carbon above the QC ceiling — check units, and whether this is an organic horizon. ","")&amp;IF(AND(ISNUMBER($J372),$J372&lt;QC_RECOVERY_MIN),"Recovered less than the QC minimum of the depth driven — the increments may not sit where you think. Do NOT stretch them back out. ","")&amp;IF(AND(ISNUMBER($K372),$K372&gt;0,$L372="Fine earth / total volume"),"Coarse fragments recorded and the lab basis already accounts for them — no further correction applied, which is correct. ",""))</f>
        <v/>
      </c>
      <c r="T372" s="6" t="n"/>
      <c r="U372" s="9">
        <f>IF($B372="",0,IF(COUNTIFS($B$5:$B372,$B372)=1,1,0))</f>
        <v/>
      </c>
    </row>
    <row r="373">
      <c r="A373" s="6" t="n"/>
      <c r="B373" s="6" t="n"/>
      <c r="C373" s="6" t="n"/>
      <c r="D373" s="6" t="n"/>
      <c r="E373" s="6" t="n"/>
      <c r="F373" s="9">
        <f>IF(OR($D373="",$E373=""),"",$E373-$D373)</f>
        <v/>
      </c>
      <c r="G373" s="6" t="n"/>
      <c r="H373" s="6" t="n"/>
      <c r="I373" s="6" t="n"/>
      <c r="J373" s="9">
        <f>IF(OR(NOT(ISNUMBER($H373)),NOT(ISNUMBER($I373)),$H373=0),"",$I373/$H373)</f>
        <v/>
      </c>
      <c r="K373" s="6" t="n"/>
      <c r="L373" s="8" t="n"/>
      <c r="M373" s="7" t="n"/>
      <c r="N373" s="7" t="n"/>
      <c r="O373" s="9">
        <f>IF(NOT(ISNUMBER($M373)),"",IF($L373="Fine earth / fine-earth volume",$M373*(1-IF(ISNUMBER($K373),$K373,0)/100),$M373))</f>
        <v/>
      </c>
      <c r="P373" s="9">
        <f>IF(OR(NOT(ISNUMBER($O373)),NOT(ISNUMBER($N373)),NOT(ISNUMBER($F373))),"",$O373*($N373/100)*$F373*10)</f>
        <v/>
      </c>
      <c r="Q373" s="9">
        <f>IF(OR(NOT(ISNUMBER($D373)),NOT(ISNUMBER($E373))),"",MAX(0,MIN($E373,SOIL_REPORTING_DEPTH_CM)-MIN($D373,SOIL_REPORTING_DEPTH_CM)))</f>
        <v/>
      </c>
      <c r="R373" s="9">
        <f>IF(OR(NOT(ISNUMBER($O373)),NOT(ISNUMBER($N373)),NOT(ISNUMBER($Q373))),"",$O373*($N373/100)*$Q373*10)</f>
        <v/>
      </c>
      <c r="S373" s="11">
        <f>IF(AND($A373="",$B373="",$D373=""),"",IF(AND($A373&lt;&gt;"",COUNTIF('1. Plot &amp; Site Log'!$A$5:$A$64,$A373)=0),"Plot ID not in the Plot &amp; Site Log. ","")&amp;IF(AND(ISNUMBER($D373),ISNUMBER($E373),$E373&lt;=$D373),"Bottom depth is not below top depth. ","")&amp;IF($L373="Not confirmed","Bulk-density basis not confirmed with the lab — the coarse-fragment correction may be wrong or doubled. ","")&amp;IF(AND(ISNUMBER($M373),OR($M373&lt;QC_BD_MIN,$M373&gt;QC_BD_MAX)),"Bulk density outside the plausible range for a mineral grassland soil. ","")&amp;IF(AND(ISNUMBER($N373),$N373&gt;QC_CARBON_PCT_MAX),"Organic carbon above the QC ceiling — check units, and whether this is an organic horizon. ","")&amp;IF(AND(ISNUMBER($J373),$J373&lt;QC_RECOVERY_MIN),"Recovered less than the QC minimum of the depth driven — the increments may not sit where you think. Do NOT stretch them back out. ","")&amp;IF(AND(ISNUMBER($K373),$K373&gt;0,$L373="Fine earth / total volume"),"Coarse fragments recorded and the lab basis already accounts for them — no further correction applied, which is correct. ",""))</f>
        <v/>
      </c>
      <c r="T373" s="6" t="n"/>
      <c r="U373" s="9">
        <f>IF($B373="",0,IF(COUNTIFS($B$5:$B373,$B373)=1,1,0))</f>
        <v/>
      </c>
    </row>
    <row r="374">
      <c r="A374" s="6" t="n"/>
      <c r="B374" s="6" t="n"/>
      <c r="C374" s="6" t="n"/>
      <c r="D374" s="6" t="n"/>
      <c r="E374" s="6" t="n"/>
      <c r="F374" s="9">
        <f>IF(OR($D374="",$E374=""),"",$E374-$D374)</f>
        <v/>
      </c>
      <c r="G374" s="6" t="n"/>
      <c r="H374" s="6" t="n"/>
      <c r="I374" s="6" t="n"/>
      <c r="J374" s="9">
        <f>IF(OR(NOT(ISNUMBER($H374)),NOT(ISNUMBER($I374)),$H374=0),"",$I374/$H374)</f>
        <v/>
      </c>
      <c r="K374" s="6" t="n"/>
      <c r="L374" s="8" t="n"/>
      <c r="M374" s="7" t="n"/>
      <c r="N374" s="7" t="n"/>
      <c r="O374" s="9">
        <f>IF(NOT(ISNUMBER($M374)),"",IF($L374="Fine earth / fine-earth volume",$M374*(1-IF(ISNUMBER($K374),$K374,0)/100),$M374))</f>
        <v/>
      </c>
      <c r="P374" s="9">
        <f>IF(OR(NOT(ISNUMBER($O374)),NOT(ISNUMBER($N374)),NOT(ISNUMBER($F374))),"",$O374*($N374/100)*$F374*10)</f>
        <v/>
      </c>
      <c r="Q374" s="9">
        <f>IF(OR(NOT(ISNUMBER($D374)),NOT(ISNUMBER($E374))),"",MAX(0,MIN($E374,SOIL_REPORTING_DEPTH_CM)-MIN($D374,SOIL_REPORTING_DEPTH_CM)))</f>
        <v/>
      </c>
      <c r="R374" s="9">
        <f>IF(OR(NOT(ISNUMBER($O374)),NOT(ISNUMBER($N374)),NOT(ISNUMBER($Q374))),"",$O374*($N374/100)*$Q374*10)</f>
        <v/>
      </c>
      <c r="S374" s="11">
        <f>IF(AND($A374="",$B374="",$D374=""),"",IF(AND($A374&lt;&gt;"",COUNTIF('1. Plot &amp; Site Log'!$A$5:$A$64,$A374)=0),"Plot ID not in the Plot &amp; Site Log. ","")&amp;IF(AND(ISNUMBER($D374),ISNUMBER($E374),$E374&lt;=$D374),"Bottom depth is not below top depth. ","")&amp;IF($L374="Not confirmed","Bulk-density basis not confirmed with the lab — the coarse-fragment correction may be wrong or doubled. ","")&amp;IF(AND(ISNUMBER($M374),OR($M374&lt;QC_BD_MIN,$M374&gt;QC_BD_MAX)),"Bulk density outside the plausible range for a mineral grassland soil. ","")&amp;IF(AND(ISNUMBER($N374),$N374&gt;QC_CARBON_PCT_MAX),"Organic carbon above the QC ceiling — check units, and whether this is an organic horizon. ","")&amp;IF(AND(ISNUMBER($J374),$J374&lt;QC_RECOVERY_MIN),"Recovered less than the QC minimum of the depth driven — the increments may not sit where you think. Do NOT stretch them back out. ","")&amp;IF(AND(ISNUMBER($K374),$K374&gt;0,$L374="Fine earth / total volume"),"Coarse fragments recorded and the lab basis already accounts for them — no further correction applied, which is correct. ",""))</f>
        <v/>
      </c>
      <c r="T374" s="6" t="n"/>
      <c r="U374" s="9">
        <f>IF($B374="",0,IF(COUNTIFS($B$5:$B374,$B374)=1,1,0))</f>
        <v/>
      </c>
    </row>
    <row r="375">
      <c r="A375" s="6" t="n"/>
      <c r="B375" s="6" t="n"/>
      <c r="C375" s="6" t="n"/>
      <c r="D375" s="6" t="n"/>
      <c r="E375" s="6" t="n"/>
      <c r="F375" s="9">
        <f>IF(OR($D375="",$E375=""),"",$E375-$D375)</f>
        <v/>
      </c>
      <c r="G375" s="6" t="n"/>
      <c r="H375" s="6" t="n"/>
      <c r="I375" s="6" t="n"/>
      <c r="J375" s="9">
        <f>IF(OR(NOT(ISNUMBER($H375)),NOT(ISNUMBER($I375)),$H375=0),"",$I375/$H375)</f>
        <v/>
      </c>
      <c r="K375" s="6" t="n"/>
      <c r="L375" s="8" t="n"/>
      <c r="M375" s="7" t="n"/>
      <c r="N375" s="7" t="n"/>
      <c r="O375" s="9">
        <f>IF(NOT(ISNUMBER($M375)),"",IF($L375="Fine earth / fine-earth volume",$M375*(1-IF(ISNUMBER($K375),$K375,0)/100),$M375))</f>
        <v/>
      </c>
      <c r="P375" s="9">
        <f>IF(OR(NOT(ISNUMBER($O375)),NOT(ISNUMBER($N375)),NOT(ISNUMBER($F375))),"",$O375*($N375/100)*$F375*10)</f>
        <v/>
      </c>
      <c r="Q375" s="9">
        <f>IF(OR(NOT(ISNUMBER($D375)),NOT(ISNUMBER($E375))),"",MAX(0,MIN($E375,SOIL_REPORTING_DEPTH_CM)-MIN($D375,SOIL_REPORTING_DEPTH_CM)))</f>
        <v/>
      </c>
      <c r="R375" s="9">
        <f>IF(OR(NOT(ISNUMBER($O375)),NOT(ISNUMBER($N375)),NOT(ISNUMBER($Q375))),"",$O375*($N375/100)*$Q375*10)</f>
        <v/>
      </c>
      <c r="S375" s="11">
        <f>IF(AND($A375="",$B375="",$D375=""),"",IF(AND($A375&lt;&gt;"",COUNTIF('1. Plot &amp; Site Log'!$A$5:$A$64,$A375)=0),"Plot ID not in the Plot &amp; Site Log. ","")&amp;IF(AND(ISNUMBER($D375),ISNUMBER($E375),$E375&lt;=$D375),"Bottom depth is not below top depth. ","")&amp;IF($L375="Not confirmed","Bulk-density basis not confirmed with the lab — the coarse-fragment correction may be wrong or doubled. ","")&amp;IF(AND(ISNUMBER($M375),OR($M375&lt;QC_BD_MIN,$M375&gt;QC_BD_MAX)),"Bulk density outside the plausible range for a mineral grassland soil. ","")&amp;IF(AND(ISNUMBER($N375),$N375&gt;QC_CARBON_PCT_MAX),"Organic carbon above the QC ceiling — check units, and whether this is an organic horizon. ","")&amp;IF(AND(ISNUMBER($J375),$J375&lt;QC_RECOVERY_MIN),"Recovered less than the QC minimum of the depth driven — the increments may not sit where you think. Do NOT stretch them back out. ","")&amp;IF(AND(ISNUMBER($K375),$K375&gt;0,$L375="Fine earth / total volume"),"Coarse fragments recorded and the lab basis already accounts for them — no further correction applied, which is correct. ",""))</f>
        <v/>
      </c>
      <c r="T375" s="6" t="n"/>
      <c r="U375" s="9">
        <f>IF($B375="",0,IF(COUNTIFS($B$5:$B375,$B375)=1,1,0))</f>
        <v/>
      </c>
    </row>
    <row r="376">
      <c r="A376" s="6" t="n"/>
      <c r="B376" s="6" t="n"/>
      <c r="C376" s="6" t="n"/>
      <c r="D376" s="6" t="n"/>
      <c r="E376" s="6" t="n"/>
      <c r="F376" s="9">
        <f>IF(OR($D376="",$E376=""),"",$E376-$D376)</f>
        <v/>
      </c>
      <c r="G376" s="6" t="n"/>
      <c r="H376" s="6" t="n"/>
      <c r="I376" s="6" t="n"/>
      <c r="J376" s="9">
        <f>IF(OR(NOT(ISNUMBER($H376)),NOT(ISNUMBER($I376)),$H376=0),"",$I376/$H376)</f>
        <v/>
      </c>
      <c r="K376" s="6" t="n"/>
      <c r="L376" s="8" t="n"/>
      <c r="M376" s="7" t="n"/>
      <c r="N376" s="7" t="n"/>
      <c r="O376" s="9">
        <f>IF(NOT(ISNUMBER($M376)),"",IF($L376="Fine earth / fine-earth volume",$M376*(1-IF(ISNUMBER($K376),$K376,0)/100),$M376))</f>
        <v/>
      </c>
      <c r="P376" s="9">
        <f>IF(OR(NOT(ISNUMBER($O376)),NOT(ISNUMBER($N376)),NOT(ISNUMBER($F376))),"",$O376*($N376/100)*$F376*10)</f>
        <v/>
      </c>
      <c r="Q376" s="9">
        <f>IF(OR(NOT(ISNUMBER($D376)),NOT(ISNUMBER($E376))),"",MAX(0,MIN($E376,SOIL_REPORTING_DEPTH_CM)-MIN($D376,SOIL_REPORTING_DEPTH_CM)))</f>
        <v/>
      </c>
      <c r="R376" s="9">
        <f>IF(OR(NOT(ISNUMBER($O376)),NOT(ISNUMBER($N376)),NOT(ISNUMBER($Q376))),"",$O376*($N376/100)*$Q376*10)</f>
        <v/>
      </c>
      <c r="S376" s="11">
        <f>IF(AND($A376="",$B376="",$D376=""),"",IF(AND($A376&lt;&gt;"",COUNTIF('1. Plot &amp; Site Log'!$A$5:$A$64,$A376)=0),"Plot ID not in the Plot &amp; Site Log. ","")&amp;IF(AND(ISNUMBER($D376),ISNUMBER($E376),$E376&lt;=$D376),"Bottom depth is not below top depth. ","")&amp;IF($L376="Not confirmed","Bulk-density basis not confirmed with the lab — the coarse-fragment correction may be wrong or doubled. ","")&amp;IF(AND(ISNUMBER($M376),OR($M376&lt;QC_BD_MIN,$M376&gt;QC_BD_MAX)),"Bulk density outside the plausible range for a mineral grassland soil. ","")&amp;IF(AND(ISNUMBER($N376),$N376&gt;QC_CARBON_PCT_MAX),"Organic carbon above the QC ceiling — check units, and whether this is an organic horizon. ","")&amp;IF(AND(ISNUMBER($J376),$J376&lt;QC_RECOVERY_MIN),"Recovered less than the QC minimum of the depth driven — the increments may not sit where you think. Do NOT stretch them back out. ","")&amp;IF(AND(ISNUMBER($K376),$K376&gt;0,$L376="Fine earth / total volume"),"Coarse fragments recorded and the lab basis already accounts for them — no further correction applied, which is correct. ",""))</f>
        <v/>
      </c>
      <c r="T376" s="6" t="n"/>
      <c r="U376" s="9">
        <f>IF($B376="",0,IF(COUNTIFS($B$5:$B376,$B376)=1,1,0))</f>
        <v/>
      </c>
    </row>
    <row r="377">
      <c r="A377" s="6" t="n"/>
      <c r="B377" s="6" t="n"/>
      <c r="C377" s="6" t="n"/>
      <c r="D377" s="6" t="n"/>
      <c r="E377" s="6" t="n"/>
      <c r="F377" s="9">
        <f>IF(OR($D377="",$E377=""),"",$E377-$D377)</f>
        <v/>
      </c>
      <c r="G377" s="6" t="n"/>
      <c r="H377" s="6" t="n"/>
      <c r="I377" s="6" t="n"/>
      <c r="J377" s="9">
        <f>IF(OR(NOT(ISNUMBER($H377)),NOT(ISNUMBER($I377)),$H377=0),"",$I377/$H377)</f>
        <v/>
      </c>
      <c r="K377" s="6" t="n"/>
      <c r="L377" s="8" t="n"/>
      <c r="M377" s="7" t="n"/>
      <c r="N377" s="7" t="n"/>
      <c r="O377" s="9">
        <f>IF(NOT(ISNUMBER($M377)),"",IF($L377="Fine earth / fine-earth volume",$M377*(1-IF(ISNUMBER($K377),$K377,0)/100),$M377))</f>
        <v/>
      </c>
      <c r="P377" s="9">
        <f>IF(OR(NOT(ISNUMBER($O377)),NOT(ISNUMBER($N377)),NOT(ISNUMBER($F377))),"",$O377*($N377/100)*$F377*10)</f>
        <v/>
      </c>
      <c r="Q377" s="9">
        <f>IF(OR(NOT(ISNUMBER($D377)),NOT(ISNUMBER($E377))),"",MAX(0,MIN($E377,SOIL_REPORTING_DEPTH_CM)-MIN($D377,SOIL_REPORTING_DEPTH_CM)))</f>
        <v/>
      </c>
      <c r="R377" s="9">
        <f>IF(OR(NOT(ISNUMBER($O377)),NOT(ISNUMBER($N377)),NOT(ISNUMBER($Q377))),"",$O377*($N377/100)*$Q377*10)</f>
        <v/>
      </c>
      <c r="S377" s="11">
        <f>IF(AND($A377="",$B377="",$D377=""),"",IF(AND($A377&lt;&gt;"",COUNTIF('1. Plot &amp; Site Log'!$A$5:$A$64,$A377)=0),"Plot ID not in the Plot &amp; Site Log. ","")&amp;IF(AND(ISNUMBER($D377),ISNUMBER($E377),$E377&lt;=$D377),"Bottom depth is not below top depth. ","")&amp;IF($L377="Not confirmed","Bulk-density basis not confirmed with the lab — the coarse-fragment correction may be wrong or doubled. ","")&amp;IF(AND(ISNUMBER($M377),OR($M377&lt;QC_BD_MIN,$M377&gt;QC_BD_MAX)),"Bulk density outside the plausible range for a mineral grassland soil. ","")&amp;IF(AND(ISNUMBER($N377),$N377&gt;QC_CARBON_PCT_MAX),"Organic carbon above the QC ceiling — check units, and whether this is an organic horizon. ","")&amp;IF(AND(ISNUMBER($J377),$J377&lt;QC_RECOVERY_MIN),"Recovered less than the QC minimum of the depth driven — the increments may not sit where you think. Do NOT stretch them back out. ","")&amp;IF(AND(ISNUMBER($K377),$K377&gt;0,$L377="Fine earth / total volume"),"Coarse fragments recorded and the lab basis already accounts for them — no further correction applied, which is correct. ",""))</f>
        <v/>
      </c>
      <c r="T377" s="6" t="n"/>
      <c r="U377" s="9">
        <f>IF($B377="",0,IF(COUNTIFS($B$5:$B377,$B377)=1,1,0))</f>
        <v/>
      </c>
    </row>
    <row r="378">
      <c r="A378" s="6" t="n"/>
      <c r="B378" s="6" t="n"/>
      <c r="C378" s="6" t="n"/>
      <c r="D378" s="6" t="n"/>
      <c r="E378" s="6" t="n"/>
      <c r="F378" s="9">
        <f>IF(OR($D378="",$E378=""),"",$E378-$D378)</f>
        <v/>
      </c>
      <c r="G378" s="6" t="n"/>
      <c r="H378" s="6" t="n"/>
      <c r="I378" s="6" t="n"/>
      <c r="J378" s="9">
        <f>IF(OR(NOT(ISNUMBER($H378)),NOT(ISNUMBER($I378)),$H378=0),"",$I378/$H378)</f>
        <v/>
      </c>
      <c r="K378" s="6" t="n"/>
      <c r="L378" s="8" t="n"/>
      <c r="M378" s="7" t="n"/>
      <c r="N378" s="7" t="n"/>
      <c r="O378" s="9">
        <f>IF(NOT(ISNUMBER($M378)),"",IF($L378="Fine earth / fine-earth volume",$M378*(1-IF(ISNUMBER($K378),$K378,0)/100),$M378))</f>
        <v/>
      </c>
      <c r="P378" s="9">
        <f>IF(OR(NOT(ISNUMBER($O378)),NOT(ISNUMBER($N378)),NOT(ISNUMBER($F378))),"",$O378*($N378/100)*$F378*10)</f>
        <v/>
      </c>
      <c r="Q378" s="9">
        <f>IF(OR(NOT(ISNUMBER($D378)),NOT(ISNUMBER($E378))),"",MAX(0,MIN($E378,SOIL_REPORTING_DEPTH_CM)-MIN($D378,SOIL_REPORTING_DEPTH_CM)))</f>
        <v/>
      </c>
      <c r="R378" s="9">
        <f>IF(OR(NOT(ISNUMBER($O378)),NOT(ISNUMBER($N378)),NOT(ISNUMBER($Q378))),"",$O378*($N378/100)*$Q378*10)</f>
        <v/>
      </c>
      <c r="S378" s="11">
        <f>IF(AND($A378="",$B378="",$D378=""),"",IF(AND($A378&lt;&gt;"",COUNTIF('1. Plot &amp; Site Log'!$A$5:$A$64,$A378)=0),"Plot ID not in the Plot &amp; Site Log. ","")&amp;IF(AND(ISNUMBER($D378),ISNUMBER($E378),$E378&lt;=$D378),"Bottom depth is not below top depth. ","")&amp;IF($L378="Not confirmed","Bulk-density basis not confirmed with the lab — the coarse-fragment correction may be wrong or doubled. ","")&amp;IF(AND(ISNUMBER($M378),OR($M378&lt;QC_BD_MIN,$M378&gt;QC_BD_MAX)),"Bulk density outside the plausible range for a mineral grassland soil. ","")&amp;IF(AND(ISNUMBER($N378),$N378&gt;QC_CARBON_PCT_MAX),"Organic carbon above the QC ceiling — check units, and whether this is an organic horizon. ","")&amp;IF(AND(ISNUMBER($J378),$J378&lt;QC_RECOVERY_MIN),"Recovered less than the QC minimum of the depth driven — the increments may not sit where you think. Do NOT stretch them back out. ","")&amp;IF(AND(ISNUMBER($K378),$K378&gt;0,$L378="Fine earth / total volume"),"Coarse fragments recorded and the lab basis already accounts for them — no further correction applied, which is correct. ",""))</f>
        <v/>
      </c>
      <c r="T378" s="6" t="n"/>
      <c r="U378" s="9">
        <f>IF($B378="",0,IF(COUNTIFS($B$5:$B378,$B378)=1,1,0))</f>
        <v/>
      </c>
    </row>
    <row r="379">
      <c r="A379" s="6" t="n"/>
      <c r="B379" s="6" t="n"/>
      <c r="C379" s="6" t="n"/>
      <c r="D379" s="6" t="n"/>
      <c r="E379" s="6" t="n"/>
      <c r="F379" s="9">
        <f>IF(OR($D379="",$E379=""),"",$E379-$D379)</f>
        <v/>
      </c>
      <c r="G379" s="6" t="n"/>
      <c r="H379" s="6" t="n"/>
      <c r="I379" s="6" t="n"/>
      <c r="J379" s="9">
        <f>IF(OR(NOT(ISNUMBER($H379)),NOT(ISNUMBER($I379)),$H379=0),"",$I379/$H379)</f>
        <v/>
      </c>
      <c r="K379" s="6" t="n"/>
      <c r="L379" s="8" t="n"/>
      <c r="M379" s="7" t="n"/>
      <c r="N379" s="7" t="n"/>
      <c r="O379" s="9">
        <f>IF(NOT(ISNUMBER($M379)),"",IF($L379="Fine earth / fine-earth volume",$M379*(1-IF(ISNUMBER($K379),$K379,0)/100),$M379))</f>
        <v/>
      </c>
      <c r="P379" s="9">
        <f>IF(OR(NOT(ISNUMBER($O379)),NOT(ISNUMBER($N379)),NOT(ISNUMBER($F379))),"",$O379*($N379/100)*$F379*10)</f>
        <v/>
      </c>
      <c r="Q379" s="9">
        <f>IF(OR(NOT(ISNUMBER($D379)),NOT(ISNUMBER($E379))),"",MAX(0,MIN($E379,SOIL_REPORTING_DEPTH_CM)-MIN($D379,SOIL_REPORTING_DEPTH_CM)))</f>
        <v/>
      </c>
      <c r="R379" s="9">
        <f>IF(OR(NOT(ISNUMBER($O379)),NOT(ISNUMBER($N379)),NOT(ISNUMBER($Q379))),"",$O379*($N379/100)*$Q379*10)</f>
        <v/>
      </c>
      <c r="S379" s="11">
        <f>IF(AND($A379="",$B379="",$D379=""),"",IF(AND($A379&lt;&gt;"",COUNTIF('1. Plot &amp; Site Log'!$A$5:$A$64,$A379)=0),"Plot ID not in the Plot &amp; Site Log. ","")&amp;IF(AND(ISNUMBER($D379),ISNUMBER($E379),$E379&lt;=$D379),"Bottom depth is not below top depth. ","")&amp;IF($L379="Not confirmed","Bulk-density basis not confirmed with the lab — the coarse-fragment correction may be wrong or doubled. ","")&amp;IF(AND(ISNUMBER($M379),OR($M379&lt;QC_BD_MIN,$M379&gt;QC_BD_MAX)),"Bulk density outside the plausible range for a mineral grassland soil. ","")&amp;IF(AND(ISNUMBER($N379),$N379&gt;QC_CARBON_PCT_MAX),"Organic carbon above the QC ceiling — check units, and whether this is an organic horizon. ","")&amp;IF(AND(ISNUMBER($J379),$J379&lt;QC_RECOVERY_MIN),"Recovered less than the QC minimum of the depth driven — the increments may not sit where you think. Do NOT stretch them back out. ","")&amp;IF(AND(ISNUMBER($K379),$K379&gt;0,$L379="Fine earth / total volume"),"Coarse fragments recorded and the lab basis already accounts for them — no further correction applied, which is correct. ",""))</f>
        <v/>
      </c>
      <c r="T379" s="6" t="n"/>
      <c r="U379" s="9">
        <f>IF($B379="",0,IF(COUNTIFS($B$5:$B379,$B379)=1,1,0))</f>
        <v/>
      </c>
    </row>
    <row r="380">
      <c r="A380" s="6" t="n"/>
      <c r="B380" s="6" t="n"/>
      <c r="C380" s="6" t="n"/>
      <c r="D380" s="6" t="n"/>
      <c r="E380" s="6" t="n"/>
      <c r="F380" s="9">
        <f>IF(OR($D380="",$E380=""),"",$E380-$D380)</f>
        <v/>
      </c>
      <c r="G380" s="6" t="n"/>
      <c r="H380" s="6" t="n"/>
      <c r="I380" s="6" t="n"/>
      <c r="J380" s="9">
        <f>IF(OR(NOT(ISNUMBER($H380)),NOT(ISNUMBER($I380)),$H380=0),"",$I380/$H380)</f>
        <v/>
      </c>
      <c r="K380" s="6" t="n"/>
      <c r="L380" s="8" t="n"/>
      <c r="M380" s="7" t="n"/>
      <c r="N380" s="7" t="n"/>
      <c r="O380" s="9">
        <f>IF(NOT(ISNUMBER($M380)),"",IF($L380="Fine earth / fine-earth volume",$M380*(1-IF(ISNUMBER($K380),$K380,0)/100),$M380))</f>
        <v/>
      </c>
      <c r="P380" s="9">
        <f>IF(OR(NOT(ISNUMBER($O380)),NOT(ISNUMBER($N380)),NOT(ISNUMBER($F380))),"",$O380*($N380/100)*$F380*10)</f>
        <v/>
      </c>
      <c r="Q380" s="9">
        <f>IF(OR(NOT(ISNUMBER($D380)),NOT(ISNUMBER($E380))),"",MAX(0,MIN($E380,SOIL_REPORTING_DEPTH_CM)-MIN($D380,SOIL_REPORTING_DEPTH_CM)))</f>
        <v/>
      </c>
      <c r="R380" s="9">
        <f>IF(OR(NOT(ISNUMBER($O380)),NOT(ISNUMBER($N380)),NOT(ISNUMBER($Q380))),"",$O380*($N380/100)*$Q380*10)</f>
        <v/>
      </c>
      <c r="S380" s="11">
        <f>IF(AND($A380="",$B380="",$D380=""),"",IF(AND($A380&lt;&gt;"",COUNTIF('1. Plot &amp; Site Log'!$A$5:$A$64,$A380)=0),"Plot ID not in the Plot &amp; Site Log. ","")&amp;IF(AND(ISNUMBER($D380),ISNUMBER($E380),$E380&lt;=$D380),"Bottom depth is not below top depth. ","")&amp;IF($L380="Not confirmed","Bulk-density basis not confirmed with the lab — the coarse-fragment correction may be wrong or doubled. ","")&amp;IF(AND(ISNUMBER($M380),OR($M380&lt;QC_BD_MIN,$M380&gt;QC_BD_MAX)),"Bulk density outside the plausible range for a mineral grassland soil. ","")&amp;IF(AND(ISNUMBER($N380),$N380&gt;QC_CARBON_PCT_MAX),"Organic carbon above the QC ceiling — check units, and whether this is an organic horizon. ","")&amp;IF(AND(ISNUMBER($J380),$J380&lt;QC_RECOVERY_MIN),"Recovered less than the QC minimum of the depth driven — the increments may not sit where you think. Do NOT stretch them back out. ","")&amp;IF(AND(ISNUMBER($K380),$K380&gt;0,$L380="Fine earth / total volume"),"Coarse fragments recorded and the lab basis already accounts for them — no further correction applied, which is correct. ",""))</f>
        <v/>
      </c>
      <c r="T380" s="6" t="n"/>
      <c r="U380" s="9">
        <f>IF($B380="",0,IF(COUNTIFS($B$5:$B380,$B380)=1,1,0))</f>
        <v/>
      </c>
    </row>
    <row r="381">
      <c r="A381" s="6" t="n"/>
      <c r="B381" s="6" t="n"/>
      <c r="C381" s="6" t="n"/>
      <c r="D381" s="6" t="n"/>
      <c r="E381" s="6" t="n"/>
      <c r="F381" s="9">
        <f>IF(OR($D381="",$E381=""),"",$E381-$D381)</f>
        <v/>
      </c>
      <c r="G381" s="6" t="n"/>
      <c r="H381" s="6" t="n"/>
      <c r="I381" s="6" t="n"/>
      <c r="J381" s="9">
        <f>IF(OR(NOT(ISNUMBER($H381)),NOT(ISNUMBER($I381)),$H381=0),"",$I381/$H381)</f>
        <v/>
      </c>
      <c r="K381" s="6" t="n"/>
      <c r="L381" s="8" t="n"/>
      <c r="M381" s="7" t="n"/>
      <c r="N381" s="7" t="n"/>
      <c r="O381" s="9">
        <f>IF(NOT(ISNUMBER($M381)),"",IF($L381="Fine earth / fine-earth volume",$M381*(1-IF(ISNUMBER($K381),$K381,0)/100),$M381))</f>
        <v/>
      </c>
      <c r="P381" s="9">
        <f>IF(OR(NOT(ISNUMBER($O381)),NOT(ISNUMBER($N381)),NOT(ISNUMBER($F381))),"",$O381*($N381/100)*$F381*10)</f>
        <v/>
      </c>
      <c r="Q381" s="9">
        <f>IF(OR(NOT(ISNUMBER($D381)),NOT(ISNUMBER($E381))),"",MAX(0,MIN($E381,SOIL_REPORTING_DEPTH_CM)-MIN($D381,SOIL_REPORTING_DEPTH_CM)))</f>
        <v/>
      </c>
      <c r="R381" s="9">
        <f>IF(OR(NOT(ISNUMBER($O381)),NOT(ISNUMBER($N381)),NOT(ISNUMBER($Q381))),"",$O381*($N381/100)*$Q381*10)</f>
        <v/>
      </c>
      <c r="S381" s="11">
        <f>IF(AND($A381="",$B381="",$D381=""),"",IF(AND($A381&lt;&gt;"",COUNTIF('1. Plot &amp; Site Log'!$A$5:$A$64,$A381)=0),"Plot ID not in the Plot &amp; Site Log. ","")&amp;IF(AND(ISNUMBER($D381),ISNUMBER($E381),$E381&lt;=$D381),"Bottom depth is not below top depth. ","")&amp;IF($L381="Not confirmed","Bulk-density basis not confirmed with the lab — the coarse-fragment correction may be wrong or doubled. ","")&amp;IF(AND(ISNUMBER($M381),OR($M381&lt;QC_BD_MIN,$M381&gt;QC_BD_MAX)),"Bulk density outside the plausible range for a mineral grassland soil. ","")&amp;IF(AND(ISNUMBER($N381),$N381&gt;QC_CARBON_PCT_MAX),"Organic carbon above the QC ceiling — check units, and whether this is an organic horizon. ","")&amp;IF(AND(ISNUMBER($J381),$J381&lt;QC_RECOVERY_MIN),"Recovered less than the QC minimum of the depth driven — the increments may not sit where you think. Do NOT stretch them back out. ","")&amp;IF(AND(ISNUMBER($K381),$K381&gt;0,$L381="Fine earth / total volume"),"Coarse fragments recorded and the lab basis already accounts for them — no further correction applied, which is correct. ",""))</f>
        <v/>
      </c>
      <c r="T381" s="6" t="n"/>
      <c r="U381" s="9">
        <f>IF($B381="",0,IF(COUNTIFS($B$5:$B381,$B381)=1,1,0))</f>
        <v/>
      </c>
    </row>
    <row r="382">
      <c r="A382" s="6" t="n"/>
      <c r="B382" s="6" t="n"/>
      <c r="C382" s="6" t="n"/>
      <c r="D382" s="6" t="n"/>
      <c r="E382" s="6" t="n"/>
      <c r="F382" s="9">
        <f>IF(OR($D382="",$E382=""),"",$E382-$D382)</f>
        <v/>
      </c>
      <c r="G382" s="6" t="n"/>
      <c r="H382" s="6" t="n"/>
      <c r="I382" s="6" t="n"/>
      <c r="J382" s="9">
        <f>IF(OR(NOT(ISNUMBER($H382)),NOT(ISNUMBER($I382)),$H382=0),"",$I382/$H382)</f>
        <v/>
      </c>
      <c r="K382" s="6" t="n"/>
      <c r="L382" s="8" t="n"/>
      <c r="M382" s="7" t="n"/>
      <c r="N382" s="7" t="n"/>
      <c r="O382" s="9">
        <f>IF(NOT(ISNUMBER($M382)),"",IF($L382="Fine earth / fine-earth volume",$M382*(1-IF(ISNUMBER($K382),$K382,0)/100),$M382))</f>
        <v/>
      </c>
      <c r="P382" s="9">
        <f>IF(OR(NOT(ISNUMBER($O382)),NOT(ISNUMBER($N382)),NOT(ISNUMBER($F382))),"",$O382*($N382/100)*$F382*10)</f>
        <v/>
      </c>
      <c r="Q382" s="9">
        <f>IF(OR(NOT(ISNUMBER($D382)),NOT(ISNUMBER($E382))),"",MAX(0,MIN($E382,SOIL_REPORTING_DEPTH_CM)-MIN($D382,SOIL_REPORTING_DEPTH_CM)))</f>
        <v/>
      </c>
      <c r="R382" s="9">
        <f>IF(OR(NOT(ISNUMBER($O382)),NOT(ISNUMBER($N382)),NOT(ISNUMBER($Q382))),"",$O382*($N382/100)*$Q382*10)</f>
        <v/>
      </c>
      <c r="S382" s="11">
        <f>IF(AND($A382="",$B382="",$D382=""),"",IF(AND($A382&lt;&gt;"",COUNTIF('1. Plot &amp; Site Log'!$A$5:$A$64,$A382)=0),"Plot ID not in the Plot &amp; Site Log. ","")&amp;IF(AND(ISNUMBER($D382),ISNUMBER($E382),$E382&lt;=$D382),"Bottom depth is not below top depth. ","")&amp;IF($L382="Not confirmed","Bulk-density basis not confirmed with the lab — the coarse-fragment correction may be wrong or doubled. ","")&amp;IF(AND(ISNUMBER($M382),OR($M382&lt;QC_BD_MIN,$M382&gt;QC_BD_MAX)),"Bulk density outside the plausible range for a mineral grassland soil. ","")&amp;IF(AND(ISNUMBER($N382),$N382&gt;QC_CARBON_PCT_MAX),"Organic carbon above the QC ceiling — check units, and whether this is an organic horizon. ","")&amp;IF(AND(ISNUMBER($J382),$J382&lt;QC_RECOVERY_MIN),"Recovered less than the QC minimum of the depth driven — the increments may not sit where you think. Do NOT stretch them back out. ","")&amp;IF(AND(ISNUMBER($K382),$K382&gt;0,$L382="Fine earth / total volume"),"Coarse fragments recorded and the lab basis already accounts for them — no further correction applied, which is correct. ",""))</f>
        <v/>
      </c>
      <c r="T382" s="6" t="n"/>
      <c r="U382" s="9">
        <f>IF($B382="",0,IF(COUNTIFS($B$5:$B382,$B382)=1,1,0))</f>
        <v/>
      </c>
    </row>
    <row r="383">
      <c r="A383" s="6" t="n"/>
      <c r="B383" s="6" t="n"/>
      <c r="C383" s="6" t="n"/>
      <c r="D383" s="6" t="n"/>
      <c r="E383" s="6" t="n"/>
      <c r="F383" s="9">
        <f>IF(OR($D383="",$E383=""),"",$E383-$D383)</f>
        <v/>
      </c>
      <c r="G383" s="6" t="n"/>
      <c r="H383" s="6" t="n"/>
      <c r="I383" s="6" t="n"/>
      <c r="J383" s="9">
        <f>IF(OR(NOT(ISNUMBER($H383)),NOT(ISNUMBER($I383)),$H383=0),"",$I383/$H383)</f>
        <v/>
      </c>
      <c r="K383" s="6" t="n"/>
      <c r="L383" s="8" t="n"/>
      <c r="M383" s="7" t="n"/>
      <c r="N383" s="7" t="n"/>
      <c r="O383" s="9">
        <f>IF(NOT(ISNUMBER($M383)),"",IF($L383="Fine earth / fine-earth volume",$M383*(1-IF(ISNUMBER($K383),$K383,0)/100),$M383))</f>
        <v/>
      </c>
      <c r="P383" s="9">
        <f>IF(OR(NOT(ISNUMBER($O383)),NOT(ISNUMBER($N383)),NOT(ISNUMBER($F383))),"",$O383*($N383/100)*$F383*10)</f>
        <v/>
      </c>
      <c r="Q383" s="9">
        <f>IF(OR(NOT(ISNUMBER($D383)),NOT(ISNUMBER($E383))),"",MAX(0,MIN($E383,SOIL_REPORTING_DEPTH_CM)-MIN($D383,SOIL_REPORTING_DEPTH_CM)))</f>
        <v/>
      </c>
      <c r="R383" s="9">
        <f>IF(OR(NOT(ISNUMBER($O383)),NOT(ISNUMBER($N383)),NOT(ISNUMBER($Q383))),"",$O383*($N383/100)*$Q383*10)</f>
        <v/>
      </c>
      <c r="S383" s="11">
        <f>IF(AND($A383="",$B383="",$D383=""),"",IF(AND($A383&lt;&gt;"",COUNTIF('1. Plot &amp; Site Log'!$A$5:$A$64,$A383)=0),"Plot ID not in the Plot &amp; Site Log. ","")&amp;IF(AND(ISNUMBER($D383),ISNUMBER($E383),$E383&lt;=$D383),"Bottom depth is not below top depth. ","")&amp;IF($L383="Not confirmed","Bulk-density basis not confirmed with the lab — the coarse-fragment correction may be wrong or doubled. ","")&amp;IF(AND(ISNUMBER($M383),OR($M383&lt;QC_BD_MIN,$M383&gt;QC_BD_MAX)),"Bulk density outside the plausible range for a mineral grassland soil. ","")&amp;IF(AND(ISNUMBER($N383),$N383&gt;QC_CARBON_PCT_MAX),"Organic carbon above the QC ceiling — check units, and whether this is an organic horizon. ","")&amp;IF(AND(ISNUMBER($J383),$J383&lt;QC_RECOVERY_MIN),"Recovered less than the QC minimum of the depth driven — the increments may not sit where you think. Do NOT stretch them back out. ","")&amp;IF(AND(ISNUMBER($K383),$K383&gt;0,$L383="Fine earth / total volume"),"Coarse fragments recorded and the lab basis already accounts for them — no further correction applied, which is correct. ",""))</f>
        <v/>
      </c>
      <c r="T383" s="6" t="n"/>
      <c r="U383" s="9">
        <f>IF($B383="",0,IF(COUNTIFS($B$5:$B383,$B383)=1,1,0))</f>
        <v/>
      </c>
    </row>
    <row r="384">
      <c r="A384" s="6" t="n"/>
      <c r="B384" s="6" t="n"/>
      <c r="C384" s="6" t="n"/>
      <c r="D384" s="6" t="n"/>
      <c r="E384" s="6" t="n"/>
      <c r="F384" s="9">
        <f>IF(OR($D384="",$E384=""),"",$E384-$D384)</f>
        <v/>
      </c>
      <c r="G384" s="6" t="n"/>
      <c r="H384" s="6" t="n"/>
      <c r="I384" s="6" t="n"/>
      <c r="J384" s="9">
        <f>IF(OR(NOT(ISNUMBER($H384)),NOT(ISNUMBER($I384)),$H384=0),"",$I384/$H384)</f>
        <v/>
      </c>
      <c r="K384" s="6" t="n"/>
      <c r="L384" s="8" t="n"/>
      <c r="M384" s="7" t="n"/>
      <c r="N384" s="7" t="n"/>
      <c r="O384" s="9">
        <f>IF(NOT(ISNUMBER($M384)),"",IF($L384="Fine earth / fine-earth volume",$M384*(1-IF(ISNUMBER($K384),$K384,0)/100),$M384))</f>
        <v/>
      </c>
      <c r="P384" s="9">
        <f>IF(OR(NOT(ISNUMBER($O384)),NOT(ISNUMBER($N384)),NOT(ISNUMBER($F384))),"",$O384*($N384/100)*$F384*10)</f>
        <v/>
      </c>
      <c r="Q384" s="9">
        <f>IF(OR(NOT(ISNUMBER($D384)),NOT(ISNUMBER($E384))),"",MAX(0,MIN($E384,SOIL_REPORTING_DEPTH_CM)-MIN($D384,SOIL_REPORTING_DEPTH_CM)))</f>
        <v/>
      </c>
      <c r="R384" s="9">
        <f>IF(OR(NOT(ISNUMBER($O384)),NOT(ISNUMBER($N384)),NOT(ISNUMBER($Q384))),"",$O384*($N384/100)*$Q384*10)</f>
        <v/>
      </c>
      <c r="S384" s="11">
        <f>IF(AND($A384="",$B384="",$D384=""),"",IF(AND($A384&lt;&gt;"",COUNTIF('1. Plot &amp; Site Log'!$A$5:$A$64,$A384)=0),"Plot ID not in the Plot &amp; Site Log. ","")&amp;IF(AND(ISNUMBER($D384),ISNUMBER($E384),$E384&lt;=$D384),"Bottom depth is not below top depth. ","")&amp;IF($L384="Not confirmed","Bulk-density basis not confirmed with the lab — the coarse-fragment correction may be wrong or doubled. ","")&amp;IF(AND(ISNUMBER($M384),OR($M384&lt;QC_BD_MIN,$M384&gt;QC_BD_MAX)),"Bulk density outside the plausible range for a mineral grassland soil. ","")&amp;IF(AND(ISNUMBER($N384),$N384&gt;QC_CARBON_PCT_MAX),"Organic carbon above the QC ceiling — check units, and whether this is an organic horizon. ","")&amp;IF(AND(ISNUMBER($J384),$J384&lt;QC_RECOVERY_MIN),"Recovered less than the QC minimum of the depth driven — the increments may not sit where you think. Do NOT stretch them back out. ","")&amp;IF(AND(ISNUMBER($K384),$K384&gt;0,$L384="Fine earth / total volume"),"Coarse fragments recorded and the lab basis already accounts for them — no further correction applied, which is correct. ",""))</f>
        <v/>
      </c>
      <c r="T384" s="6" t="n"/>
      <c r="U384" s="9">
        <f>IF($B384="",0,IF(COUNTIFS($B$5:$B384,$B384)=1,1,0))</f>
        <v/>
      </c>
    </row>
    <row r="385">
      <c r="A385" s="6" t="n"/>
      <c r="B385" s="6" t="n"/>
      <c r="C385" s="6" t="n"/>
      <c r="D385" s="6" t="n"/>
      <c r="E385" s="6" t="n"/>
      <c r="F385" s="9">
        <f>IF(OR($D385="",$E385=""),"",$E385-$D385)</f>
        <v/>
      </c>
      <c r="G385" s="6" t="n"/>
      <c r="H385" s="6" t="n"/>
      <c r="I385" s="6" t="n"/>
      <c r="J385" s="9">
        <f>IF(OR(NOT(ISNUMBER($H385)),NOT(ISNUMBER($I385)),$H385=0),"",$I385/$H385)</f>
        <v/>
      </c>
      <c r="K385" s="6" t="n"/>
      <c r="L385" s="8" t="n"/>
      <c r="M385" s="7" t="n"/>
      <c r="N385" s="7" t="n"/>
      <c r="O385" s="9">
        <f>IF(NOT(ISNUMBER($M385)),"",IF($L385="Fine earth / fine-earth volume",$M385*(1-IF(ISNUMBER($K385),$K385,0)/100),$M385))</f>
        <v/>
      </c>
      <c r="P385" s="9">
        <f>IF(OR(NOT(ISNUMBER($O385)),NOT(ISNUMBER($N385)),NOT(ISNUMBER($F385))),"",$O385*($N385/100)*$F385*10)</f>
        <v/>
      </c>
      <c r="Q385" s="9">
        <f>IF(OR(NOT(ISNUMBER($D385)),NOT(ISNUMBER($E385))),"",MAX(0,MIN($E385,SOIL_REPORTING_DEPTH_CM)-MIN($D385,SOIL_REPORTING_DEPTH_CM)))</f>
        <v/>
      </c>
      <c r="R385" s="9">
        <f>IF(OR(NOT(ISNUMBER($O385)),NOT(ISNUMBER($N385)),NOT(ISNUMBER($Q385))),"",$O385*($N385/100)*$Q385*10)</f>
        <v/>
      </c>
      <c r="S385" s="11">
        <f>IF(AND($A385="",$B385="",$D385=""),"",IF(AND($A385&lt;&gt;"",COUNTIF('1. Plot &amp; Site Log'!$A$5:$A$64,$A385)=0),"Plot ID not in the Plot &amp; Site Log. ","")&amp;IF(AND(ISNUMBER($D385),ISNUMBER($E385),$E385&lt;=$D385),"Bottom depth is not below top depth. ","")&amp;IF($L385="Not confirmed","Bulk-density basis not confirmed with the lab — the coarse-fragment correction may be wrong or doubled. ","")&amp;IF(AND(ISNUMBER($M385),OR($M385&lt;QC_BD_MIN,$M385&gt;QC_BD_MAX)),"Bulk density outside the plausible range for a mineral grassland soil. ","")&amp;IF(AND(ISNUMBER($N385),$N385&gt;QC_CARBON_PCT_MAX),"Organic carbon above the QC ceiling — check units, and whether this is an organic horizon. ","")&amp;IF(AND(ISNUMBER($J385),$J385&lt;QC_RECOVERY_MIN),"Recovered less than the QC minimum of the depth driven — the increments may not sit where you think. Do NOT stretch them back out. ","")&amp;IF(AND(ISNUMBER($K385),$K385&gt;0,$L385="Fine earth / total volume"),"Coarse fragments recorded and the lab basis already accounts for them — no further correction applied, which is correct. ",""))</f>
        <v/>
      </c>
      <c r="T385" s="6" t="n"/>
      <c r="U385" s="9">
        <f>IF($B385="",0,IF(COUNTIFS($B$5:$B385,$B385)=1,1,0))</f>
        <v/>
      </c>
    </row>
    <row r="386">
      <c r="A386" s="6" t="n"/>
      <c r="B386" s="6" t="n"/>
      <c r="C386" s="6" t="n"/>
      <c r="D386" s="6" t="n"/>
      <c r="E386" s="6" t="n"/>
      <c r="F386" s="9">
        <f>IF(OR($D386="",$E386=""),"",$E386-$D386)</f>
        <v/>
      </c>
      <c r="G386" s="6" t="n"/>
      <c r="H386" s="6" t="n"/>
      <c r="I386" s="6" t="n"/>
      <c r="J386" s="9">
        <f>IF(OR(NOT(ISNUMBER($H386)),NOT(ISNUMBER($I386)),$H386=0),"",$I386/$H386)</f>
        <v/>
      </c>
      <c r="K386" s="6" t="n"/>
      <c r="L386" s="8" t="n"/>
      <c r="M386" s="7" t="n"/>
      <c r="N386" s="7" t="n"/>
      <c r="O386" s="9">
        <f>IF(NOT(ISNUMBER($M386)),"",IF($L386="Fine earth / fine-earth volume",$M386*(1-IF(ISNUMBER($K386),$K386,0)/100),$M386))</f>
        <v/>
      </c>
      <c r="P386" s="9">
        <f>IF(OR(NOT(ISNUMBER($O386)),NOT(ISNUMBER($N386)),NOT(ISNUMBER($F386))),"",$O386*($N386/100)*$F386*10)</f>
        <v/>
      </c>
      <c r="Q386" s="9">
        <f>IF(OR(NOT(ISNUMBER($D386)),NOT(ISNUMBER($E386))),"",MAX(0,MIN($E386,SOIL_REPORTING_DEPTH_CM)-MIN($D386,SOIL_REPORTING_DEPTH_CM)))</f>
        <v/>
      </c>
      <c r="R386" s="9">
        <f>IF(OR(NOT(ISNUMBER($O386)),NOT(ISNUMBER($N386)),NOT(ISNUMBER($Q386))),"",$O386*($N386/100)*$Q386*10)</f>
        <v/>
      </c>
      <c r="S386" s="11">
        <f>IF(AND($A386="",$B386="",$D386=""),"",IF(AND($A386&lt;&gt;"",COUNTIF('1. Plot &amp; Site Log'!$A$5:$A$64,$A386)=0),"Plot ID not in the Plot &amp; Site Log. ","")&amp;IF(AND(ISNUMBER($D386),ISNUMBER($E386),$E386&lt;=$D386),"Bottom depth is not below top depth. ","")&amp;IF($L386="Not confirmed","Bulk-density basis not confirmed with the lab — the coarse-fragment correction may be wrong or doubled. ","")&amp;IF(AND(ISNUMBER($M386),OR($M386&lt;QC_BD_MIN,$M386&gt;QC_BD_MAX)),"Bulk density outside the plausible range for a mineral grassland soil. ","")&amp;IF(AND(ISNUMBER($N386),$N386&gt;QC_CARBON_PCT_MAX),"Organic carbon above the QC ceiling — check units, and whether this is an organic horizon. ","")&amp;IF(AND(ISNUMBER($J386),$J386&lt;QC_RECOVERY_MIN),"Recovered less than the QC minimum of the depth driven — the increments may not sit where you think. Do NOT stretch them back out. ","")&amp;IF(AND(ISNUMBER($K386),$K386&gt;0,$L386="Fine earth / total volume"),"Coarse fragments recorded and the lab basis already accounts for them — no further correction applied, which is correct. ",""))</f>
        <v/>
      </c>
      <c r="T386" s="6" t="n"/>
      <c r="U386" s="9">
        <f>IF($B386="",0,IF(COUNTIFS($B$5:$B386,$B386)=1,1,0))</f>
        <v/>
      </c>
    </row>
    <row r="387">
      <c r="A387" s="6" t="n"/>
      <c r="B387" s="6" t="n"/>
      <c r="C387" s="6" t="n"/>
      <c r="D387" s="6" t="n"/>
      <c r="E387" s="6" t="n"/>
      <c r="F387" s="9">
        <f>IF(OR($D387="",$E387=""),"",$E387-$D387)</f>
        <v/>
      </c>
      <c r="G387" s="6" t="n"/>
      <c r="H387" s="6" t="n"/>
      <c r="I387" s="6" t="n"/>
      <c r="J387" s="9">
        <f>IF(OR(NOT(ISNUMBER($H387)),NOT(ISNUMBER($I387)),$H387=0),"",$I387/$H387)</f>
        <v/>
      </c>
      <c r="K387" s="6" t="n"/>
      <c r="L387" s="8" t="n"/>
      <c r="M387" s="7" t="n"/>
      <c r="N387" s="7" t="n"/>
      <c r="O387" s="9">
        <f>IF(NOT(ISNUMBER($M387)),"",IF($L387="Fine earth / fine-earth volume",$M387*(1-IF(ISNUMBER($K387),$K387,0)/100),$M387))</f>
        <v/>
      </c>
      <c r="P387" s="9">
        <f>IF(OR(NOT(ISNUMBER($O387)),NOT(ISNUMBER($N387)),NOT(ISNUMBER($F387))),"",$O387*($N387/100)*$F387*10)</f>
        <v/>
      </c>
      <c r="Q387" s="9">
        <f>IF(OR(NOT(ISNUMBER($D387)),NOT(ISNUMBER($E387))),"",MAX(0,MIN($E387,SOIL_REPORTING_DEPTH_CM)-MIN($D387,SOIL_REPORTING_DEPTH_CM)))</f>
        <v/>
      </c>
      <c r="R387" s="9">
        <f>IF(OR(NOT(ISNUMBER($O387)),NOT(ISNUMBER($N387)),NOT(ISNUMBER($Q387))),"",$O387*($N387/100)*$Q387*10)</f>
        <v/>
      </c>
      <c r="S387" s="11">
        <f>IF(AND($A387="",$B387="",$D387=""),"",IF(AND($A387&lt;&gt;"",COUNTIF('1. Plot &amp; Site Log'!$A$5:$A$64,$A387)=0),"Plot ID not in the Plot &amp; Site Log. ","")&amp;IF(AND(ISNUMBER($D387),ISNUMBER($E387),$E387&lt;=$D387),"Bottom depth is not below top depth. ","")&amp;IF($L387="Not confirmed","Bulk-density basis not confirmed with the lab — the coarse-fragment correction may be wrong or doubled. ","")&amp;IF(AND(ISNUMBER($M387),OR($M387&lt;QC_BD_MIN,$M387&gt;QC_BD_MAX)),"Bulk density outside the plausible range for a mineral grassland soil. ","")&amp;IF(AND(ISNUMBER($N387),$N387&gt;QC_CARBON_PCT_MAX),"Organic carbon above the QC ceiling — check units, and whether this is an organic horizon. ","")&amp;IF(AND(ISNUMBER($J387),$J387&lt;QC_RECOVERY_MIN),"Recovered less than the QC minimum of the depth driven — the increments may not sit where you think. Do NOT stretch them back out. ","")&amp;IF(AND(ISNUMBER($K387),$K387&gt;0,$L387="Fine earth / total volume"),"Coarse fragments recorded and the lab basis already accounts for them — no further correction applied, which is correct. ",""))</f>
        <v/>
      </c>
      <c r="T387" s="6" t="n"/>
      <c r="U387" s="9">
        <f>IF($B387="",0,IF(COUNTIFS($B$5:$B387,$B387)=1,1,0))</f>
        <v/>
      </c>
    </row>
    <row r="388">
      <c r="A388" s="6" t="n"/>
      <c r="B388" s="6" t="n"/>
      <c r="C388" s="6" t="n"/>
      <c r="D388" s="6" t="n"/>
      <c r="E388" s="6" t="n"/>
      <c r="F388" s="9">
        <f>IF(OR($D388="",$E388=""),"",$E388-$D388)</f>
        <v/>
      </c>
      <c r="G388" s="6" t="n"/>
      <c r="H388" s="6" t="n"/>
      <c r="I388" s="6" t="n"/>
      <c r="J388" s="9">
        <f>IF(OR(NOT(ISNUMBER($H388)),NOT(ISNUMBER($I388)),$H388=0),"",$I388/$H388)</f>
        <v/>
      </c>
      <c r="K388" s="6" t="n"/>
      <c r="L388" s="8" t="n"/>
      <c r="M388" s="7" t="n"/>
      <c r="N388" s="7" t="n"/>
      <c r="O388" s="9">
        <f>IF(NOT(ISNUMBER($M388)),"",IF($L388="Fine earth / fine-earth volume",$M388*(1-IF(ISNUMBER($K388),$K388,0)/100),$M388))</f>
        <v/>
      </c>
      <c r="P388" s="9">
        <f>IF(OR(NOT(ISNUMBER($O388)),NOT(ISNUMBER($N388)),NOT(ISNUMBER($F388))),"",$O388*($N388/100)*$F388*10)</f>
        <v/>
      </c>
      <c r="Q388" s="9">
        <f>IF(OR(NOT(ISNUMBER($D388)),NOT(ISNUMBER($E388))),"",MAX(0,MIN($E388,SOIL_REPORTING_DEPTH_CM)-MIN($D388,SOIL_REPORTING_DEPTH_CM)))</f>
        <v/>
      </c>
      <c r="R388" s="9">
        <f>IF(OR(NOT(ISNUMBER($O388)),NOT(ISNUMBER($N388)),NOT(ISNUMBER($Q388))),"",$O388*($N388/100)*$Q388*10)</f>
        <v/>
      </c>
      <c r="S388" s="11">
        <f>IF(AND($A388="",$B388="",$D388=""),"",IF(AND($A388&lt;&gt;"",COUNTIF('1. Plot &amp; Site Log'!$A$5:$A$64,$A388)=0),"Plot ID not in the Plot &amp; Site Log. ","")&amp;IF(AND(ISNUMBER($D388),ISNUMBER($E388),$E388&lt;=$D388),"Bottom depth is not below top depth. ","")&amp;IF($L388="Not confirmed","Bulk-density basis not confirmed with the lab — the coarse-fragment correction may be wrong or doubled. ","")&amp;IF(AND(ISNUMBER($M388),OR($M388&lt;QC_BD_MIN,$M388&gt;QC_BD_MAX)),"Bulk density outside the plausible range for a mineral grassland soil. ","")&amp;IF(AND(ISNUMBER($N388),$N388&gt;QC_CARBON_PCT_MAX),"Organic carbon above the QC ceiling — check units, and whether this is an organic horizon. ","")&amp;IF(AND(ISNUMBER($J388),$J388&lt;QC_RECOVERY_MIN),"Recovered less than the QC minimum of the depth driven — the increments may not sit where you think. Do NOT stretch them back out. ","")&amp;IF(AND(ISNUMBER($K388),$K388&gt;0,$L388="Fine earth / total volume"),"Coarse fragments recorded and the lab basis already accounts for them — no further correction applied, which is correct. ",""))</f>
        <v/>
      </c>
      <c r="T388" s="6" t="n"/>
      <c r="U388" s="9">
        <f>IF($B388="",0,IF(COUNTIFS($B$5:$B388,$B388)=1,1,0))</f>
        <v/>
      </c>
    </row>
    <row r="389">
      <c r="A389" s="6" t="n"/>
      <c r="B389" s="6" t="n"/>
      <c r="C389" s="6" t="n"/>
      <c r="D389" s="6" t="n"/>
      <c r="E389" s="6" t="n"/>
      <c r="F389" s="9">
        <f>IF(OR($D389="",$E389=""),"",$E389-$D389)</f>
        <v/>
      </c>
      <c r="G389" s="6" t="n"/>
      <c r="H389" s="6" t="n"/>
      <c r="I389" s="6" t="n"/>
      <c r="J389" s="9">
        <f>IF(OR(NOT(ISNUMBER($H389)),NOT(ISNUMBER($I389)),$H389=0),"",$I389/$H389)</f>
        <v/>
      </c>
      <c r="K389" s="6" t="n"/>
      <c r="L389" s="8" t="n"/>
      <c r="M389" s="7" t="n"/>
      <c r="N389" s="7" t="n"/>
      <c r="O389" s="9">
        <f>IF(NOT(ISNUMBER($M389)),"",IF($L389="Fine earth / fine-earth volume",$M389*(1-IF(ISNUMBER($K389),$K389,0)/100),$M389))</f>
        <v/>
      </c>
      <c r="P389" s="9">
        <f>IF(OR(NOT(ISNUMBER($O389)),NOT(ISNUMBER($N389)),NOT(ISNUMBER($F389))),"",$O389*($N389/100)*$F389*10)</f>
        <v/>
      </c>
      <c r="Q389" s="9">
        <f>IF(OR(NOT(ISNUMBER($D389)),NOT(ISNUMBER($E389))),"",MAX(0,MIN($E389,SOIL_REPORTING_DEPTH_CM)-MIN($D389,SOIL_REPORTING_DEPTH_CM)))</f>
        <v/>
      </c>
      <c r="R389" s="9">
        <f>IF(OR(NOT(ISNUMBER($O389)),NOT(ISNUMBER($N389)),NOT(ISNUMBER($Q389))),"",$O389*($N389/100)*$Q389*10)</f>
        <v/>
      </c>
      <c r="S389" s="11">
        <f>IF(AND($A389="",$B389="",$D389=""),"",IF(AND($A389&lt;&gt;"",COUNTIF('1. Plot &amp; Site Log'!$A$5:$A$64,$A389)=0),"Plot ID not in the Plot &amp; Site Log. ","")&amp;IF(AND(ISNUMBER($D389),ISNUMBER($E389),$E389&lt;=$D389),"Bottom depth is not below top depth. ","")&amp;IF($L389="Not confirmed","Bulk-density basis not confirmed with the lab — the coarse-fragment correction may be wrong or doubled. ","")&amp;IF(AND(ISNUMBER($M389),OR($M389&lt;QC_BD_MIN,$M389&gt;QC_BD_MAX)),"Bulk density outside the plausible range for a mineral grassland soil. ","")&amp;IF(AND(ISNUMBER($N389),$N389&gt;QC_CARBON_PCT_MAX),"Organic carbon above the QC ceiling — check units, and whether this is an organic horizon. ","")&amp;IF(AND(ISNUMBER($J389),$J389&lt;QC_RECOVERY_MIN),"Recovered less than the QC minimum of the depth driven — the increments may not sit where you think. Do NOT stretch them back out. ","")&amp;IF(AND(ISNUMBER($K389),$K389&gt;0,$L389="Fine earth / total volume"),"Coarse fragments recorded and the lab basis already accounts for them — no further correction applied, which is correct. ",""))</f>
        <v/>
      </c>
      <c r="T389" s="6" t="n"/>
      <c r="U389" s="9">
        <f>IF($B389="",0,IF(COUNTIFS($B$5:$B389,$B389)=1,1,0))</f>
        <v/>
      </c>
    </row>
    <row r="390">
      <c r="A390" s="6" t="n"/>
      <c r="B390" s="6" t="n"/>
      <c r="C390" s="6" t="n"/>
      <c r="D390" s="6" t="n"/>
      <c r="E390" s="6" t="n"/>
      <c r="F390" s="9">
        <f>IF(OR($D390="",$E390=""),"",$E390-$D390)</f>
        <v/>
      </c>
      <c r="G390" s="6" t="n"/>
      <c r="H390" s="6" t="n"/>
      <c r="I390" s="6" t="n"/>
      <c r="J390" s="9">
        <f>IF(OR(NOT(ISNUMBER($H390)),NOT(ISNUMBER($I390)),$H390=0),"",$I390/$H390)</f>
        <v/>
      </c>
      <c r="K390" s="6" t="n"/>
      <c r="L390" s="8" t="n"/>
      <c r="M390" s="7" t="n"/>
      <c r="N390" s="7" t="n"/>
      <c r="O390" s="9">
        <f>IF(NOT(ISNUMBER($M390)),"",IF($L390="Fine earth / fine-earth volume",$M390*(1-IF(ISNUMBER($K390),$K390,0)/100),$M390))</f>
        <v/>
      </c>
      <c r="P390" s="9">
        <f>IF(OR(NOT(ISNUMBER($O390)),NOT(ISNUMBER($N390)),NOT(ISNUMBER($F390))),"",$O390*($N390/100)*$F390*10)</f>
        <v/>
      </c>
      <c r="Q390" s="9">
        <f>IF(OR(NOT(ISNUMBER($D390)),NOT(ISNUMBER($E390))),"",MAX(0,MIN($E390,SOIL_REPORTING_DEPTH_CM)-MIN($D390,SOIL_REPORTING_DEPTH_CM)))</f>
        <v/>
      </c>
      <c r="R390" s="9">
        <f>IF(OR(NOT(ISNUMBER($O390)),NOT(ISNUMBER($N390)),NOT(ISNUMBER($Q390))),"",$O390*($N390/100)*$Q390*10)</f>
        <v/>
      </c>
      <c r="S390" s="11">
        <f>IF(AND($A390="",$B390="",$D390=""),"",IF(AND($A390&lt;&gt;"",COUNTIF('1. Plot &amp; Site Log'!$A$5:$A$64,$A390)=0),"Plot ID not in the Plot &amp; Site Log. ","")&amp;IF(AND(ISNUMBER($D390),ISNUMBER($E390),$E390&lt;=$D390),"Bottom depth is not below top depth. ","")&amp;IF($L390="Not confirmed","Bulk-density basis not confirmed with the lab — the coarse-fragment correction may be wrong or doubled. ","")&amp;IF(AND(ISNUMBER($M390),OR($M390&lt;QC_BD_MIN,$M390&gt;QC_BD_MAX)),"Bulk density outside the plausible range for a mineral grassland soil. ","")&amp;IF(AND(ISNUMBER($N390),$N390&gt;QC_CARBON_PCT_MAX),"Organic carbon above the QC ceiling — check units, and whether this is an organic horizon. ","")&amp;IF(AND(ISNUMBER($J390),$J390&lt;QC_RECOVERY_MIN),"Recovered less than the QC minimum of the depth driven — the increments may not sit where you think. Do NOT stretch them back out. ","")&amp;IF(AND(ISNUMBER($K390),$K390&gt;0,$L390="Fine earth / total volume"),"Coarse fragments recorded and the lab basis already accounts for them — no further correction applied, which is correct. ",""))</f>
        <v/>
      </c>
      <c r="T390" s="6" t="n"/>
      <c r="U390" s="9">
        <f>IF($B390="",0,IF(COUNTIFS($B$5:$B390,$B390)=1,1,0))</f>
        <v/>
      </c>
    </row>
    <row r="391">
      <c r="A391" s="6" t="n"/>
      <c r="B391" s="6" t="n"/>
      <c r="C391" s="6" t="n"/>
      <c r="D391" s="6" t="n"/>
      <c r="E391" s="6" t="n"/>
      <c r="F391" s="9">
        <f>IF(OR($D391="",$E391=""),"",$E391-$D391)</f>
        <v/>
      </c>
      <c r="G391" s="6" t="n"/>
      <c r="H391" s="6" t="n"/>
      <c r="I391" s="6" t="n"/>
      <c r="J391" s="9">
        <f>IF(OR(NOT(ISNUMBER($H391)),NOT(ISNUMBER($I391)),$H391=0),"",$I391/$H391)</f>
        <v/>
      </c>
      <c r="K391" s="6" t="n"/>
      <c r="L391" s="8" t="n"/>
      <c r="M391" s="7" t="n"/>
      <c r="N391" s="7" t="n"/>
      <c r="O391" s="9">
        <f>IF(NOT(ISNUMBER($M391)),"",IF($L391="Fine earth / fine-earth volume",$M391*(1-IF(ISNUMBER($K391),$K391,0)/100),$M391))</f>
        <v/>
      </c>
      <c r="P391" s="9">
        <f>IF(OR(NOT(ISNUMBER($O391)),NOT(ISNUMBER($N391)),NOT(ISNUMBER($F391))),"",$O391*($N391/100)*$F391*10)</f>
        <v/>
      </c>
      <c r="Q391" s="9">
        <f>IF(OR(NOT(ISNUMBER($D391)),NOT(ISNUMBER($E391))),"",MAX(0,MIN($E391,SOIL_REPORTING_DEPTH_CM)-MIN($D391,SOIL_REPORTING_DEPTH_CM)))</f>
        <v/>
      </c>
      <c r="R391" s="9">
        <f>IF(OR(NOT(ISNUMBER($O391)),NOT(ISNUMBER($N391)),NOT(ISNUMBER($Q391))),"",$O391*($N391/100)*$Q391*10)</f>
        <v/>
      </c>
      <c r="S391" s="11">
        <f>IF(AND($A391="",$B391="",$D391=""),"",IF(AND($A391&lt;&gt;"",COUNTIF('1. Plot &amp; Site Log'!$A$5:$A$64,$A391)=0),"Plot ID not in the Plot &amp; Site Log. ","")&amp;IF(AND(ISNUMBER($D391),ISNUMBER($E391),$E391&lt;=$D391),"Bottom depth is not below top depth. ","")&amp;IF($L391="Not confirmed","Bulk-density basis not confirmed with the lab — the coarse-fragment correction may be wrong or doubled. ","")&amp;IF(AND(ISNUMBER($M391),OR($M391&lt;QC_BD_MIN,$M391&gt;QC_BD_MAX)),"Bulk density outside the plausible range for a mineral grassland soil. ","")&amp;IF(AND(ISNUMBER($N391),$N391&gt;QC_CARBON_PCT_MAX),"Organic carbon above the QC ceiling — check units, and whether this is an organic horizon. ","")&amp;IF(AND(ISNUMBER($J391),$J391&lt;QC_RECOVERY_MIN),"Recovered less than the QC minimum of the depth driven — the increments may not sit where you think. Do NOT stretch them back out. ","")&amp;IF(AND(ISNUMBER($K391),$K391&gt;0,$L391="Fine earth / total volume"),"Coarse fragments recorded and the lab basis already accounts for them — no further correction applied, which is correct. ",""))</f>
        <v/>
      </c>
      <c r="T391" s="6" t="n"/>
      <c r="U391" s="9">
        <f>IF($B391="",0,IF(COUNTIFS($B$5:$B391,$B391)=1,1,0))</f>
        <v/>
      </c>
    </row>
    <row r="392">
      <c r="A392" s="6" t="n"/>
      <c r="B392" s="6" t="n"/>
      <c r="C392" s="6" t="n"/>
      <c r="D392" s="6" t="n"/>
      <c r="E392" s="6" t="n"/>
      <c r="F392" s="9">
        <f>IF(OR($D392="",$E392=""),"",$E392-$D392)</f>
        <v/>
      </c>
      <c r="G392" s="6" t="n"/>
      <c r="H392" s="6" t="n"/>
      <c r="I392" s="6" t="n"/>
      <c r="J392" s="9">
        <f>IF(OR(NOT(ISNUMBER($H392)),NOT(ISNUMBER($I392)),$H392=0),"",$I392/$H392)</f>
        <v/>
      </c>
      <c r="K392" s="6" t="n"/>
      <c r="L392" s="8" t="n"/>
      <c r="M392" s="7" t="n"/>
      <c r="N392" s="7" t="n"/>
      <c r="O392" s="9">
        <f>IF(NOT(ISNUMBER($M392)),"",IF($L392="Fine earth / fine-earth volume",$M392*(1-IF(ISNUMBER($K392),$K392,0)/100),$M392))</f>
        <v/>
      </c>
      <c r="P392" s="9">
        <f>IF(OR(NOT(ISNUMBER($O392)),NOT(ISNUMBER($N392)),NOT(ISNUMBER($F392))),"",$O392*($N392/100)*$F392*10)</f>
        <v/>
      </c>
      <c r="Q392" s="9">
        <f>IF(OR(NOT(ISNUMBER($D392)),NOT(ISNUMBER($E392))),"",MAX(0,MIN($E392,SOIL_REPORTING_DEPTH_CM)-MIN($D392,SOIL_REPORTING_DEPTH_CM)))</f>
        <v/>
      </c>
      <c r="R392" s="9">
        <f>IF(OR(NOT(ISNUMBER($O392)),NOT(ISNUMBER($N392)),NOT(ISNUMBER($Q392))),"",$O392*($N392/100)*$Q392*10)</f>
        <v/>
      </c>
      <c r="S392" s="11">
        <f>IF(AND($A392="",$B392="",$D392=""),"",IF(AND($A392&lt;&gt;"",COUNTIF('1. Plot &amp; Site Log'!$A$5:$A$64,$A392)=0),"Plot ID not in the Plot &amp; Site Log. ","")&amp;IF(AND(ISNUMBER($D392),ISNUMBER($E392),$E392&lt;=$D392),"Bottom depth is not below top depth. ","")&amp;IF($L392="Not confirmed","Bulk-density basis not confirmed with the lab — the coarse-fragment correction may be wrong or doubled. ","")&amp;IF(AND(ISNUMBER($M392),OR($M392&lt;QC_BD_MIN,$M392&gt;QC_BD_MAX)),"Bulk density outside the plausible range for a mineral grassland soil. ","")&amp;IF(AND(ISNUMBER($N392),$N392&gt;QC_CARBON_PCT_MAX),"Organic carbon above the QC ceiling — check units, and whether this is an organic horizon. ","")&amp;IF(AND(ISNUMBER($J392),$J392&lt;QC_RECOVERY_MIN),"Recovered less than the QC minimum of the depth driven — the increments may not sit where you think. Do NOT stretch them back out. ","")&amp;IF(AND(ISNUMBER($K392),$K392&gt;0,$L392="Fine earth / total volume"),"Coarse fragments recorded and the lab basis already accounts for them — no further correction applied, which is correct. ",""))</f>
        <v/>
      </c>
      <c r="T392" s="6" t="n"/>
      <c r="U392" s="9">
        <f>IF($B392="",0,IF(COUNTIFS($B$5:$B392,$B392)=1,1,0))</f>
        <v/>
      </c>
    </row>
    <row r="393">
      <c r="A393" s="6" t="n"/>
      <c r="B393" s="6" t="n"/>
      <c r="C393" s="6" t="n"/>
      <c r="D393" s="6" t="n"/>
      <c r="E393" s="6" t="n"/>
      <c r="F393" s="9">
        <f>IF(OR($D393="",$E393=""),"",$E393-$D393)</f>
        <v/>
      </c>
      <c r="G393" s="6" t="n"/>
      <c r="H393" s="6" t="n"/>
      <c r="I393" s="6" t="n"/>
      <c r="J393" s="9">
        <f>IF(OR(NOT(ISNUMBER($H393)),NOT(ISNUMBER($I393)),$H393=0),"",$I393/$H393)</f>
        <v/>
      </c>
      <c r="K393" s="6" t="n"/>
      <c r="L393" s="8" t="n"/>
      <c r="M393" s="7" t="n"/>
      <c r="N393" s="7" t="n"/>
      <c r="O393" s="9">
        <f>IF(NOT(ISNUMBER($M393)),"",IF($L393="Fine earth / fine-earth volume",$M393*(1-IF(ISNUMBER($K393),$K393,0)/100),$M393))</f>
        <v/>
      </c>
      <c r="P393" s="9">
        <f>IF(OR(NOT(ISNUMBER($O393)),NOT(ISNUMBER($N393)),NOT(ISNUMBER($F393))),"",$O393*($N393/100)*$F393*10)</f>
        <v/>
      </c>
      <c r="Q393" s="9">
        <f>IF(OR(NOT(ISNUMBER($D393)),NOT(ISNUMBER($E393))),"",MAX(0,MIN($E393,SOIL_REPORTING_DEPTH_CM)-MIN($D393,SOIL_REPORTING_DEPTH_CM)))</f>
        <v/>
      </c>
      <c r="R393" s="9">
        <f>IF(OR(NOT(ISNUMBER($O393)),NOT(ISNUMBER($N393)),NOT(ISNUMBER($Q393))),"",$O393*($N393/100)*$Q393*10)</f>
        <v/>
      </c>
      <c r="S393" s="11">
        <f>IF(AND($A393="",$B393="",$D393=""),"",IF(AND($A393&lt;&gt;"",COUNTIF('1. Plot &amp; Site Log'!$A$5:$A$64,$A393)=0),"Plot ID not in the Plot &amp; Site Log. ","")&amp;IF(AND(ISNUMBER($D393),ISNUMBER($E393),$E393&lt;=$D393),"Bottom depth is not below top depth. ","")&amp;IF($L393="Not confirmed","Bulk-density basis not confirmed with the lab — the coarse-fragment correction may be wrong or doubled. ","")&amp;IF(AND(ISNUMBER($M393),OR($M393&lt;QC_BD_MIN,$M393&gt;QC_BD_MAX)),"Bulk density outside the plausible range for a mineral grassland soil. ","")&amp;IF(AND(ISNUMBER($N393),$N393&gt;QC_CARBON_PCT_MAX),"Organic carbon above the QC ceiling — check units, and whether this is an organic horizon. ","")&amp;IF(AND(ISNUMBER($J393),$J393&lt;QC_RECOVERY_MIN),"Recovered less than the QC minimum of the depth driven — the increments may not sit where you think. Do NOT stretch them back out. ","")&amp;IF(AND(ISNUMBER($K393),$K393&gt;0,$L393="Fine earth / total volume"),"Coarse fragments recorded and the lab basis already accounts for them — no further correction applied, which is correct. ",""))</f>
        <v/>
      </c>
      <c r="T393" s="6" t="n"/>
      <c r="U393" s="9">
        <f>IF($B393="",0,IF(COUNTIFS($B$5:$B393,$B393)=1,1,0))</f>
        <v/>
      </c>
    </row>
    <row r="394">
      <c r="A394" s="6" t="n"/>
      <c r="B394" s="6" t="n"/>
      <c r="C394" s="6" t="n"/>
      <c r="D394" s="6" t="n"/>
      <c r="E394" s="6" t="n"/>
      <c r="F394" s="9">
        <f>IF(OR($D394="",$E394=""),"",$E394-$D394)</f>
        <v/>
      </c>
      <c r="G394" s="6" t="n"/>
      <c r="H394" s="6" t="n"/>
      <c r="I394" s="6" t="n"/>
      <c r="J394" s="9">
        <f>IF(OR(NOT(ISNUMBER($H394)),NOT(ISNUMBER($I394)),$H394=0),"",$I394/$H394)</f>
        <v/>
      </c>
      <c r="K394" s="6" t="n"/>
      <c r="L394" s="8" t="n"/>
      <c r="M394" s="7" t="n"/>
      <c r="N394" s="7" t="n"/>
      <c r="O394" s="9">
        <f>IF(NOT(ISNUMBER($M394)),"",IF($L394="Fine earth / fine-earth volume",$M394*(1-IF(ISNUMBER($K394),$K394,0)/100),$M394))</f>
        <v/>
      </c>
      <c r="P394" s="9">
        <f>IF(OR(NOT(ISNUMBER($O394)),NOT(ISNUMBER($N394)),NOT(ISNUMBER($F394))),"",$O394*($N394/100)*$F394*10)</f>
        <v/>
      </c>
      <c r="Q394" s="9">
        <f>IF(OR(NOT(ISNUMBER($D394)),NOT(ISNUMBER($E394))),"",MAX(0,MIN($E394,SOIL_REPORTING_DEPTH_CM)-MIN($D394,SOIL_REPORTING_DEPTH_CM)))</f>
        <v/>
      </c>
      <c r="R394" s="9">
        <f>IF(OR(NOT(ISNUMBER($O394)),NOT(ISNUMBER($N394)),NOT(ISNUMBER($Q394))),"",$O394*($N394/100)*$Q394*10)</f>
        <v/>
      </c>
      <c r="S394" s="11">
        <f>IF(AND($A394="",$B394="",$D394=""),"",IF(AND($A394&lt;&gt;"",COUNTIF('1. Plot &amp; Site Log'!$A$5:$A$64,$A394)=0),"Plot ID not in the Plot &amp; Site Log. ","")&amp;IF(AND(ISNUMBER($D394),ISNUMBER($E394),$E394&lt;=$D394),"Bottom depth is not below top depth. ","")&amp;IF($L394="Not confirmed","Bulk-density basis not confirmed with the lab — the coarse-fragment correction may be wrong or doubled. ","")&amp;IF(AND(ISNUMBER($M394),OR($M394&lt;QC_BD_MIN,$M394&gt;QC_BD_MAX)),"Bulk density outside the plausible range for a mineral grassland soil. ","")&amp;IF(AND(ISNUMBER($N394),$N394&gt;QC_CARBON_PCT_MAX),"Organic carbon above the QC ceiling — check units, and whether this is an organic horizon. ","")&amp;IF(AND(ISNUMBER($J394),$J394&lt;QC_RECOVERY_MIN),"Recovered less than the QC minimum of the depth driven — the increments may not sit where you think. Do NOT stretch them back out. ","")&amp;IF(AND(ISNUMBER($K394),$K394&gt;0,$L394="Fine earth / total volume"),"Coarse fragments recorded and the lab basis already accounts for them — no further correction applied, which is correct. ",""))</f>
        <v/>
      </c>
      <c r="T394" s="6" t="n"/>
      <c r="U394" s="9">
        <f>IF($B394="",0,IF(COUNTIFS($B$5:$B394,$B394)=1,1,0))</f>
        <v/>
      </c>
    </row>
    <row r="395">
      <c r="A395" s="6" t="n"/>
      <c r="B395" s="6" t="n"/>
      <c r="C395" s="6" t="n"/>
      <c r="D395" s="6" t="n"/>
      <c r="E395" s="6" t="n"/>
      <c r="F395" s="9">
        <f>IF(OR($D395="",$E395=""),"",$E395-$D395)</f>
        <v/>
      </c>
      <c r="G395" s="6" t="n"/>
      <c r="H395" s="6" t="n"/>
      <c r="I395" s="6" t="n"/>
      <c r="J395" s="9">
        <f>IF(OR(NOT(ISNUMBER($H395)),NOT(ISNUMBER($I395)),$H395=0),"",$I395/$H395)</f>
        <v/>
      </c>
      <c r="K395" s="6" t="n"/>
      <c r="L395" s="8" t="n"/>
      <c r="M395" s="7" t="n"/>
      <c r="N395" s="7" t="n"/>
      <c r="O395" s="9">
        <f>IF(NOT(ISNUMBER($M395)),"",IF($L395="Fine earth / fine-earth volume",$M395*(1-IF(ISNUMBER($K395),$K395,0)/100),$M395))</f>
        <v/>
      </c>
      <c r="P395" s="9">
        <f>IF(OR(NOT(ISNUMBER($O395)),NOT(ISNUMBER($N395)),NOT(ISNUMBER($F395))),"",$O395*($N395/100)*$F395*10)</f>
        <v/>
      </c>
      <c r="Q395" s="9">
        <f>IF(OR(NOT(ISNUMBER($D395)),NOT(ISNUMBER($E395))),"",MAX(0,MIN($E395,SOIL_REPORTING_DEPTH_CM)-MIN($D395,SOIL_REPORTING_DEPTH_CM)))</f>
        <v/>
      </c>
      <c r="R395" s="9">
        <f>IF(OR(NOT(ISNUMBER($O395)),NOT(ISNUMBER($N395)),NOT(ISNUMBER($Q395))),"",$O395*($N395/100)*$Q395*10)</f>
        <v/>
      </c>
      <c r="S395" s="11">
        <f>IF(AND($A395="",$B395="",$D395=""),"",IF(AND($A395&lt;&gt;"",COUNTIF('1. Plot &amp; Site Log'!$A$5:$A$64,$A395)=0),"Plot ID not in the Plot &amp; Site Log. ","")&amp;IF(AND(ISNUMBER($D395),ISNUMBER($E395),$E395&lt;=$D395),"Bottom depth is not below top depth. ","")&amp;IF($L395="Not confirmed","Bulk-density basis not confirmed with the lab — the coarse-fragment correction may be wrong or doubled. ","")&amp;IF(AND(ISNUMBER($M395),OR($M395&lt;QC_BD_MIN,$M395&gt;QC_BD_MAX)),"Bulk density outside the plausible range for a mineral grassland soil. ","")&amp;IF(AND(ISNUMBER($N395),$N395&gt;QC_CARBON_PCT_MAX),"Organic carbon above the QC ceiling — check units, and whether this is an organic horizon. ","")&amp;IF(AND(ISNUMBER($J395),$J395&lt;QC_RECOVERY_MIN),"Recovered less than the QC minimum of the depth driven — the increments may not sit where you think. Do NOT stretch them back out. ","")&amp;IF(AND(ISNUMBER($K395),$K395&gt;0,$L395="Fine earth / total volume"),"Coarse fragments recorded and the lab basis already accounts for them — no further correction applied, which is correct. ",""))</f>
        <v/>
      </c>
      <c r="T395" s="6" t="n"/>
      <c r="U395" s="9">
        <f>IF($B395="",0,IF(COUNTIFS($B$5:$B395,$B395)=1,1,0))</f>
        <v/>
      </c>
    </row>
    <row r="396">
      <c r="A396" s="6" t="n"/>
      <c r="B396" s="6" t="n"/>
      <c r="C396" s="6" t="n"/>
      <c r="D396" s="6" t="n"/>
      <c r="E396" s="6" t="n"/>
      <c r="F396" s="9">
        <f>IF(OR($D396="",$E396=""),"",$E396-$D396)</f>
        <v/>
      </c>
      <c r="G396" s="6" t="n"/>
      <c r="H396" s="6" t="n"/>
      <c r="I396" s="6" t="n"/>
      <c r="J396" s="9">
        <f>IF(OR(NOT(ISNUMBER($H396)),NOT(ISNUMBER($I396)),$H396=0),"",$I396/$H396)</f>
        <v/>
      </c>
      <c r="K396" s="6" t="n"/>
      <c r="L396" s="8" t="n"/>
      <c r="M396" s="7" t="n"/>
      <c r="N396" s="7" t="n"/>
      <c r="O396" s="9">
        <f>IF(NOT(ISNUMBER($M396)),"",IF($L396="Fine earth / fine-earth volume",$M396*(1-IF(ISNUMBER($K396),$K396,0)/100),$M396))</f>
        <v/>
      </c>
      <c r="P396" s="9">
        <f>IF(OR(NOT(ISNUMBER($O396)),NOT(ISNUMBER($N396)),NOT(ISNUMBER($F396))),"",$O396*($N396/100)*$F396*10)</f>
        <v/>
      </c>
      <c r="Q396" s="9">
        <f>IF(OR(NOT(ISNUMBER($D396)),NOT(ISNUMBER($E396))),"",MAX(0,MIN($E396,SOIL_REPORTING_DEPTH_CM)-MIN($D396,SOIL_REPORTING_DEPTH_CM)))</f>
        <v/>
      </c>
      <c r="R396" s="9">
        <f>IF(OR(NOT(ISNUMBER($O396)),NOT(ISNUMBER($N396)),NOT(ISNUMBER($Q396))),"",$O396*($N396/100)*$Q396*10)</f>
        <v/>
      </c>
      <c r="S396" s="11">
        <f>IF(AND($A396="",$B396="",$D396=""),"",IF(AND($A396&lt;&gt;"",COUNTIF('1. Plot &amp; Site Log'!$A$5:$A$64,$A396)=0),"Plot ID not in the Plot &amp; Site Log. ","")&amp;IF(AND(ISNUMBER($D396),ISNUMBER($E396),$E396&lt;=$D396),"Bottom depth is not below top depth. ","")&amp;IF($L396="Not confirmed","Bulk-density basis not confirmed with the lab — the coarse-fragment correction may be wrong or doubled. ","")&amp;IF(AND(ISNUMBER($M396),OR($M396&lt;QC_BD_MIN,$M396&gt;QC_BD_MAX)),"Bulk density outside the plausible range for a mineral grassland soil. ","")&amp;IF(AND(ISNUMBER($N396),$N396&gt;QC_CARBON_PCT_MAX),"Organic carbon above the QC ceiling — check units, and whether this is an organic horizon. ","")&amp;IF(AND(ISNUMBER($J396),$J396&lt;QC_RECOVERY_MIN),"Recovered less than the QC minimum of the depth driven — the increments may not sit where you think. Do NOT stretch them back out. ","")&amp;IF(AND(ISNUMBER($K396),$K396&gt;0,$L396="Fine earth / total volume"),"Coarse fragments recorded and the lab basis already accounts for them — no further correction applied, which is correct. ",""))</f>
        <v/>
      </c>
      <c r="T396" s="6" t="n"/>
      <c r="U396" s="9">
        <f>IF($B396="",0,IF(COUNTIFS($B$5:$B396,$B396)=1,1,0))</f>
        <v/>
      </c>
    </row>
    <row r="397">
      <c r="A397" s="6" t="n"/>
      <c r="B397" s="6" t="n"/>
      <c r="C397" s="6" t="n"/>
      <c r="D397" s="6" t="n"/>
      <c r="E397" s="6" t="n"/>
      <c r="F397" s="9">
        <f>IF(OR($D397="",$E397=""),"",$E397-$D397)</f>
        <v/>
      </c>
      <c r="G397" s="6" t="n"/>
      <c r="H397" s="6" t="n"/>
      <c r="I397" s="6" t="n"/>
      <c r="J397" s="9">
        <f>IF(OR(NOT(ISNUMBER($H397)),NOT(ISNUMBER($I397)),$H397=0),"",$I397/$H397)</f>
        <v/>
      </c>
      <c r="K397" s="6" t="n"/>
      <c r="L397" s="8" t="n"/>
      <c r="M397" s="7" t="n"/>
      <c r="N397" s="7" t="n"/>
      <c r="O397" s="9">
        <f>IF(NOT(ISNUMBER($M397)),"",IF($L397="Fine earth / fine-earth volume",$M397*(1-IF(ISNUMBER($K397),$K397,0)/100),$M397))</f>
        <v/>
      </c>
      <c r="P397" s="9">
        <f>IF(OR(NOT(ISNUMBER($O397)),NOT(ISNUMBER($N397)),NOT(ISNUMBER($F397))),"",$O397*($N397/100)*$F397*10)</f>
        <v/>
      </c>
      <c r="Q397" s="9">
        <f>IF(OR(NOT(ISNUMBER($D397)),NOT(ISNUMBER($E397))),"",MAX(0,MIN($E397,SOIL_REPORTING_DEPTH_CM)-MIN($D397,SOIL_REPORTING_DEPTH_CM)))</f>
        <v/>
      </c>
      <c r="R397" s="9">
        <f>IF(OR(NOT(ISNUMBER($O397)),NOT(ISNUMBER($N397)),NOT(ISNUMBER($Q397))),"",$O397*($N397/100)*$Q397*10)</f>
        <v/>
      </c>
      <c r="S397" s="11">
        <f>IF(AND($A397="",$B397="",$D397=""),"",IF(AND($A397&lt;&gt;"",COUNTIF('1. Plot &amp; Site Log'!$A$5:$A$64,$A397)=0),"Plot ID not in the Plot &amp; Site Log. ","")&amp;IF(AND(ISNUMBER($D397),ISNUMBER($E397),$E397&lt;=$D397),"Bottom depth is not below top depth. ","")&amp;IF($L397="Not confirmed","Bulk-density basis not confirmed with the lab — the coarse-fragment correction may be wrong or doubled. ","")&amp;IF(AND(ISNUMBER($M397),OR($M397&lt;QC_BD_MIN,$M397&gt;QC_BD_MAX)),"Bulk density outside the plausible range for a mineral grassland soil. ","")&amp;IF(AND(ISNUMBER($N397),$N397&gt;QC_CARBON_PCT_MAX),"Organic carbon above the QC ceiling — check units, and whether this is an organic horizon. ","")&amp;IF(AND(ISNUMBER($J397),$J397&lt;QC_RECOVERY_MIN),"Recovered less than the QC minimum of the depth driven — the increments may not sit where you think. Do NOT stretch them back out. ","")&amp;IF(AND(ISNUMBER($K397),$K397&gt;0,$L397="Fine earth / total volume"),"Coarse fragments recorded and the lab basis already accounts for them — no further correction applied, which is correct. ",""))</f>
        <v/>
      </c>
      <c r="T397" s="6" t="n"/>
      <c r="U397" s="9">
        <f>IF($B397="",0,IF(COUNTIFS($B$5:$B397,$B397)=1,1,0))</f>
        <v/>
      </c>
    </row>
    <row r="398">
      <c r="A398" s="6" t="n"/>
      <c r="B398" s="6" t="n"/>
      <c r="C398" s="6" t="n"/>
      <c r="D398" s="6" t="n"/>
      <c r="E398" s="6" t="n"/>
      <c r="F398" s="9">
        <f>IF(OR($D398="",$E398=""),"",$E398-$D398)</f>
        <v/>
      </c>
      <c r="G398" s="6" t="n"/>
      <c r="H398" s="6" t="n"/>
      <c r="I398" s="6" t="n"/>
      <c r="J398" s="9">
        <f>IF(OR(NOT(ISNUMBER($H398)),NOT(ISNUMBER($I398)),$H398=0),"",$I398/$H398)</f>
        <v/>
      </c>
      <c r="K398" s="6" t="n"/>
      <c r="L398" s="8" t="n"/>
      <c r="M398" s="7" t="n"/>
      <c r="N398" s="7" t="n"/>
      <c r="O398" s="9">
        <f>IF(NOT(ISNUMBER($M398)),"",IF($L398="Fine earth / fine-earth volume",$M398*(1-IF(ISNUMBER($K398),$K398,0)/100),$M398))</f>
        <v/>
      </c>
      <c r="P398" s="9">
        <f>IF(OR(NOT(ISNUMBER($O398)),NOT(ISNUMBER($N398)),NOT(ISNUMBER($F398))),"",$O398*($N398/100)*$F398*10)</f>
        <v/>
      </c>
      <c r="Q398" s="9">
        <f>IF(OR(NOT(ISNUMBER($D398)),NOT(ISNUMBER($E398))),"",MAX(0,MIN($E398,SOIL_REPORTING_DEPTH_CM)-MIN($D398,SOIL_REPORTING_DEPTH_CM)))</f>
        <v/>
      </c>
      <c r="R398" s="9">
        <f>IF(OR(NOT(ISNUMBER($O398)),NOT(ISNUMBER($N398)),NOT(ISNUMBER($Q398))),"",$O398*($N398/100)*$Q398*10)</f>
        <v/>
      </c>
      <c r="S398" s="11">
        <f>IF(AND($A398="",$B398="",$D398=""),"",IF(AND($A398&lt;&gt;"",COUNTIF('1. Plot &amp; Site Log'!$A$5:$A$64,$A398)=0),"Plot ID not in the Plot &amp; Site Log. ","")&amp;IF(AND(ISNUMBER($D398),ISNUMBER($E398),$E398&lt;=$D398),"Bottom depth is not below top depth. ","")&amp;IF($L398="Not confirmed","Bulk-density basis not confirmed with the lab — the coarse-fragment correction may be wrong or doubled. ","")&amp;IF(AND(ISNUMBER($M398),OR($M398&lt;QC_BD_MIN,$M398&gt;QC_BD_MAX)),"Bulk density outside the plausible range for a mineral grassland soil. ","")&amp;IF(AND(ISNUMBER($N398),$N398&gt;QC_CARBON_PCT_MAX),"Organic carbon above the QC ceiling — check units, and whether this is an organic horizon. ","")&amp;IF(AND(ISNUMBER($J398),$J398&lt;QC_RECOVERY_MIN),"Recovered less than the QC minimum of the depth driven — the increments may not sit where you think. Do NOT stretch them back out. ","")&amp;IF(AND(ISNUMBER($K398),$K398&gt;0,$L398="Fine earth / total volume"),"Coarse fragments recorded and the lab basis already accounts for them — no further correction applied, which is correct. ",""))</f>
        <v/>
      </c>
      <c r="T398" s="6" t="n"/>
      <c r="U398" s="9">
        <f>IF($B398="",0,IF(COUNTIFS($B$5:$B398,$B398)=1,1,0))</f>
        <v/>
      </c>
    </row>
    <row r="399">
      <c r="A399" s="6" t="n"/>
      <c r="B399" s="6" t="n"/>
      <c r="C399" s="6" t="n"/>
      <c r="D399" s="6" t="n"/>
      <c r="E399" s="6" t="n"/>
      <c r="F399" s="9">
        <f>IF(OR($D399="",$E399=""),"",$E399-$D399)</f>
        <v/>
      </c>
      <c r="G399" s="6" t="n"/>
      <c r="H399" s="6" t="n"/>
      <c r="I399" s="6" t="n"/>
      <c r="J399" s="9">
        <f>IF(OR(NOT(ISNUMBER($H399)),NOT(ISNUMBER($I399)),$H399=0),"",$I399/$H399)</f>
        <v/>
      </c>
      <c r="K399" s="6" t="n"/>
      <c r="L399" s="8" t="n"/>
      <c r="M399" s="7" t="n"/>
      <c r="N399" s="7" t="n"/>
      <c r="O399" s="9">
        <f>IF(NOT(ISNUMBER($M399)),"",IF($L399="Fine earth / fine-earth volume",$M399*(1-IF(ISNUMBER($K399),$K399,0)/100),$M399))</f>
        <v/>
      </c>
      <c r="P399" s="9">
        <f>IF(OR(NOT(ISNUMBER($O399)),NOT(ISNUMBER($N399)),NOT(ISNUMBER($F399))),"",$O399*($N399/100)*$F399*10)</f>
        <v/>
      </c>
      <c r="Q399" s="9">
        <f>IF(OR(NOT(ISNUMBER($D399)),NOT(ISNUMBER($E399))),"",MAX(0,MIN($E399,SOIL_REPORTING_DEPTH_CM)-MIN($D399,SOIL_REPORTING_DEPTH_CM)))</f>
        <v/>
      </c>
      <c r="R399" s="9">
        <f>IF(OR(NOT(ISNUMBER($O399)),NOT(ISNUMBER($N399)),NOT(ISNUMBER($Q399))),"",$O399*($N399/100)*$Q399*10)</f>
        <v/>
      </c>
      <c r="S399" s="11">
        <f>IF(AND($A399="",$B399="",$D399=""),"",IF(AND($A399&lt;&gt;"",COUNTIF('1. Plot &amp; Site Log'!$A$5:$A$64,$A399)=0),"Plot ID not in the Plot &amp; Site Log. ","")&amp;IF(AND(ISNUMBER($D399),ISNUMBER($E399),$E399&lt;=$D399),"Bottom depth is not below top depth. ","")&amp;IF($L399="Not confirmed","Bulk-density basis not confirmed with the lab — the coarse-fragment correction may be wrong or doubled. ","")&amp;IF(AND(ISNUMBER($M399),OR($M399&lt;QC_BD_MIN,$M399&gt;QC_BD_MAX)),"Bulk density outside the plausible range for a mineral grassland soil. ","")&amp;IF(AND(ISNUMBER($N399),$N399&gt;QC_CARBON_PCT_MAX),"Organic carbon above the QC ceiling — check units, and whether this is an organic horizon. ","")&amp;IF(AND(ISNUMBER($J399),$J399&lt;QC_RECOVERY_MIN),"Recovered less than the QC minimum of the depth driven — the increments may not sit where you think. Do NOT stretch them back out. ","")&amp;IF(AND(ISNUMBER($K399),$K399&gt;0,$L399="Fine earth / total volume"),"Coarse fragments recorded and the lab basis already accounts for them — no further correction applied, which is correct. ",""))</f>
        <v/>
      </c>
      <c r="T399" s="6" t="n"/>
      <c r="U399" s="9">
        <f>IF($B399="",0,IF(COUNTIFS($B$5:$B399,$B399)=1,1,0))</f>
        <v/>
      </c>
    </row>
    <row r="400">
      <c r="A400" s="6" t="n"/>
      <c r="B400" s="6" t="n"/>
      <c r="C400" s="6" t="n"/>
      <c r="D400" s="6" t="n"/>
      <c r="E400" s="6" t="n"/>
      <c r="F400" s="9">
        <f>IF(OR($D400="",$E400=""),"",$E400-$D400)</f>
        <v/>
      </c>
      <c r="G400" s="6" t="n"/>
      <c r="H400" s="6" t="n"/>
      <c r="I400" s="6" t="n"/>
      <c r="J400" s="9">
        <f>IF(OR(NOT(ISNUMBER($H400)),NOT(ISNUMBER($I400)),$H400=0),"",$I400/$H400)</f>
        <v/>
      </c>
      <c r="K400" s="6" t="n"/>
      <c r="L400" s="8" t="n"/>
      <c r="M400" s="7" t="n"/>
      <c r="N400" s="7" t="n"/>
      <c r="O400" s="9">
        <f>IF(NOT(ISNUMBER($M400)),"",IF($L400="Fine earth / fine-earth volume",$M400*(1-IF(ISNUMBER($K400),$K400,0)/100),$M400))</f>
        <v/>
      </c>
      <c r="P400" s="9">
        <f>IF(OR(NOT(ISNUMBER($O400)),NOT(ISNUMBER($N400)),NOT(ISNUMBER($F400))),"",$O400*($N400/100)*$F400*10)</f>
        <v/>
      </c>
      <c r="Q400" s="9">
        <f>IF(OR(NOT(ISNUMBER($D400)),NOT(ISNUMBER($E400))),"",MAX(0,MIN($E400,SOIL_REPORTING_DEPTH_CM)-MIN($D400,SOIL_REPORTING_DEPTH_CM)))</f>
        <v/>
      </c>
      <c r="R400" s="9">
        <f>IF(OR(NOT(ISNUMBER($O400)),NOT(ISNUMBER($N400)),NOT(ISNUMBER($Q400))),"",$O400*($N400/100)*$Q400*10)</f>
        <v/>
      </c>
      <c r="S400" s="11">
        <f>IF(AND($A400="",$B400="",$D400=""),"",IF(AND($A400&lt;&gt;"",COUNTIF('1. Plot &amp; Site Log'!$A$5:$A$64,$A400)=0),"Plot ID not in the Plot &amp; Site Log. ","")&amp;IF(AND(ISNUMBER($D400),ISNUMBER($E400),$E400&lt;=$D400),"Bottom depth is not below top depth. ","")&amp;IF($L400="Not confirmed","Bulk-density basis not confirmed with the lab — the coarse-fragment correction may be wrong or doubled. ","")&amp;IF(AND(ISNUMBER($M400),OR($M400&lt;QC_BD_MIN,$M400&gt;QC_BD_MAX)),"Bulk density outside the plausible range for a mineral grassland soil. ","")&amp;IF(AND(ISNUMBER($N400),$N400&gt;QC_CARBON_PCT_MAX),"Organic carbon above the QC ceiling — check units, and whether this is an organic horizon. ","")&amp;IF(AND(ISNUMBER($J400),$J400&lt;QC_RECOVERY_MIN),"Recovered less than the QC minimum of the depth driven — the increments may not sit where you think. Do NOT stretch them back out. ","")&amp;IF(AND(ISNUMBER($K400),$K400&gt;0,$L400="Fine earth / total volume"),"Coarse fragments recorded and the lab basis already accounts for them — no further correction applied, which is correct. ",""))</f>
        <v/>
      </c>
      <c r="T400" s="6" t="n"/>
      <c r="U400" s="9">
        <f>IF($B400="",0,IF(COUNTIFS($B$5:$B400,$B400)=1,1,0))</f>
        <v/>
      </c>
    </row>
    <row r="401">
      <c r="A401" s="6" t="n"/>
      <c r="B401" s="6" t="n"/>
      <c r="C401" s="6" t="n"/>
      <c r="D401" s="6" t="n"/>
      <c r="E401" s="6" t="n"/>
      <c r="F401" s="9">
        <f>IF(OR($D401="",$E401=""),"",$E401-$D401)</f>
        <v/>
      </c>
      <c r="G401" s="6" t="n"/>
      <c r="H401" s="6" t="n"/>
      <c r="I401" s="6" t="n"/>
      <c r="J401" s="9">
        <f>IF(OR(NOT(ISNUMBER($H401)),NOT(ISNUMBER($I401)),$H401=0),"",$I401/$H401)</f>
        <v/>
      </c>
      <c r="K401" s="6" t="n"/>
      <c r="L401" s="8" t="n"/>
      <c r="M401" s="7" t="n"/>
      <c r="N401" s="7" t="n"/>
      <c r="O401" s="9">
        <f>IF(NOT(ISNUMBER($M401)),"",IF($L401="Fine earth / fine-earth volume",$M401*(1-IF(ISNUMBER($K401),$K401,0)/100),$M401))</f>
        <v/>
      </c>
      <c r="P401" s="9">
        <f>IF(OR(NOT(ISNUMBER($O401)),NOT(ISNUMBER($N401)),NOT(ISNUMBER($F401))),"",$O401*($N401/100)*$F401*10)</f>
        <v/>
      </c>
      <c r="Q401" s="9">
        <f>IF(OR(NOT(ISNUMBER($D401)),NOT(ISNUMBER($E401))),"",MAX(0,MIN($E401,SOIL_REPORTING_DEPTH_CM)-MIN($D401,SOIL_REPORTING_DEPTH_CM)))</f>
        <v/>
      </c>
      <c r="R401" s="9">
        <f>IF(OR(NOT(ISNUMBER($O401)),NOT(ISNUMBER($N401)),NOT(ISNUMBER($Q401))),"",$O401*($N401/100)*$Q401*10)</f>
        <v/>
      </c>
      <c r="S401" s="11">
        <f>IF(AND($A401="",$B401="",$D401=""),"",IF(AND($A401&lt;&gt;"",COUNTIF('1. Plot &amp; Site Log'!$A$5:$A$64,$A401)=0),"Plot ID not in the Plot &amp; Site Log. ","")&amp;IF(AND(ISNUMBER($D401),ISNUMBER($E401),$E401&lt;=$D401),"Bottom depth is not below top depth. ","")&amp;IF($L401="Not confirmed","Bulk-density basis not confirmed with the lab — the coarse-fragment correction may be wrong or doubled. ","")&amp;IF(AND(ISNUMBER($M401),OR($M401&lt;QC_BD_MIN,$M401&gt;QC_BD_MAX)),"Bulk density outside the plausible range for a mineral grassland soil. ","")&amp;IF(AND(ISNUMBER($N401),$N401&gt;QC_CARBON_PCT_MAX),"Organic carbon above the QC ceiling — check units, and whether this is an organic horizon. ","")&amp;IF(AND(ISNUMBER($J401),$J401&lt;QC_RECOVERY_MIN),"Recovered less than the QC minimum of the depth driven — the increments may not sit where you think. Do NOT stretch them back out. ","")&amp;IF(AND(ISNUMBER($K401),$K401&gt;0,$L401="Fine earth / total volume"),"Coarse fragments recorded and the lab basis already accounts for them — no further correction applied, which is correct. ",""))</f>
        <v/>
      </c>
      <c r="T401" s="6" t="n"/>
      <c r="U401" s="9">
        <f>IF($B401="",0,IF(COUNTIFS($B$5:$B401,$B401)=1,1,0))</f>
        <v/>
      </c>
    </row>
    <row r="402">
      <c r="A402" s="6" t="n"/>
      <c r="B402" s="6" t="n"/>
      <c r="C402" s="6" t="n"/>
      <c r="D402" s="6" t="n"/>
      <c r="E402" s="6" t="n"/>
      <c r="F402" s="9">
        <f>IF(OR($D402="",$E402=""),"",$E402-$D402)</f>
        <v/>
      </c>
      <c r="G402" s="6" t="n"/>
      <c r="H402" s="6" t="n"/>
      <c r="I402" s="6" t="n"/>
      <c r="J402" s="9">
        <f>IF(OR(NOT(ISNUMBER($H402)),NOT(ISNUMBER($I402)),$H402=0),"",$I402/$H402)</f>
        <v/>
      </c>
      <c r="K402" s="6" t="n"/>
      <c r="L402" s="8" t="n"/>
      <c r="M402" s="7" t="n"/>
      <c r="N402" s="7" t="n"/>
      <c r="O402" s="9">
        <f>IF(NOT(ISNUMBER($M402)),"",IF($L402="Fine earth / fine-earth volume",$M402*(1-IF(ISNUMBER($K402),$K402,0)/100),$M402))</f>
        <v/>
      </c>
      <c r="P402" s="9">
        <f>IF(OR(NOT(ISNUMBER($O402)),NOT(ISNUMBER($N402)),NOT(ISNUMBER($F402))),"",$O402*($N402/100)*$F402*10)</f>
        <v/>
      </c>
      <c r="Q402" s="9">
        <f>IF(OR(NOT(ISNUMBER($D402)),NOT(ISNUMBER($E402))),"",MAX(0,MIN($E402,SOIL_REPORTING_DEPTH_CM)-MIN($D402,SOIL_REPORTING_DEPTH_CM)))</f>
        <v/>
      </c>
      <c r="R402" s="9">
        <f>IF(OR(NOT(ISNUMBER($O402)),NOT(ISNUMBER($N402)),NOT(ISNUMBER($Q402))),"",$O402*($N402/100)*$Q402*10)</f>
        <v/>
      </c>
      <c r="S402" s="11">
        <f>IF(AND($A402="",$B402="",$D402=""),"",IF(AND($A402&lt;&gt;"",COUNTIF('1. Plot &amp; Site Log'!$A$5:$A$64,$A402)=0),"Plot ID not in the Plot &amp; Site Log. ","")&amp;IF(AND(ISNUMBER($D402),ISNUMBER($E402),$E402&lt;=$D402),"Bottom depth is not below top depth. ","")&amp;IF($L402="Not confirmed","Bulk-density basis not confirmed with the lab — the coarse-fragment correction may be wrong or doubled. ","")&amp;IF(AND(ISNUMBER($M402),OR($M402&lt;QC_BD_MIN,$M402&gt;QC_BD_MAX)),"Bulk density outside the plausible range for a mineral grassland soil. ","")&amp;IF(AND(ISNUMBER($N402),$N402&gt;QC_CARBON_PCT_MAX),"Organic carbon above the QC ceiling — check units, and whether this is an organic horizon. ","")&amp;IF(AND(ISNUMBER($J402),$J402&lt;QC_RECOVERY_MIN),"Recovered less than the QC minimum of the depth driven — the increments may not sit where you think. Do NOT stretch them back out. ","")&amp;IF(AND(ISNUMBER($K402),$K402&gt;0,$L402="Fine earth / total volume"),"Coarse fragments recorded and the lab basis already accounts for them — no further correction applied, which is correct. ",""))</f>
        <v/>
      </c>
      <c r="T402" s="6" t="n"/>
      <c r="U402" s="9">
        <f>IF($B402="",0,IF(COUNTIFS($B$5:$B402,$B402)=1,1,0))</f>
        <v/>
      </c>
    </row>
    <row r="403">
      <c r="A403" s="6" t="n"/>
      <c r="B403" s="6" t="n"/>
      <c r="C403" s="6" t="n"/>
      <c r="D403" s="6" t="n"/>
      <c r="E403" s="6" t="n"/>
      <c r="F403" s="9">
        <f>IF(OR($D403="",$E403=""),"",$E403-$D403)</f>
        <v/>
      </c>
      <c r="G403" s="6" t="n"/>
      <c r="H403" s="6" t="n"/>
      <c r="I403" s="6" t="n"/>
      <c r="J403" s="9">
        <f>IF(OR(NOT(ISNUMBER($H403)),NOT(ISNUMBER($I403)),$H403=0),"",$I403/$H403)</f>
        <v/>
      </c>
      <c r="K403" s="6" t="n"/>
      <c r="L403" s="8" t="n"/>
      <c r="M403" s="7" t="n"/>
      <c r="N403" s="7" t="n"/>
      <c r="O403" s="9">
        <f>IF(NOT(ISNUMBER($M403)),"",IF($L403="Fine earth / fine-earth volume",$M403*(1-IF(ISNUMBER($K403),$K403,0)/100),$M403))</f>
        <v/>
      </c>
      <c r="P403" s="9">
        <f>IF(OR(NOT(ISNUMBER($O403)),NOT(ISNUMBER($N403)),NOT(ISNUMBER($F403))),"",$O403*($N403/100)*$F403*10)</f>
        <v/>
      </c>
      <c r="Q403" s="9">
        <f>IF(OR(NOT(ISNUMBER($D403)),NOT(ISNUMBER($E403))),"",MAX(0,MIN($E403,SOIL_REPORTING_DEPTH_CM)-MIN($D403,SOIL_REPORTING_DEPTH_CM)))</f>
        <v/>
      </c>
      <c r="R403" s="9">
        <f>IF(OR(NOT(ISNUMBER($O403)),NOT(ISNUMBER($N403)),NOT(ISNUMBER($Q403))),"",$O403*($N403/100)*$Q403*10)</f>
        <v/>
      </c>
      <c r="S403" s="11">
        <f>IF(AND($A403="",$B403="",$D403=""),"",IF(AND($A403&lt;&gt;"",COUNTIF('1. Plot &amp; Site Log'!$A$5:$A$64,$A403)=0),"Plot ID not in the Plot &amp; Site Log. ","")&amp;IF(AND(ISNUMBER($D403),ISNUMBER($E403),$E403&lt;=$D403),"Bottom depth is not below top depth. ","")&amp;IF($L403="Not confirmed","Bulk-density basis not confirmed with the lab — the coarse-fragment correction may be wrong or doubled. ","")&amp;IF(AND(ISNUMBER($M403),OR($M403&lt;QC_BD_MIN,$M403&gt;QC_BD_MAX)),"Bulk density outside the plausible range for a mineral grassland soil. ","")&amp;IF(AND(ISNUMBER($N403),$N403&gt;QC_CARBON_PCT_MAX),"Organic carbon above the QC ceiling — check units, and whether this is an organic horizon. ","")&amp;IF(AND(ISNUMBER($J403),$J403&lt;QC_RECOVERY_MIN),"Recovered less than the QC minimum of the depth driven — the increments may not sit where you think. Do NOT stretch them back out. ","")&amp;IF(AND(ISNUMBER($K403),$K403&gt;0,$L403="Fine earth / total volume"),"Coarse fragments recorded and the lab basis already accounts for them — no further correction applied, which is correct. ",""))</f>
        <v/>
      </c>
      <c r="T403" s="6" t="n"/>
      <c r="U403" s="9">
        <f>IF($B403="",0,IF(COUNTIFS($B$5:$B403,$B403)=1,1,0))</f>
        <v/>
      </c>
    </row>
    <row r="404">
      <c r="A404" s="6" t="n"/>
      <c r="B404" s="6" t="n"/>
      <c r="C404" s="6" t="n"/>
      <c r="D404" s="6" t="n"/>
      <c r="E404" s="6" t="n"/>
      <c r="F404" s="9">
        <f>IF(OR($D404="",$E404=""),"",$E404-$D404)</f>
        <v/>
      </c>
      <c r="G404" s="6" t="n"/>
      <c r="H404" s="6" t="n"/>
      <c r="I404" s="6" t="n"/>
      <c r="J404" s="9">
        <f>IF(OR(NOT(ISNUMBER($H404)),NOT(ISNUMBER($I404)),$H404=0),"",$I404/$H404)</f>
        <v/>
      </c>
      <c r="K404" s="6" t="n"/>
      <c r="L404" s="8" t="n"/>
      <c r="M404" s="7" t="n"/>
      <c r="N404" s="7" t="n"/>
      <c r="O404" s="9">
        <f>IF(NOT(ISNUMBER($M404)),"",IF($L404="Fine earth / fine-earth volume",$M404*(1-IF(ISNUMBER($K404),$K404,0)/100),$M404))</f>
        <v/>
      </c>
      <c r="P404" s="9">
        <f>IF(OR(NOT(ISNUMBER($O404)),NOT(ISNUMBER($N404)),NOT(ISNUMBER($F404))),"",$O404*($N404/100)*$F404*10)</f>
        <v/>
      </c>
      <c r="Q404" s="9">
        <f>IF(OR(NOT(ISNUMBER($D404)),NOT(ISNUMBER($E404))),"",MAX(0,MIN($E404,SOIL_REPORTING_DEPTH_CM)-MIN($D404,SOIL_REPORTING_DEPTH_CM)))</f>
        <v/>
      </c>
      <c r="R404" s="9">
        <f>IF(OR(NOT(ISNUMBER($O404)),NOT(ISNUMBER($N404)),NOT(ISNUMBER($Q404))),"",$O404*($N404/100)*$Q404*10)</f>
        <v/>
      </c>
      <c r="S404" s="11">
        <f>IF(AND($A404="",$B404="",$D404=""),"",IF(AND($A404&lt;&gt;"",COUNTIF('1. Plot &amp; Site Log'!$A$5:$A$64,$A404)=0),"Plot ID not in the Plot &amp; Site Log. ","")&amp;IF(AND(ISNUMBER($D404),ISNUMBER($E404),$E404&lt;=$D404),"Bottom depth is not below top depth. ","")&amp;IF($L404="Not confirmed","Bulk-density basis not confirmed with the lab — the coarse-fragment correction may be wrong or doubled. ","")&amp;IF(AND(ISNUMBER($M404),OR($M404&lt;QC_BD_MIN,$M404&gt;QC_BD_MAX)),"Bulk density outside the plausible range for a mineral grassland soil. ","")&amp;IF(AND(ISNUMBER($N404),$N404&gt;QC_CARBON_PCT_MAX),"Organic carbon above the QC ceiling — check units, and whether this is an organic horizon. ","")&amp;IF(AND(ISNUMBER($J404),$J404&lt;QC_RECOVERY_MIN),"Recovered less than the QC minimum of the depth driven — the increments may not sit where you think. Do NOT stretch them back out. ","")&amp;IF(AND(ISNUMBER($K404),$K404&gt;0,$L404="Fine earth / total volume"),"Coarse fragments recorded and the lab basis already accounts for them — no further correction applied, which is correct. ",""))</f>
        <v/>
      </c>
      <c r="T404" s="6" t="n"/>
      <c r="U404" s="9">
        <f>IF($B404="",0,IF(COUNTIFS($B$5:$B404,$B404)=1,1,0))</f>
        <v/>
      </c>
    </row>
    <row r="405">
      <c r="A405" s="6" t="n"/>
      <c r="B405" s="6" t="n"/>
      <c r="C405" s="6" t="n"/>
      <c r="D405" s="6" t="n"/>
      <c r="E405" s="6" t="n"/>
      <c r="F405" s="9">
        <f>IF(OR($D405="",$E405=""),"",$E405-$D405)</f>
        <v/>
      </c>
      <c r="G405" s="6" t="n"/>
      <c r="H405" s="6" t="n"/>
      <c r="I405" s="6" t="n"/>
      <c r="J405" s="9">
        <f>IF(OR(NOT(ISNUMBER($H405)),NOT(ISNUMBER($I405)),$H405=0),"",$I405/$H405)</f>
        <v/>
      </c>
      <c r="K405" s="6" t="n"/>
      <c r="L405" s="8" t="n"/>
      <c r="M405" s="7" t="n"/>
      <c r="N405" s="7" t="n"/>
      <c r="O405" s="9">
        <f>IF(NOT(ISNUMBER($M405)),"",IF($L405="Fine earth / fine-earth volume",$M405*(1-IF(ISNUMBER($K405),$K405,0)/100),$M405))</f>
        <v/>
      </c>
      <c r="P405" s="9">
        <f>IF(OR(NOT(ISNUMBER($O405)),NOT(ISNUMBER($N405)),NOT(ISNUMBER($F405))),"",$O405*($N405/100)*$F405*10)</f>
        <v/>
      </c>
      <c r="Q405" s="9">
        <f>IF(OR(NOT(ISNUMBER($D405)),NOT(ISNUMBER($E405))),"",MAX(0,MIN($E405,SOIL_REPORTING_DEPTH_CM)-MIN($D405,SOIL_REPORTING_DEPTH_CM)))</f>
        <v/>
      </c>
      <c r="R405" s="9">
        <f>IF(OR(NOT(ISNUMBER($O405)),NOT(ISNUMBER($N405)),NOT(ISNUMBER($Q405))),"",$O405*($N405/100)*$Q405*10)</f>
        <v/>
      </c>
      <c r="S405" s="11">
        <f>IF(AND($A405="",$B405="",$D405=""),"",IF(AND($A405&lt;&gt;"",COUNTIF('1. Plot &amp; Site Log'!$A$5:$A$64,$A405)=0),"Plot ID not in the Plot &amp; Site Log. ","")&amp;IF(AND(ISNUMBER($D405),ISNUMBER($E405),$E405&lt;=$D405),"Bottom depth is not below top depth. ","")&amp;IF($L405="Not confirmed","Bulk-density basis not confirmed with the lab — the coarse-fragment correction may be wrong or doubled. ","")&amp;IF(AND(ISNUMBER($M405),OR($M405&lt;QC_BD_MIN,$M405&gt;QC_BD_MAX)),"Bulk density outside the plausible range for a mineral grassland soil. ","")&amp;IF(AND(ISNUMBER($N405),$N405&gt;QC_CARBON_PCT_MAX),"Organic carbon above the QC ceiling — check units, and whether this is an organic horizon. ","")&amp;IF(AND(ISNUMBER($J405),$J405&lt;QC_RECOVERY_MIN),"Recovered less than the QC minimum of the depth driven — the increments may not sit where you think. Do NOT stretch them back out. ","")&amp;IF(AND(ISNUMBER($K405),$K405&gt;0,$L405="Fine earth / total volume"),"Coarse fragments recorded and the lab basis already accounts for them — no further correction applied, which is correct. ",""))</f>
        <v/>
      </c>
      <c r="T405" s="6" t="n"/>
      <c r="U405" s="9">
        <f>IF($B405="",0,IF(COUNTIFS($B$5:$B405,$B405)=1,1,0))</f>
        <v/>
      </c>
    </row>
    <row r="406">
      <c r="A406" s="6" t="n"/>
      <c r="B406" s="6" t="n"/>
      <c r="C406" s="6" t="n"/>
      <c r="D406" s="6" t="n"/>
      <c r="E406" s="6" t="n"/>
      <c r="F406" s="9">
        <f>IF(OR($D406="",$E406=""),"",$E406-$D406)</f>
        <v/>
      </c>
      <c r="G406" s="6" t="n"/>
      <c r="H406" s="6" t="n"/>
      <c r="I406" s="6" t="n"/>
      <c r="J406" s="9">
        <f>IF(OR(NOT(ISNUMBER($H406)),NOT(ISNUMBER($I406)),$H406=0),"",$I406/$H406)</f>
        <v/>
      </c>
      <c r="K406" s="6" t="n"/>
      <c r="L406" s="8" t="n"/>
      <c r="M406" s="7" t="n"/>
      <c r="N406" s="7" t="n"/>
      <c r="O406" s="9">
        <f>IF(NOT(ISNUMBER($M406)),"",IF($L406="Fine earth / fine-earth volume",$M406*(1-IF(ISNUMBER($K406),$K406,0)/100),$M406))</f>
        <v/>
      </c>
      <c r="P406" s="9">
        <f>IF(OR(NOT(ISNUMBER($O406)),NOT(ISNUMBER($N406)),NOT(ISNUMBER($F406))),"",$O406*($N406/100)*$F406*10)</f>
        <v/>
      </c>
      <c r="Q406" s="9">
        <f>IF(OR(NOT(ISNUMBER($D406)),NOT(ISNUMBER($E406))),"",MAX(0,MIN($E406,SOIL_REPORTING_DEPTH_CM)-MIN($D406,SOIL_REPORTING_DEPTH_CM)))</f>
        <v/>
      </c>
      <c r="R406" s="9">
        <f>IF(OR(NOT(ISNUMBER($O406)),NOT(ISNUMBER($N406)),NOT(ISNUMBER($Q406))),"",$O406*($N406/100)*$Q406*10)</f>
        <v/>
      </c>
      <c r="S406" s="11">
        <f>IF(AND($A406="",$B406="",$D406=""),"",IF(AND($A406&lt;&gt;"",COUNTIF('1. Plot &amp; Site Log'!$A$5:$A$64,$A406)=0),"Plot ID not in the Plot &amp; Site Log. ","")&amp;IF(AND(ISNUMBER($D406),ISNUMBER($E406),$E406&lt;=$D406),"Bottom depth is not below top depth. ","")&amp;IF($L406="Not confirmed","Bulk-density basis not confirmed with the lab — the coarse-fragment correction may be wrong or doubled. ","")&amp;IF(AND(ISNUMBER($M406),OR($M406&lt;QC_BD_MIN,$M406&gt;QC_BD_MAX)),"Bulk density outside the plausible range for a mineral grassland soil. ","")&amp;IF(AND(ISNUMBER($N406),$N406&gt;QC_CARBON_PCT_MAX),"Organic carbon above the QC ceiling — check units, and whether this is an organic horizon. ","")&amp;IF(AND(ISNUMBER($J406),$J406&lt;QC_RECOVERY_MIN),"Recovered less than the QC minimum of the depth driven — the increments may not sit where you think. Do NOT stretch them back out. ","")&amp;IF(AND(ISNUMBER($K406),$K406&gt;0,$L406="Fine earth / total volume"),"Coarse fragments recorded and the lab basis already accounts for them — no further correction applied, which is correct. ",""))</f>
        <v/>
      </c>
      <c r="T406" s="6" t="n"/>
      <c r="U406" s="9">
        <f>IF($B406="",0,IF(COUNTIFS($B$5:$B406,$B406)=1,1,0))</f>
        <v/>
      </c>
    </row>
    <row r="407">
      <c r="A407" s="6" t="n"/>
      <c r="B407" s="6" t="n"/>
      <c r="C407" s="6" t="n"/>
      <c r="D407" s="6" t="n"/>
      <c r="E407" s="6" t="n"/>
      <c r="F407" s="9">
        <f>IF(OR($D407="",$E407=""),"",$E407-$D407)</f>
        <v/>
      </c>
      <c r="G407" s="6" t="n"/>
      <c r="H407" s="6" t="n"/>
      <c r="I407" s="6" t="n"/>
      <c r="J407" s="9">
        <f>IF(OR(NOT(ISNUMBER($H407)),NOT(ISNUMBER($I407)),$H407=0),"",$I407/$H407)</f>
        <v/>
      </c>
      <c r="K407" s="6" t="n"/>
      <c r="L407" s="8" t="n"/>
      <c r="M407" s="7" t="n"/>
      <c r="N407" s="7" t="n"/>
      <c r="O407" s="9">
        <f>IF(NOT(ISNUMBER($M407)),"",IF($L407="Fine earth / fine-earth volume",$M407*(1-IF(ISNUMBER($K407),$K407,0)/100),$M407))</f>
        <v/>
      </c>
      <c r="P407" s="9">
        <f>IF(OR(NOT(ISNUMBER($O407)),NOT(ISNUMBER($N407)),NOT(ISNUMBER($F407))),"",$O407*($N407/100)*$F407*10)</f>
        <v/>
      </c>
      <c r="Q407" s="9">
        <f>IF(OR(NOT(ISNUMBER($D407)),NOT(ISNUMBER($E407))),"",MAX(0,MIN($E407,SOIL_REPORTING_DEPTH_CM)-MIN($D407,SOIL_REPORTING_DEPTH_CM)))</f>
        <v/>
      </c>
      <c r="R407" s="9">
        <f>IF(OR(NOT(ISNUMBER($O407)),NOT(ISNUMBER($N407)),NOT(ISNUMBER($Q407))),"",$O407*($N407/100)*$Q407*10)</f>
        <v/>
      </c>
      <c r="S407" s="11">
        <f>IF(AND($A407="",$B407="",$D407=""),"",IF(AND($A407&lt;&gt;"",COUNTIF('1. Plot &amp; Site Log'!$A$5:$A$64,$A407)=0),"Plot ID not in the Plot &amp; Site Log. ","")&amp;IF(AND(ISNUMBER($D407),ISNUMBER($E407),$E407&lt;=$D407),"Bottom depth is not below top depth. ","")&amp;IF($L407="Not confirmed","Bulk-density basis not confirmed with the lab — the coarse-fragment correction may be wrong or doubled. ","")&amp;IF(AND(ISNUMBER($M407),OR($M407&lt;QC_BD_MIN,$M407&gt;QC_BD_MAX)),"Bulk density outside the plausible range for a mineral grassland soil. ","")&amp;IF(AND(ISNUMBER($N407),$N407&gt;QC_CARBON_PCT_MAX),"Organic carbon above the QC ceiling — check units, and whether this is an organic horizon. ","")&amp;IF(AND(ISNUMBER($J407),$J407&lt;QC_RECOVERY_MIN),"Recovered less than the QC minimum of the depth driven — the increments may not sit where you think. Do NOT stretch them back out. ","")&amp;IF(AND(ISNUMBER($K407),$K407&gt;0,$L407="Fine earth / total volume"),"Coarse fragments recorded and the lab basis already accounts for them — no further correction applied, which is correct. ",""))</f>
        <v/>
      </c>
      <c r="T407" s="6" t="n"/>
      <c r="U407" s="9">
        <f>IF($B407="",0,IF(COUNTIFS($B$5:$B407,$B407)=1,1,0))</f>
        <v/>
      </c>
    </row>
    <row r="408">
      <c r="A408" s="6" t="n"/>
      <c r="B408" s="6" t="n"/>
      <c r="C408" s="6" t="n"/>
      <c r="D408" s="6" t="n"/>
      <c r="E408" s="6" t="n"/>
      <c r="F408" s="9">
        <f>IF(OR($D408="",$E408=""),"",$E408-$D408)</f>
        <v/>
      </c>
      <c r="G408" s="6" t="n"/>
      <c r="H408" s="6" t="n"/>
      <c r="I408" s="6" t="n"/>
      <c r="J408" s="9">
        <f>IF(OR(NOT(ISNUMBER($H408)),NOT(ISNUMBER($I408)),$H408=0),"",$I408/$H408)</f>
        <v/>
      </c>
      <c r="K408" s="6" t="n"/>
      <c r="L408" s="8" t="n"/>
      <c r="M408" s="7" t="n"/>
      <c r="N408" s="7" t="n"/>
      <c r="O408" s="9">
        <f>IF(NOT(ISNUMBER($M408)),"",IF($L408="Fine earth / fine-earth volume",$M408*(1-IF(ISNUMBER($K408),$K408,0)/100),$M408))</f>
        <v/>
      </c>
      <c r="P408" s="9">
        <f>IF(OR(NOT(ISNUMBER($O408)),NOT(ISNUMBER($N408)),NOT(ISNUMBER($F408))),"",$O408*($N408/100)*$F408*10)</f>
        <v/>
      </c>
      <c r="Q408" s="9">
        <f>IF(OR(NOT(ISNUMBER($D408)),NOT(ISNUMBER($E408))),"",MAX(0,MIN($E408,SOIL_REPORTING_DEPTH_CM)-MIN($D408,SOIL_REPORTING_DEPTH_CM)))</f>
        <v/>
      </c>
      <c r="R408" s="9">
        <f>IF(OR(NOT(ISNUMBER($O408)),NOT(ISNUMBER($N408)),NOT(ISNUMBER($Q408))),"",$O408*($N408/100)*$Q408*10)</f>
        <v/>
      </c>
      <c r="S408" s="11">
        <f>IF(AND($A408="",$B408="",$D408=""),"",IF(AND($A408&lt;&gt;"",COUNTIF('1. Plot &amp; Site Log'!$A$5:$A$64,$A408)=0),"Plot ID not in the Plot &amp; Site Log. ","")&amp;IF(AND(ISNUMBER($D408),ISNUMBER($E408),$E408&lt;=$D408),"Bottom depth is not below top depth. ","")&amp;IF($L408="Not confirmed","Bulk-density basis not confirmed with the lab — the coarse-fragment correction may be wrong or doubled. ","")&amp;IF(AND(ISNUMBER($M408),OR($M408&lt;QC_BD_MIN,$M408&gt;QC_BD_MAX)),"Bulk density outside the plausible range for a mineral grassland soil. ","")&amp;IF(AND(ISNUMBER($N408),$N408&gt;QC_CARBON_PCT_MAX),"Organic carbon above the QC ceiling — check units, and whether this is an organic horizon. ","")&amp;IF(AND(ISNUMBER($J408),$J408&lt;QC_RECOVERY_MIN),"Recovered less than the QC minimum of the depth driven — the increments may not sit where you think. Do NOT stretch them back out. ","")&amp;IF(AND(ISNUMBER($K408),$K408&gt;0,$L408="Fine earth / total volume"),"Coarse fragments recorded and the lab basis already accounts for them — no further correction applied, which is correct. ",""))</f>
        <v/>
      </c>
      <c r="T408" s="6" t="n"/>
      <c r="U408" s="9">
        <f>IF($B408="",0,IF(COUNTIFS($B$5:$B408,$B408)=1,1,0))</f>
        <v/>
      </c>
    </row>
    <row r="409">
      <c r="A409" s="6" t="n"/>
      <c r="B409" s="6" t="n"/>
      <c r="C409" s="6" t="n"/>
      <c r="D409" s="6" t="n"/>
      <c r="E409" s="6" t="n"/>
      <c r="F409" s="9">
        <f>IF(OR($D409="",$E409=""),"",$E409-$D409)</f>
        <v/>
      </c>
      <c r="G409" s="6" t="n"/>
      <c r="H409" s="6" t="n"/>
      <c r="I409" s="6" t="n"/>
      <c r="J409" s="9">
        <f>IF(OR(NOT(ISNUMBER($H409)),NOT(ISNUMBER($I409)),$H409=0),"",$I409/$H409)</f>
        <v/>
      </c>
      <c r="K409" s="6" t="n"/>
      <c r="L409" s="8" t="n"/>
      <c r="M409" s="7" t="n"/>
      <c r="N409" s="7" t="n"/>
      <c r="O409" s="9">
        <f>IF(NOT(ISNUMBER($M409)),"",IF($L409="Fine earth / fine-earth volume",$M409*(1-IF(ISNUMBER($K409),$K409,0)/100),$M409))</f>
        <v/>
      </c>
      <c r="P409" s="9">
        <f>IF(OR(NOT(ISNUMBER($O409)),NOT(ISNUMBER($N409)),NOT(ISNUMBER($F409))),"",$O409*($N409/100)*$F409*10)</f>
        <v/>
      </c>
      <c r="Q409" s="9">
        <f>IF(OR(NOT(ISNUMBER($D409)),NOT(ISNUMBER($E409))),"",MAX(0,MIN($E409,SOIL_REPORTING_DEPTH_CM)-MIN($D409,SOIL_REPORTING_DEPTH_CM)))</f>
        <v/>
      </c>
      <c r="R409" s="9">
        <f>IF(OR(NOT(ISNUMBER($O409)),NOT(ISNUMBER($N409)),NOT(ISNUMBER($Q409))),"",$O409*($N409/100)*$Q409*10)</f>
        <v/>
      </c>
      <c r="S409" s="11">
        <f>IF(AND($A409="",$B409="",$D409=""),"",IF(AND($A409&lt;&gt;"",COUNTIF('1. Plot &amp; Site Log'!$A$5:$A$64,$A409)=0),"Plot ID not in the Plot &amp; Site Log. ","")&amp;IF(AND(ISNUMBER($D409),ISNUMBER($E409),$E409&lt;=$D409),"Bottom depth is not below top depth. ","")&amp;IF($L409="Not confirmed","Bulk-density basis not confirmed with the lab — the coarse-fragment correction may be wrong or doubled. ","")&amp;IF(AND(ISNUMBER($M409),OR($M409&lt;QC_BD_MIN,$M409&gt;QC_BD_MAX)),"Bulk density outside the plausible range for a mineral grassland soil. ","")&amp;IF(AND(ISNUMBER($N409),$N409&gt;QC_CARBON_PCT_MAX),"Organic carbon above the QC ceiling — check units, and whether this is an organic horizon. ","")&amp;IF(AND(ISNUMBER($J409),$J409&lt;QC_RECOVERY_MIN),"Recovered less than the QC minimum of the depth driven — the increments may not sit where you think. Do NOT stretch them back out. ","")&amp;IF(AND(ISNUMBER($K409),$K409&gt;0,$L409="Fine earth / total volume"),"Coarse fragments recorded and the lab basis already accounts for them — no further correction applied, which is correct. ",""))</f>
        <v/>
      </c>
      <c r="T409" s="6" t="n"/>
      <c r="U409" s="9">
        <f>IF($B409="",0,IF(COUNTIFS($B$5:$B409,$B409)=1,1,0))</f>
        <v/>
      </c>
    </row>
    <row r="410">
      <c r="A410" s="6" t="n"/>
      <c r="B410" s="6" t="n"/>
      <c r="C410" s="6" t="n"/>
      <c r="D410" s="6" t="n"/>
      <c r="E410" s="6" t="n"/>
      <c r="F410" s="9">
        <f>IF(OR($D410="",$E410=""),"",$E410-$D410)</f>
        <v/>
      </c>
      <c r="G410" s="6" t="n"/>
      <c r="H410" s="6" t="n"/>
      <c r="I410" s="6" t="n"/>
      <c r="J410" s="9">
        <f>IF(OR(NOT(ISNUMBER($H410)),NOT(ISNUMBER($I410)),$H410=0),"",$I410/$H410)</f>
        <v/>
      </c>
      <c r="K410" s="6" t="n"/>
      <c r="L410" s="8" t="n"/>
      <c r="M410" s="7" t="n"/>
      <c r="N410" s="7" t="n"/>
      <c r="O410" s="9">
        <f>IF(NOT(ISNUMBER($M410)),"",IF($L410="Fine earth / fine-earth volume",$M410*(1-IF(ISNUMBER($K410),$K410,0)/100),$M410))</f>
        <v/>
      </c>
      <c r="P410" s="9">
        <f>IF(OR(NOT(ISNUMBER($O410)),NOT(ISNUMBER($N410)),NOT(ISNUMBER($F410))),"",$O410*($N410/100)*$F410*10)</f>
        <v/>
      </c>
      <c r="Q410" s="9">
        <f>IF(OR(NOT(ISNUMBER($D410)),NOT(ISNUMBER($E410))),"",MAX(0,MIN($E410,SOIL_REPORTING_DEPTH_CM)-MIN($D410,SOIL_REPORTING_DEPTH_CM)))</f>
        <v/>
      </c>
      <c r="R410" s="9">
        <f>IF(OR(NOT(ISNUMBER($O410)),NOT(ISNUMBER($N410)),NOT(ISNUMBER($Q410))),"",$O410*($N410/100)*$Q410*10)</f>
        <v/>
      </c>
      <c r="S410" s="11">
        <f>IF(AND($A410="",$B410="",$D410=""),"",IF(AND($A410&lt;&gt;"",COUNTIF('1. Plot &amp; Site Log'!$A$5:$A$64,$A410)=0),"Plot ID not in the Plot &amp; Site Log. ","")&amp;IF(AND(ISNUMBER($D410),ISNUMBER($E410),$E410&lt;=$D410),"Bottom depth is not below top depth. ","")&amp;IF($L410="Not confirmed","Bulk-density basis not confirmed with the lab — the coarse-fragment correction may be wrong or doubled. ","")&amp;IF(AND(ISNUMBER($M410),OR($M410&lt;QC_BD_MIN,$M410&gt;QC_BD_MAX)),"Bulk density outside the plausible range for a mineral grassland soil. ","")&amp;IF(AND(ISNUMBER($N410),$N410&gt;QC_CARBON_PCT_MAX),"Organic carbon above the QC ceiling — check units, and whether this is an organic horizon. ","")&amp;IF(AND(ISNUMBER($J410),$J410&lt;QC_RECOVERY_MIN),"Recovered less than the QC minimum of the depth driven — the increments may not sit where you think. Do NOT stretch them back out. ","")&amp;IF(AND(ISNUMBER($K410),$K410&gt;0,$L410="Fine earth / total volume"),"Coarse fragments recorded and the lab basis already accounts for them — no further correction applied, which is correct. ",""))</f>
        <v/>
      </c>
      <c r="T410" s="6" t="n"/>
      <c r="U410" s="9">
        <f>IF($B410="",0,IF(COUNTIFS($B$5:$B410,$B410)=1,1,0))</f>
        <v/>
      </c>
    </row>
    <row r="411">
      <c r="A411" s="6" t="n"/>
      <c r="B411" s="6" t="n"/>
      <c r="C411" s="6" t="n"/>
      <c r="D411" s="6" t="n"/>
      <c r="E411" s="6" t="n"/>
      <c r="F411" s="9">
        <f>IF(OR($D411="",$E411=""),"",$E411-$D411)</f>
        <v/>
      </c>
      <c r="G411" s="6" t="n"/>
      <c r="H411" s="6" t="n"/>
      <c r="I411" s="6" t="n"/>
      <c r="J411" s="9">
        <f>IF(OR(NOT(ISNUMBER($H411)),NOT(ISNUMBER($I411)),$H411=0),"",$I411/$H411)</f>
        <v/>
      </c>
      <c r="K411" s="6" t="n"/>
      <c r="L411" s="8" t="n"/>
      <c r="M411" s="7" t="n"/>
      <c r="N411" s="7" t="n"/>
      <c r="O411" s="9">
        <f>IF(NOT(ISNUMBER($M411)),"",IF($L411="Fine earth / fine-earth volume",$M411*(1-IF(ISNUMBER($K411),$K411,0)/100),$M411))</f>
        <v/>
      </c>
      <c r="P411" s="9">
        <f>IF(OR(NOT(ISNUMBER($O411)),NOT(ISNUMBER($N411)),NOT(ISNUMBER($F411))),"",$O411*($N411/100)*$F411*10)</f>
        <v/>
      </c>
      <c r="Q411" s="9">
        <f>IF(OR(NOT(ISNUMBER($D411)),NOT(ISNUMBER($E411))),"",MAX(0,MIN($E411,SOIL_REPORTING_DEPTH_CM)-MIN($D411,SOIL_REPORTING_DEPTH_CM)))</f>
        <v/>
      </c>
      <c r="R411" s="9">
        <f>IF(OR(NOT(ISNUMBER($O411)),NOT(ISNUMBER($N411)),NOT(ISNUMBER($Q411))),"",$O411*($N411/100)*$Q411*10)</f>
        <v/>
      </c>
      <c r="S411" s="11">
        <f>IF(AND($A411="",$B411="",$D411=""),"",IF(AND($A411&lt;&gt;"",COUNTIF('1. Plot &amp; Site Log'!$A$5:$A$64,$A411)=0),"Plot ID not in the Plot &amp; Site Log. ","")&amp;IF(AND(ISNUMBER($D411),ISNUMBER($E411),$E411&lt;=$D411),"Bottom depth is not below top depth. ","")&amp;IF($L411="Not confirmed","Bulk-density basis not confirmed with the lab — the coarse-fragment correction may be wrong or doubled. ","")&amp;IF(AND(ISNUMBER($M411),OR($M411&lt;QC_BD_MIN,$M411&gt;QC_BD_MAX)),"Bulk density outside the plausible range for a mineral grassland soil. ","")&amp;IF(AND(ISNUMBER($N411),$N411&gt;QC_CARBON_PCT_MAX),"Organic carbon above the QC ceiling — check units, and whether this is an organic horizon. ","")&amp;IF(AND(ISNUMBER($J411),$J411&lt;QC_RECOVERY_MIN),"Recovered less than the QC minimum of the depth driven — the increments may not sit where you think. Do NOT stretch them back out. ","")&amp;IF(AND(ISNUMBER($K411),$K411&gt;0,$L411="Fine earth / total volume"),"Coarse fragments recorded and the lab basis already accounts for them — no further correction applied, which is correct. ",""))</f>
        <v/>
      </c>
      <c r="T411" s="6" t="n"/>
      <c r="U411" s="9">
        <f>IF($B411="",0,IF(COUNTIFS($B$5:$B411,$B411)=1,1,0))</f>
        <v/>
      </c>
    </row>
    <row r="412">
      <c r="A412" s="6" t="n"/>
      <c r="B412" s="6" t="n"/>
      <c r="C412" s="6" t="n"/>
      <c r="D412" s="6" t="n"/>
      <c r="E412" s="6" t="n"/>
      <c r="F412" s="9">
        <f>IF(OR($D412="",$E412=""),"",$E412-$D412)</f>
        <v/>
      </c>
      <c r="G412" s="6" t="n"/>
      <c r="H412" s="6" t="n"/>
      <c r="I412" s="6" t="n"/>
      <c r="J412" s="9">
        <f>IF(OR(NOT(ISNUMBER($H412)),NOT(ISNUMBER($I412)),$H412=0),"",$I412/$H412)</f>
        <v/>
      </c>
      <c r="K412" s="6" t="n"/>
      <c r="L412" s="8" t="n"/>
      <c r="M412" s="7" t="n"/>
      <c r="N412" s="7" t="n"/>
      <c r="O412" s="9">
        <f>IF(NOT(ISNUMBER($M412)),"",IF($L412="Fine earth / fine-earth volume",$M412*(1-IF(ISNUMBER($K412),$K412,0)/100),$M412))</f>
        <v/>
      </c>
      <c r="P412" s="9">
        <f>IF(OR(NOT(ISNUMBER($O412)),NOT(ISNUMBER($N412)),NOT(ISNUMBER($F412))),"",$O412*($N412/100)*$F412*10)</f>
        <v/>
      </c>
      <c r="Q412" s="9">
        <f>IF(OR(NOT(ISNUMBER($D412)),NOT(ISNUMBER($E412))),"",MAX(0,MIN($E412,SOIL_REPORTING_DEPTH_CM)-MIN($D412,SOIL_REPORTING_DEPTH_CM)))</f>
        <v/>
      </c>
      <c r="R412" s="9">
        <f>IF(OR(NOT(ISNUMBER($O412)),NOT(ISNUMBER($N412)),NOT(ISNUMBER($Q412))),"",$O412*($N412/100)*$Q412*10)</f>
        <v/>
      </c>
      <c r="S412" s="11">
        <f>IF(AND($A412="",$B412="",$D412=""),"",IF(AND($A412&lt;&gt;"",COUNTIF('1. Plot &amp; Site Log'!$A$5:$A$64,$A412)=0),"Plot ID not in the Plot &amp; Site Log. ","")&amp;IF(AND(ISNUMBER($D412),ISNUMBER($E412),$E412&lt;=$D412),"Bottom depth is not below top depth. ","")&amp;IF($L412="Not confirmed","Bulk-density basis not confirmed with the lab — the coarse-fragment correction may be wrong or doubled. ","")&amp;IF(AND(ISNUMBER($M412),OR($M412&lt;QC_BD_MIN,$M412&gt;QC_BD_MAX)),"Bulk density outside the plausible range for a mineral grassland soil. ","")&amp;IF(AND(ISNUMBER($N412),$N412&gt;QC_CARBON_PCT_MAX),"Organic carbon above the QC ceiling — check units, and whether this is an organic horizon. ","")&amp;IF(AND(ISNUMBER($J412),$J412&lt;QC_RECOVERY_MIN),"Recovered less than the QC minimum of the depth driven — the increments may not sit where you think. Do NOT stretch them back out. ","")&amp;IF(AND(ISNUMBER($K412),$K412&gt;0,$L412="Fine earth / total volume"),"Coarse fragments recorded and the lab basis already accounts for them — no further correction applied, which is correct. ",""))</f>
        <v/>
      </c>
      <c r="T412" s="6" t="n"/>
      <c r="U412" s="9">
        <f>IF($B412="",0,IF(COUNTIFS($B$5:$B412,$B412)=1,1,0))</f>
        <v/>
      </c>
    </row>
    <row r="413">
      <c r="A413" s="6" t="n"/>
      <c r="B413" s="6" t="n"/>
      <c r="C413" s="6" t="n"/>
      <c r="D413" s="6" t="n"/>
      <c r="E413" s="6" t="n"/>
      <c r="F413" s="9">
        <f>IF(OR($D413="",$E413=""),"",$E413-$D413)</f>
        <v/>
      </c>
      <c r="G413" s="6" t="n"/>
      <c r="H413" s="6" t="n"/>
      <c r="I413" s="6" t="n"/>
      <c r="J413" s="9">
        <f>IF(OR(NOT(ISNUMBER($H413)),NOT(ISNUMBER($I413)),$H413=0),"",$I413/$H413)</f>
        <v/>
      </c>
      <c r="K413" s="6" t="n"/>
      <c r="L413" s="8" t="n"/>
      <c r="M413" s="7" t="n"/>
      <c r="N413" s="7" t="n"/>
      <c r="O413" s="9">
        <f>IF(NOT(ISNUMBER($M413)),"",IF($L413="Fine earth / fine-earth volume",$M413*(1-IF(ISNUMBER($K413),$K413,0)/100),$M413))</f>
        <v/>
      </c>
      <c r="P413" s="9">
        <f>IF(OR(NOT(ISNUMBER($O413)),NOT(ISNUMBER($N413)),NOT(ISNUMBER($F413))),"",$O413*($N413/100)*$F413*10)</f>
        <v/>
      </c>
      <c r="Q413" s="9">
        <f>IF(OR(NOT(ISNUMBER($D413)),NOT(ISNUMBER($E413))),"",MAX(0,MIN($E413,SOIL_REPORTING_DEPTH_CM)-MIN($D413,SOIL_REPORTING_DEPTH_CM)))</f>
        <v/>
      </c>
      <c r="R413" s="9">
        <f>IF(OR(NOT(ISNUMBER($O413)),NOT(ISNUMBER($N413)),NOT(ISNUMBER($Q413))),"",$O413*($N413/100)*$Q413*10)</f>
        <v/>
      </c>
      <c r="S413" s="11">
        <f>IF(AND($A413="",$B413="",$D413=""),"",IF(AND($A413&lt;&gt;"",COUNTIF('1. Plot &amp; Site Log'!$A$5:$A$64,$A413)=0),"Plot ID not in the Plot &amp; Site Log. ","")&amp;IF(AND(ISNUMBER($D413),ISNUMBER($E413),$E413&lt;=$D413),"Bottom depth is not below top depth. ","")&amp;IF($L413="Not confirmed","Bulk-density basis not confirmed with the lab — the coarse-fragment correction may be wrong or doubled. ","")&amp;IF(AND(ISNUMBER($M413),OR($M413&lt;QC_BD_MIN,$M413&gt;QC_BD_MAX)),"Bulk density outside the plausible range for a mineral grassland soil. ","")&amp;IF(AND(ISNUMBER($N413),$N413&gt;QC_CARBON_PCT_MAX),"Organic carbon above the QC ceiling — check units, and whether this is an organic horizon. ","")&amp;IF(AND(ISNUMBER($J413),$J413&lt;QC_RECOVERY_MIN),"Recovered less than the QC minimum of the depth driven — the increments may not sit where you think. Do NOT stretch them back out. ","")&amp;IF(AND(ISNUMBER($K413),$K413&gt;0,$L413="Fine earth / total volume"),"Coarse fragments recorded and the lab basis already accounts for them — no further correction applied, which is correct. ",""))</f>
        <v/>
      </c>
      <c r="T413" s="6" t="n"/>
      <c r="U413" s="9">
        <f>IF($B413="",0,IF(COUNTIFS($B$5:$B413,$B413)=1,1,0))</f>
        <v/>
      </c>
    </row>
    <row r="414">
      <c r="A414" s="6" t="n"/>
      <c r="B414" s="6" t="n"/>
      <c r="C414" s="6" t="n"/>
      <c r="D414" s="6" t="n"/>
      <c r="E414" s="6" t="n"/>
      <c r="F414" s="9">
        <f>IF(OR($D414="",$E414=""),"",$E414-$D414)</f>
        <v/>
      </c>
      <c r="G414" s="6" t="n"/>
      <c r="H414" s="6" t="n"/>
      <c r="I414" s="6" t="n"/>
      <c r="J414" s="9">
        <f>IF(OR(NOT(ISNUMBER($H414)),NOT(ISNUMBER($I414)),$H414=0),"",$I414/$H414)</f>
        <v/>
      </c>
      <c r="K414" s="6" t="n"/>
      <c r="L414" s="8" t="n"/>
      <c r="M414" s="7" t="n"/>
      <c r="N414" s="7" t="n"/>
      <c r="O414" s="9">
        <f>IF(NOT(ISNUMBER($M414)),"",IF($L414="Fine earth / fine-earth volume",$M414*(1-IF(ISNUMBER($K414),$K414,0)/100),$M414))</f>
        <v/>
      </c>
      <c r="P414" s="9">
        <f>IF(OR(NOT(ISNUMBER($O414)),NOT(ISNUMBER($N414)),NOT(ISNUMBER($F414))),"",$O414*($N414/100)*$F414*10)</f>
        <v/>
      </c>
      <c r="Q414" s="9">
        <f>IF(OR(NOT(ISNUMBER($D414)),NOT(ISNUMBER($E414))),"",MAX(0,MIN($E414,SOIL_REPORTING_DEPTH_CM)-MIN($D414,SOIL_REPORTING_DEPTH_CM)))</f>
        <v/>
      </c>
      <c r="R414" s="9">
        <f>IF(OR(NOT(ISNUMBER($O414)),NOT(ISNUMBER($N414)),NOT(ISNUMBER($Q414))),"",$O414*($N414/100)*$Q414*10)</f>
        <v/>
      </c>
      <c r="S414" s="11">
        <f>IF(AND($A414="",$B414="",$D414=""),"",IF(AND($A414&lt;&gt;"",COUNTIF('1. Plot &amp; Site Log'!$A$5:$A$64,$A414)=0),"Plot ID not in the Plot &amp; Site Log. ","")&amp;IF(AND(ISNUMBER($D414),ISNUMBER($E414),$E414&lt;=$D414),"Bottom depth is not below top depth. ","")&amp;IF($L414="Not confirmed","Bulk-density basis not confirmed with the lab — the coarse-fragment correction may be wrong or doubled. ","")&amp;IF(AND(ISNUMBER($M414),OR($M414&lt;QC_BD_MIN,$M414&gt;QC_BD_MAX)),"Bulk density outside the plausible range for a mineral grassland soil. ","")&amp;IF(AND(ISNUMBER($N414),$N414&gt;QC_CARBON_PCT_MAX),"Organic carbon above the QC ceiling — check units, and whether this is an organic horizon. ","")&amp;IF(AND(ISNUMBER($J414),$J414&lt;QC_RECOVERY_MIN),"Recovered less than the QC minimum of the depth driven — the increments may not sit where you think. Do NOT stretch them back out. ","")&amp;IF(AND(ISNUMBER($K414),$K414&gt;0,$L414="Fine earth / total volume"),"Coarse fragments recorded and the lab basis already accounts for them — no further correction applied, which is correct. ",""))</f>
        <v/>
      </c>
      <c r="T414" s="6" t="n"/>
      <c r="U414" s="9">
        <f>IF($B414="",0,IF(COUNTIFS($B$5:$B414,$B414)=1,1,0))</f>
        <v/>
      </c>
    </row>
    <row r="415">
      <c r="A415" s="6" t="n"/>
      <c r="B415" s="6" t="n"/>
      <c r="C415" s="6" t="n"/>
      <c r="D415" s="6" t="n"/>
      <c r="E415" s="6" t="n"/>
      <c r="F415" s="9">
        <f>IF(OR($D415="",$E415=""),"",$E415-$D415)</f>
        <v/>
      </c>
      <c r="G415" s="6" t="n"/>
      <c r="H415" s="6" t="n"/>
      <c r="I415" s="6" t="n"/>
      <c r="J415" s="9">
        <f>IF(OR(NOT(ISNUMBER($H415)),NOT(ISNUMBER($I415)),$H415=0),"",$I415/$H415)</f>
        <v/>
      </c>
      <c r="K415" s="6" t="n"/>
      <c r="L415" s="8" t="n"/>
      <c r="M415" s="7" t="n"/>
      <c r="N415" s="7" t="n"/>
      <c r="O415" s="9">
        <f>IF(NOT(ISNUMBER($M415)),"",IF($L415="Fine earth / fine-earth volume",$M415*(1-IF(ISNUMBER($K415),$K415,0)/100),$M415))</f>
        <v/>
      </c>
      <c r="P415" s="9">
        <f>IF(OR(NOT(ISNUMBER($O415)),NOT(ISNUMBER($N415)),NOT(ISNUMBER($F415))),"",$O415*($N415/100)*$F415*10)</f>
        <v/>
      </c>
      <c r="Q415" s="9">
        <f>IF(OR(NOT(ISNUMBER($D415)),NOT(ISNUMBER($E415))),"",MAX(0,MIN($E415,SOIL_REPORTING_DEPTH_CM)-MIN($D415,SOIL_REPORTING_DEPTH_CM)))</f>
        <v/>
      </c>
      <c r="R415" s="9">
        <f>IF(OR(NOT(ISNUMBER($O415)),NOT(ISNUMBER($N415)),NOT(ISNUMBER($Q415))),"",$O415*($N415/100)*$Q415*10)</f>
        <v/>
      </c>
      <c r="S415" s="11">
        <f>IF(AND($A415="",$B415="",$D415=""),"",IF(AND($A415&lt;&gt;"",COUNTIF('1. Plot &amp; Site Log'!$A$5:$A$64,$A415)=0),"Plot ID not in the Plot &amp; Site Log. ","")&amp;IF(AND(ISNUMBER($D415),ISNUMBER($E415),$E415&lt;=$D415),"Bottom depth is not below top depth. ","")&amp;IF($L415="Not confirmed","Bulk-density basis not confirmed with the lab — the coarse-fragment correction may be wrong or doubled. ","")&amp;IF(AND(ISNUMBER($M415),OR($M415&lt;QC_BD_MIN,$M415&gt;QC_BD_MAX)),"Bulk density outside the plausible range for a mineral grassland soil. ","")&amp;IF(AND(ISNUMBER($N415),$N415&gt;QC_CARBON_PCT_MAX),"Organic carbon above the QC ceiling — check units, and whether this is an organic horizon. ","")&amp;IF(AND(ISNUMBER($J415),$J415&lt;QC_RECOVERY_MIN),"Recovered less than the QC minimum of the depth driven — the increments may not sit where you think. Do NOT stretch them back out. ","")&amp;IF(AND(ISNUMBER($K415),$K415&gt;0,$L415="Fine earth / total volume"),"Coarse fragments recorded and the lab basis already accounts for them — no further correction applied, which is correct. ",""))</f>
        <v/>
      </c>
      <c r="T415" s="6" t="n"/>
      <c r="U415" s="9">
        <f>IF($B415="",0,IF(COUNTIFS($B$5:$B415,$B415)=1,1,0))</f>
        <v/>
      </c>
    </row>
    <row r="416">
      <c r="A416" s="6" t="n"/>
      <c r="B416" s="6" t="n"/>
      <c r="C416" s="6" t="n"/>
      <c r="D416" s="6" t="n"/>
      <c r="E416" s="6" t="n"/>
      <c r="F416" s="9">
        <f>IF(OR($D416="",$E416=""),"",$E416-$D416)</f>
        <v/>
      </c>
      <c r="G416" s="6" t="n"/>
      <c r="H416" s="6" t="n"/>
      <c r="I416" s="6" t="n"/>
      <c r="J416" s="9">
        <f>IF(OR(NOT(ISNUMBER($H416)),NOT(ISNUMBER($I416)),$H416=0),"",$I416/$H416)</f>
        <v/>
      </c>
      <c r="K416" s="6" t="n"/>
      <c r="L416" s="8" t="n"/>
      <c r="M416" s="7" t="n"/>
      <c r="N416" s="7" t="n"/>
      <c r="O416" s="9">
        <f>IF(NOT(ISNUMBER($M416)),"",IF($L416="Fine earth / fine-earth volume",$M416*(1-IF(ISNUMBER($K416),$K416,0)/100),$M416))</f>
        <v/>
      </c>
      <c r="P416" s="9">
        <f>IF(OR(NOT(ISNUMBER($O416)),NOT(ISNUMBER($N416)),NOT(ISNUMBER($F416))),"",$O416*($N416/100)*$F416*10)</f>
        <v/>
      </c>
      <c r="Q416" s="9">
        <f>IF(OR(NOT(ISNUMBER($D416)),NOT(ISNUMBER($E416))),"",MAX(0,MIN($E416,SOIL_REPORTING_DEPTH_CM)-MIN($D416,SOIL_REPORTING_DEPTH_CM)))</f>
        <v/>
      </c>
      <c r="R416" s="9">
        <f>IF(OR(NOT(ISNUMBER($O416)),NOT(ISNUMBER($N416)),NOT(ISNUMBER($Q416))),"",$O416*($N416/100)*$Q416*10)</f>
        <v/>
      </c>
      <c r="S416" s="11">
        <f>IF(AND($A416="",$B416="",$D416=""),"",IF(AND($A416&lt;&gt;"",COUNTIF('1. Plot &amp; Site Log'!$A$5:$A$64,$A416)=0),"Plot ID not in the Plot &amp; Site Log. ","")&amp;IF(AND(ISNUMBER($D416),ISNUMBER($E416),$E416&lt;=$D416),"Bottom depth is not below top depth. ","")&amp;IF($L416="Not confirmed","Bulk-density basis not confirmed with the lab — the coarse-fragment correction may be wrong or doubled. ","")&amp;IF(AND(ISNUMBER($M416),OR($M416&lt;QC_BD_MIN,$M416&gt;QC_BD_MAX)),"Bulk density outside the plausible range for a mineral grassland soil. ","")&amp;IF(AND(ISNUMBER($N416),$N416&gt;QC_CARBON_PCT_MAX),"Organic carbon above the QC ceiling — check units, and whether this is an organic horizon. ","")&amp;IF(AND(ISNUMBER($J416),$J416&lt;QC_RECOVERY_MIN),"Recovered less than the QC minimum of the depth driven — the increments may not sit where you think. Do NOT stretch them back out. ","")&amp;IF(AND(ISNUMBER($K416),$K416&gt;0,$L416="Fine earth / total volume"),"Coarse fragments recorded and the lab basis already accounts for them — no further correction applied, which is correct. ",""))</f>
        <v/>
      </c>
      <c r="T416" s="6" t="n"/>
      <c r="U416" s="9">
        <f>IF($B416="",0,IF(COUNTIFS($B$5:$B416,$B416)=1,1,0))</f>
        <v/>
      </c>
    </row>
    <row r="417">
      <c r="A417" s="6" t="n"/>
      <c r="B417" s="6" t="n"/>
      <c r="C417" s="6" t="n"/>
      <c r="D417" s="6" t="n"/>
      <c r="E417" s="6" t="n"/>
      <c r="F417" s="9">
        <f>IF(OR($D417="",$E417=""),"",$E417-$D417)</f>
        <v/>
      </c>
      <c r="G417" s="6" t="n"/>
      <c r="H417" s="6" t="n"/>
      <c r="I417" s="6" t="n"/>
      <c r="J417" s="9">
        <f>IF(OR(NOT(ISNUMBER($H417)),NOT(ISNUMBER($I417)),$H417=0),"",$I417/$H417)</f>
        <v/>
      </c>
      <c r="K417" s="6" t="n"/>
      <c r="L417" s="8" t="n"/>
      <c r="M417" s="7" t="n"/>
      <c r="N417" s="7" t="n"/>
      <c r="O417" s="9">
        <f>IF(NOT(ISNUMBER($M417)),"",IF($L417="Fine earth / fine-earth volume",$M417*(1-IF(ISNUMBER($K417),$K417,0)/100),$M417))</f>
        <v/>
      </c>
      <c r="P417" s="9">
        <f>IF(OR(NOT(ISNUMBER($O417)),NOT(ISNUMBER($N417)),NOT(ISNUMBER($F417))),"",$O417*($N417/100)*$F417*10)</f>
        <v/>
      </c>
      <c r="Q417" s="9">
        <f>IF(OR(NOT(ISNUMBER($D417)),NOT(ISNUMBER($E417))),"",MAX(0,MIN($E417,SOIL_REPORTING_DEPTH_CM)-MIN($D417,SOIL_REPORTING_DEPTH_CM)))</f>
        <v/>
      </c>
      <c r="R417" s="9">
        <f>IF(OR(NOT(ISNUMBER($O417)),NOT(ISNUMBER($N417)),NOT(ISNUMBER($Q417))),"",$O417*($N417/100)*$Q417*10)</f>
        <v/>
      </c>
      <c r="S417" s="11">
        <f>IF(AND($A417="",$B417="",$D417=""),"",IF(AND($A417&lt;&gt;"",COUNTIF('1. Plot &amp; Site Log'!$A$5:$A$64,$A417)=0),"Plot ID not in the Plot &amp; Site Log. ","")&amp;IF(AND(ISNUMBER($D417),ISNUMBER($E417),$E417&lt;=$D417),"Bottom depth is not below top depth. ","")&amp;IF($L417="Not confirmed","Bulk-density basis not confirmed with the lab — the coarse-fragment correction may be wrong or doubled. ","")&amp;IF(AND(ISNUMBER($M417),OR($M417&lt;QC_BD_MIN,$M417&gt;QC_BD_MAX)),"Bulk density outside the plausible range for a mineral grassland soil. ","")&amp;IF(AND(ISNUMBER($N417),$N417&gt;QC_CARBON_PCT_MAX),"Organic carbon above the QC ceiling — check units, and whether this is an organic horizon. ","")&amp;IF(AND(ISNUMBER($J417),$J417&lt;QC_RECOVERY_MIN),"Recovered less than the QC minimum of the depth driven — the increments may not sit where you think. Do NOT stretch them back out. ","")&amp;IF(AND(ISNUMBER($K417),$K417&gt;0,$L417="Fine earth / total volume"),"Coarse fragments recorded and the lab basis already accounts for them — no further correction applied, which is correct. ",""))</f>
        <v/>
      </c>
      <c r="T417" s="6" t="n"/>
      <c r="U417" s="9">
        <f>IF($B417="",0,IF(COUNTIFS($B$5:$B417,$B417)=1,1,0))</f>
        <v/>
      </c>
    </row>
    <row r="418">
      <c r="A418" s="6" t="n"/>
      <c r="B418" s="6" t="n"/>
      <c r="C418" s="6" t="n"/>
      <c r="D418" s="6" t="n"/>
      <c r="E418" s="6" t="n"/>
      <c r="F418" s="9">
        <f>IF(OR($D418="",$E418=""),"",$E418-$D418)</f>
        <v/>
      </c>
      <c r="G418" s="6" t="n"/>
      <c r="H418" s="6" t="n"/>
      <c r="I418" s="6" t="n"/>
      <c r="J418" s="9">
        <f>IF(OR(NOT(ISNUMBER($H418)),NOT(ISNUMBER($I418)),$H418=0),"",$I418/$H418)</f>
        <v/>
      </c>
      <c r="K418" s="6" t="n"/>
      <c r="L418" s="8" t="n"/>
      <c r="M418" s="7" t="n"/>
      <c r="N418" s="7" t="n"/>
      <c r="O418" s="9">
        <f>IF(NOT(ISNUMBER($M418)),"",IF($L418="Fine earth / fine-earth volume",$M418*(1-IF(ISNUMBER($K418),$K418,0)/100),$M418))</f>
        <v/>
      </c>
      <c r="P418" s="9">
        <f>IF(OR(NOT(ISNUMBER($O418)),NOT(ISNUMBER($N418)),NOT(ISNUMBER($F418))),"",$O418*($N418/100)*$F418*10)</f>
        <v/>
      </c>
      <c r="Q418" s="9">
        <f>IF(OR(NOT(ISNUMBER($D418)),NOT(ISNUMBER($E418))),"",MAX(0,MIN($E418,SOIL_REPORTING_DEPTH_CM)-MIN($D418,SOIL_REPORTING_DEPTH_CM)))</f>
        <v/>
      </c>
      <c r="R418" s="9">
        <f>IF(OR(NOT(ISNUMBER($O418)),NOT(ISNUMBER($N418)),NOT(ISNUMBER($Q418))),"",$O418*($N418/100)*$Q418*10)</f>
        <v/>
      </c>
      <c r="S418" s="11">
        <f>IF(AND($A418="",$B418="",$D418=""),"",IF(AND($A418&lt;&gt;"",COUNTIF('1. Plot &amp; Site Log'!$A$5:$A$64,$A418)=0),"Plot ID not in the Plot &amp; Site Log. ","")&amp;IF(AND(ISNUMBER($D418),ISNUMBER($E418),$E418&lt;=$D418),"Bottom depth is not below top depth. ","")&amp;IF($L418="Not confirmed","Bulk-density basis not confirmed with the lab — the coarse-fragment correction may be wrong or doubled. ","")&amp;IF(AND(ISNUMBER($M418),OR($M418&lt;QC_BD_MIN,$M418&gt;QC_BD_MAX)),"Bulk density outside the plausible range for a mineral grassland soil. ","")&amp;IF(AND(ISNUMBER($N418),$N418&gt;QC_CARBON_PCT_MAX),"Organic carbon above the QC ceiling — check units, and whether this is an organic horizon. ","")&amp;IF(AND(ISNUMBER($J418),$J418&lt;QC_RECOVERY_MIN),"Recovered less than the QC minimum of the depth driven — the increments may not sit where you think. Do NOT stretch them back out. ","")&amp;IF(AND(ISNUMBER($K418),$K418&gt;0,$L418="Fine earth / total volume"),"Coarse fragments recorded and the lab basis already accounts for them — no further correction applied, which is correct. ",""))</f>
        <v/>
      </c>
      <c r="T418" s="6" t="n"/>
      <c r="U418" s="9">
        <f>IF($B418="",0,IF(COUNTIFS($B$5:$B418,$B418)=1,1,0))</f>
        <v/>
      </c>
    </row>
    <row r="419">
      <c r="A419" s="6" t="n"/>
      <c r="B419" s="6" t="n"/>
      <c r="C419" s="6" t="n"/>
      <c r="D419" s="6" t="n"/>
      <c r="E419" s="6" t="n"/>
      <c r="F419" s="9">
        <f>IF(OR($D419="",$E419=""),"",$E419-$D419)</f>
        <v/>
      </c>
      <c r="G419" s="6" t="n"/>
      <c r="H419" s="6" t="n"/>
      <c r="I419" s="6" t="n"/>
      <c r="J419" s="9">
        <f>IF(OR(NOT(ISNUMBER($H419)),NOT(ISNUMBER($I419)),$H419=0),"",$I419/$H419)</f>
        <v/>
      </c>
      <c r="K419" s="6" t="n"/>
      <c r="L419" s="8" t="n"/>
      <c r="M419" s="7" t="n"/>
      <c r="N419" s="7" t="n"/>
      <c r="O419" s="9">
        <f>IF(NOT(ISNUMBER($M419)),"",IF($L419="Fine earth / fine-earth volume",$M419*(1-IF(ISNUMBER($K419),$K419,0)/100),$M419))</f>
        <v/>
      </c>
      <c r="P419" s="9">
        <f>IF(OR(NOT(ISNUMBER($O419)),NOT(ISNUMBER($N419)),NOT(ISNUMBER($F419))),"",$O419*($N419/100)*$F419*10)</f>
        <v/>
      </c>
      <c r="Q419" s="9">
        <f>IF(OR(NOT(ISNUMBER($D419)),NOT(ISNUMBER($E419))),"",MAX(0,MIN($E419,SOIL_REPORTING_DEPTH_CM)-MIN($D419,SOIL_REPORTING_DEPTH_CM)))</f>
        <v/>
      </c>
      <c r="R419" s="9">
        <f>IF(OR(NOT(ISNUMBER($O419)),NOT(ISNUMBER($N419)),NOT(ISNUMBER($Q419))),"",$O419*($N419/100)*$Q419*10)</f>
        <v/>
      </c>
      <c r="S419" s="11">
        <f>IF(AND($A419="",$B419="",$D419=""),"",IF(AND($A419&lt;&gt;"",COUNTIF('1. Plot &amp; Site Log'!$A$5:$A$64,$A419)=0),"Plot ID not in the Plot &amp; Site Log. ","")&amp;IF(AND(ISNUMBER($D419),ISNUMBER($E419),$E419&lt;=$D419),"Bottom depth is not below top depth. ","")&amp;IF($L419="Not confirmed","Bulk-density basis not confirmed with the lab — the coarse-fragment correction may be wrong or doubled. ","")&amp;IF(AND(ISNUMBER($M419),OR($M419&lt;QC_BD_MIN,$M419&gt;QC_BD_MAX)),"Bulk density outside the plausible range for a mineral grassland soil. ","")&amp;IF(AND(ISNUMBER($N419),$N419&gt;QC_CARBON_PCT_MAX),"Organic carbon above the QC ceiling — check units, and whether this is an organic horizon. ","")&amp;IF(AND(ISNUMBER($J419),$J419&lt;QC_RECOVERY_MIN),"Recovered less than the QC minimum of the depth driven — the increments may not sit where you think. Do NOT stretch them back out. ","")&amp;IF(AND(ISNUMBER($K419),$K419&gt;0,$L419="Fine earth / total volume"),"Coarse fragments recorded and the lab basis already accounts for them — no further correction applied, which is correct. ",""))</f>
        <v/>
      </c>
      <c r="T419" s="6" t="n"/>
      <c r="U419" s="9">
        <f>IF($B419="",0,IF(COUNTIFS($B$5:$B419,$B419)=1,1,0))</f>
        <v/>
      </c>
    </row>
    <row r="420">
      <c r="A420" s="6" t="n"/>
      <c r="B420" s="6" t="n"/>
      <c r="C420" s="6" t="n"/>
      <c r="D420" s="6" t="n"/>
      <c r="E420" s="6" t="n"/>
      <c r="F420" s="9">
        <f>IF(OR($D420="",$E420=""),"",$E420-$D420)</f>
        <v/>
      </c>
      <c r="G420" s="6" t="n"/>
      <c r="H420" s="6" t="n"/>
      <c r="I420" s="6" t="n"/>
      <c r="J420" s="9">
        <f>IF(OR(NOT(ISNUMBER($H420)),NOT(ISNUMBER($I420)),$H420=0),"",$I420/$H420)</f>
        <v/>
      </c>
      <c r="K420" s="6" t="n"/>
      <c r="L420" s="8" t="n"/>
      <c r="M420" s="7" t="n"/>
      <c r="N420" s="7" t="n"/>
      <c r="O420" s="9">
        <f>IF(NOT(ISNUMBER($M420)),"",IF($L420="Fine earth / fine-earth volume",$M420*(1-IF(ISNUMBER($K420),$K420,0)/100),$M420))</f>
        <v/>
      </c>
      <c r="P420" s="9">
        <f>IF(OR(NOT(ISNUMBER($O420)),NOT(ISNUMBER($N420)),NOT(ISNUMBER($F420))),"",$O420*($N420/100)*$F420*10)</f>
        <v/>
      </c>
      <c r="Q420" s="9">
        <f>IF(OR(NOT(ISNUMBER($D420)),NOT(ISNUMBER($E420))),"",MAX(0,MIN($E420,SOIL_REPORTING_DEPTH_CM)-MIN($D420,SOIL_REPORTING_DEPTH_CM)))</f>
        <v/>
      </c>
      <c r="R420" s="9">
        <f>IF(OR(NOT(ISNUMBER($O420)),NOT(ISNUMBER($N420)),NOT(ISNUMBER($Q420))),"",$O420*($N420/100)*$Q420*10)</f>
        <v/>
      </c>
      <c r="S420" s="11">
        <f>IF(AND($A420="",$B420="",$D420=""),"",IF(AND($A420&lt;&gt;"",COUNTIF('1. Plot &amp; Site Log'!$A$5:$A$64,$A420)=0),"Plot ID not in the Plot &amp; Site Log. ","")&amp;IF(AND(ISNUMBER($D420),ISNUMBER($E420),$E420&lt;=$D420),"Bottom depth is not below top depth. ","")&amp;IF($L420="Not confirmed","Bulk-density basis not confirmed with the lab — the coarse-fragment correction may be wrong or doubled. ","")&amp;IF(AND(ISNUMBER($M420),OR($M420&lt;QC_BD_MIN,$M420&gt;QC_BD_MAX)),"Bulk density outside the plausible range for a mineral grassland soil. ","")&amp;IF(AND(ISNUMBER($N420),$N420&gt;QC_CARBON_PCT_MAX),"Organic carbon above the QC ceiling — check units, and whether this is an organic horizon. ","")&amp;IF(AND(ISNUMBER($J420),$J420&lt;QC_RECOVERY_MIN),"Recovered less than the QC minimum of the depth driven — the increments may not sit where you think. Do NOT stretch them back out. ","")&amp;IF(AND(ISNUMBER($K420),$K420&gt;0,$L420="Fine earth / total volume"),"Coarse fragments recorded and the lab basis already accounts for them — no further correction applied, which is correct. ",""))</f>
        <v/>
      </c>
      <c r="T420" s="6" t="n"/>
      <c r="U420" s="9">
        <f>IF($B420="",0,IF(COUNTIFS($B$5:$B420,$B420)=1,1,0))</f>
        <v/>
      </c>
    </row>
    <row r="421">
      <c r="A421" s="6" t="n"/>
      <c r="B421" s="6" t="n"/>
      <c r="C421" s="6" t="n"/>
      <c r="D421" s="6" t="n"/>
      <c r="E421" s="6" t="n"/>
      <c r="F421" s="9">
        <f>IF(OR($D421="",$E421=""),"",$E421-$D421)</f>
        <v/>
      </c>
      <c r="G421" s="6" t="n"/>
      <c r="H421" s="6" t="n"/>
      <c r="I421" s="6" t="n"/>
      <c r="J421" s="9">
        <f>IF(OR(NOT(ISNUMBER($H421)),NOT(ISNUMBER($I421)),$H421=0),"",$I421/$H421)</f>
        <v/>
      </c>
      <c r="K421" s="6" t="n"/>
      <c r="L421" s="8" t="n"/>
      <c r="M421" s="7" t="n"/>
      <c r="N421" s="7" t="n"/>
      <c r="O421" s="9">
        <f>IF(NOT(ISNUMBER($M421)),"",IF($L421="Fine earth / fine-earth volume",$M421*(1-IF(ISNUMBER($K421),$K421,0)/100),$M421))</f>
        <v/>
      </c>
      <c r="P421" s="9">
        <f>IF(OR(NOT(ISNUMBER($O421)),NOT(ISNUMBER($N421)),NOT(ISNUMBER($F421))),"",$O421*($N421/100)*$F421*10)</f>
        <v/>
      </c>
      <c r="Q421" s="9">
        <f>IF(OR(NOT(ISNUMBER($D421)),NOT(ISNUMBER($E421))),"",MAX(0,MIN($E421,SOIL_REPORTING_DEPTH_CM)-MIN($D421,SOIL_REPORTING_DEPTH_CM)))</f>
        <v/>
      </c>
      <c r="R421" s="9">
        <f>IF(OR(NOT(ISNUMBER($O421)),NOT(ISNUMBER($N421)),NOT(ISNUMBER($Q421))),"",$O421*($N421/100)*$Q421*10)</f>
        <v/>
      </c>
      <c r="S421" s="11">
        <f>IF(AND($A421="",$B421="",$D421=""),"",IF(AND($A421&lt;&gt;"",COUNTIF('1. Plot &amp; Site Log'!$A$5:$A$64,$A421)=0),"Plot ID not in the Plot &amp; Site Log. ","")&amp;IF(AND(ISNUMBER($D421),ISNUMBER($E421),$E421&lt;=$D421),"Bottom depth is not below top depth. ","")&amp;IF($L421="Not confirmed","Bulk-density basis not confirmed with the lab — the coarse-fragment correction may be wrong or doubled. ","")&amp;IF(AND(ISNUMBER($M421),OR($M421&lt;QC_BD_MIN,$M421&gt;QC_BD_MAX)),"Bulk density outside the plausible range for a mineral grassland soil. ","")&amp;IF(AND(ISNUMBER($N421),$N421&gt;QC_CARBON_PCT_MAX),"Organic carbon above the QC ceiling — check units, and whether this is an organic horizon. ","")&amp;IF(AND(ISNUMBER($J421),$J421&lt;QC_RECOVERY_MIN),"Recovered less than the QC minimum of the depth driven — the increments may not sit where you think. Do NOT stretch them back out. ","")&amp;IF(AND(ISNUMBER($K421),$K421&gt;0,$L421="Fine earth / total volume"),"Coarse fragments recorded and the lab basis already accounts for them — no further correction applied, which is correct. ",""))</f>
        <v/>
      </c>
      <c r="T421" s="6" t="n"/>
      <c r="U421" s="9">
        <f>IF($B421="",0,IF(COUNTIFS($B$5:$B421,$B421)=1,1,0))</f>
        <v/>
      </c>
    </row>
    <row r="422">
      <c r="A422" s="6" t="n"/>
      <c r="B422" s="6" t="n"/>
      <c r="C422" s="6" t="n"/>
      <c r="D422" s="6" t="n"/>
      <c r="E422" s="6" t="n"/>
      <c r="F422" s="9">
        <f>IF(OR($D422="",$E422=""),"",$E422-$D422)</f>
        <v/>
      </c>
      <c r="G422" s="6" t="n"/>
      <c r="H422" s="6" t="n"/>
      <c r="I422" s="6" t="n"/>
      <c r="J422" s="9">
        <f>IF(OR(NOT(ISNUMBER($H422)),NOT(ISNUMBER($I422)),$H422=0),"",$I422/$H422)</f>
        <v/>
      </c>
      <c r="K422" s="6" t="n"/>
      <c r="L422" s="8" t="n"/>
      <c r="M422" s="7" t="n"/>
      <c r="N422" s="7" t="n"/>
      <c r="O422" s="9">
        <f>IF(NOT(ISNUMBER($M422)),"",IF($L422="Fine earth / fine-earth volume",$M422*(1-IF(ISNUMBER($K422),$K422,0)/100),$M422))</f>
        <v/>
      </c>
      <c r="P422" s="9">
        <f>IF(OR(NOT(ISNUMBER($O422)),NOT(ISNUMBER($N422)),NOT(ISNUMBER($F422))),"",$O422*($N422/100)*$F422*10)</f>
        <v/>
      </c>
      <c r="Q422" s="9">
        <f>IF(OR(NOT(ISNUMBER($D422)),NOT(ISNUMBER($E422))),"",MAX(0,MIN($E422,SOIL_REPORTING_DEPTH_CM)-MIN($D422,SOIL_REPORTING_DEPTH_CM)))</f>
        <v/>
      </c>
      <c r="R422" s="9">
        <f>IF(OR(NOT(ISNUMBER($O422)),NOT(ISNUMBER($N422)),NOT(ISNUMBER($Q422))),"",$O422*($N422/100)*$Q422*10)</f>
        <v/>
      </c>
      <c r="S422" s="11">
        <f>IF(AND($A422="",$B422="",$D422=""),"",IF(AND($A422&lt;&gt;"",COUNTIF('1. Plot &amp; Site Log'!$A$5:$A$64,$A422)=0),"Plot ID not in the Plot &amp; Site Log. ","")&amp;IF(AND(ISNUMBER($D422),ISNUMBER($E422),$E422&lt;=$D422),"Bottom depth is not below top depth. ","")&amp;IF($L422="Not confirmed","Bulk-density basis not confirmed with the lab — the coarse-fragment correction may be wrong or doubled. ","")&amp;IF(AND(ISNUMBER($M422),OR($M422&lt;QC_BD_MIN,$M422&gt;QC_BD_MAX)),"Bulk density outside the plausible range for a mineral grassland soil. ","")&amp;IF(AND(ISNUMBER($N422),$N422&gt;QC_CARBON_PCT_MAX),"Organic carbon above the QC ceiling — check units, and whether this is an organic horizon. ","")&amp;IF(AND(ISNUMBER($J422),$J422&lt;QC_RECOVERY_MIN),"Recovered less than the QC minimum of the depth driven — the increments may not sit where you think. Do NOT stretch them back out. ","")&amp;IF(AND(ISNUMBER($K422),$K422&gt;0,$L422="Fine earth / total volume"),"Coarse fragments recorded and the lab basis already accounts for them — no further correction applied, which is correct. ",""))</f>
        <v/>
      </c>
      <c r="T422" s="6" t="n"/>
      <c r="U422" s="9">
        <f>IF($B422="",0,IF(COUNTIFS($B$5:$B422,$B422)=1,1,0))</f>
        <v/>
      </c>
    </row>
    <row r="423">
      <c r="A423" s="6" t="n"/>
      <c r="B423" s="6" t="n"/>
      <c r="C423" s="6" t="n"/>
      <c r="D423" s="6" t="n"/>
      <c r="E423" s="6" t="n"/>
      <c r="F423" s="9">
        <f>IF(OR($D423="",$E423=""),"",$E423-$D423)</f>
        <v/>
      </c>
      <c r="G423" s="6" t="n"/>
      <c r="H423" s="6" t="n"/>
      <c r="I423" s="6" t="n"/>
      <c r="J423" s="9">
        <f>IF(OR(NOT(ISNUMBER($H423)),NOT(ISNUMBER($I423)),$H423=0),"",$I423/$H423)</f>
        <v/>
      </c>
      <c r="K423" s="6" t="n"/>
      <c r="L423" s="8" t="n"/>
      <c r="M423" s="7" t="n"/>
      <c r="N423" s="7" t="n"/>
      <c r="O423" s="9">
        <f>IF(NOT(ISNUMBER($M423)),"",IF($L423="Fine earth / fine-earth volume",$M423*(1-IF(ISNUMBER($K423),$K423,0)/100),$M423))</f>
        <v/>
      </c>
      <c r="P423" s="9">
        <f>IF(OR(NOT(ISNUMBER($O423)),NOT(ISNUMBER($N423)),NOT(ISNUMBER($F423))),"",$O423*($N423/100)*$F423*10)</f>
        <v/>
      </c>
      <c r="Q423" s="9">
        <f>IF(OR(NOT(ISNUMBER($D423)),NOT(ISNUMBER($E423))),"",MAX(0,MIN($E423,SOIL_REPORTING_DEPTH_CM)-MIN($D423,SOIL_REPORTING_DEPTH_CM)))</f>
        <v/>
      </c>
      <c r="R423" s="9">
        <f>IF(OR(NOT(ISNUMBER($O423)),NOT(ISNUMBER($N423)),NOT(ISNUMBER($Q423))),"",$O423*($N423/100)*$Q423*10)</f>
        <v/>
      </c>
      <c r="S423" s="11">
        <f>IF(AND($A423="",$B423="",$D423=""),"",IF(AND($A423&lt;&gt;"",COUNTIF('1. Plot &amp; Site Log'!$A$5:$A$64,$A423)=0),"Plot ID not in the Plot &amp; Site Log. ","")&amp;IF(AND(ISNUMBER($D423),ISNUMBER($E423),$E423&lt;=$D423),"Bottom depth is not below top depth. ","")&amp;IF($L423="Not confirmed","Bulk-density basis not confirmed with the lab — the coarse-fragment correction may be wrong or doubled. ","")&amp;IF(AND(ISNUMBER($M423),OR($M423&lt;QC_BD_MIN,$M423&gt;QC_BD_MAX)),"Bulk density outside the plausible range for a mineral grassland soil. ","")&amp;IF(AND(ISNUMBER($N423),$N423&gt;QC_CARBON_PCT_MAX),"Organic carbon above the QC ceiling — check units, and whether this is an organic horizon. ","")&amp;IF(AND(ISNUMBER($J423),$J423&lt;QC_RECOVERY_MIN),"Recovered less than the QC minimum of the depth driven — the increments may not sit where you think. Do NOT stretch them back out. ","")&amp;IF(AND(ISNUMBER($K423),$K423&gt;0,$L423="Fine earth / total volume"),"Coarse fragments recorded and the lab basis already accounts for them — no further correction applied, which is correct. ",""))</f>
        <v/>
      </c>
      <c r="T423" s="6" t="n"/>
      <c r="U423" s="9">
        <f>IF($B423="",0,IF(COUNTIFS($B$5:$B423,$B423)=1,1,0))</f>
        <v/>
      </c>
    </row>
    <row r="424">
      <c r="A424" s="6" t="n"/>
      <c r="B424" s="6" t="n"/>
      <c r="C424" s="6" t="n"/>
      <c r="D424" s="6" t="n"/>
      <c r="E424" s="6" t="n"/>
      <c r="F424" s="9">
        <f>IF(OR($D424="",$E424=""),"",$E424-$D424)</f>
        <v/>
      </c>
      <c r="G424" s="6" t="n"/>
      <c r="H424" s="6" t="n"/>
      <c r="I424" s="6" t="n"/>
      <c r="J424" s="9">
        <f>IF(OR(NOT(ISNUMBER($H424)),NOT(ISNUMBER($I424)),$H424=0),"",$I424/$H424)</f>
        <v/>
      </c>
      <c r="K424" s="6" t="n"/>
      <c r="L424" s="8" t="n"/>
      <c r="M424" s="7" t="n"/>
      <c r="N424" s="7" t="n"/>
      <c r="O424" s="9">
        <f>IF(NOT(ISNUMBER($M424)),"",IF($L424="Fine earth / fine-earth volume",$M424*(1-IF(ISNUMBER($K424),$K424,0)/100),$M424))</f>
        <v/>
      </c>
      <c r="P424" s="9">
        <f>IF(OR(NOT(ISNUMBER($O424)),NOT(ISNUMBER($N424)),NOT(ISNUMBER($F424))),"",$O424*($N424/100)*$F424*10)</f>
        <v/>
      </c>
      <c r="Q424" s="9">
        <f>IF(OR(NOT(ISNUMBER($D424)),NOT(ISNUMBER($E424))),"",MAX(0,MIN($E424,SOIL_REPORTING_DEPTH_CM)-MIN($D424,SOIL_REPORTING_DEPTH_CM)))</f>
        <v/>
      </c>
      <c r="R424" s="9">
        <f>IF(OR(NOT(ISNUMBER($O424)),NOT(ISNUMBER($N424)),NOT(ISNUMBER($Q424))),"",$O424*($N424/100)*$Q424*10)</f>
        <v/>
      </c>
      <c r="S424" s="11">
        <f>IF(AND($A424="",$B424="",$D424=""),"",IF(AND($A424&lt;&gt;"",COUNTIF('1. Plot &amp; Site Log'!$A$5:$A$64,$A424)=0),"Plot ID not in the Plot &amp; Site Log. ","")&amp;IF(AND(ISNUMBER($D424),ISNUMBER($E424),$E424&lt;=$D424),"Bottom depth is not below top depth. ","")&amp;IF($L424="Not confirmed","Bulk-density basis not confirmed with the lab — the coarse-fragment correction may be wrong or doubled. ","")&amp;IF(AND(ISNUMBER($M424),OR($M424&lt;QC_BD_MIN,$M424&gt;QC_BD_MAX)),"Bulk density outside the plausible range for a mineral grassland soil. ","")&amp;IF(AND(ISNUMBER($N424),$N424&gt;QC_CARBON_PCT_MAX),"Organic carbon above the QC ceiling — check units, and whether this is an organic horizon. ","")&amp;IF(AND(ISNUMBER($J424),$J424&lt;QC_RECOVERY_MIN),"Recovered less than the QC minimum of the depth driven — the increments may not sit where you think. Do NOT stretch them back out. ","")&amp;IF(AND(ISNUMBER($K424),$K424&gt;0,$L424="Fine earth / total volume"),"Coarse fragments recorded and the lab basis already accounts for them — no further correction applied, which is correct. ",""))</f>
        <v/>
      </c>
      <c r="T424" s="6" t="n"/>
      <c r="U424" s="9">
        <f>IF($B424="",0,IF(COUNTIFS($B$5:$B424,$B424)=1,1,0))</f>
        <v/>
      </c>
    </row>
    <row r="425">
      <c r="A425" s="6" t="n"/>
      <c r="B425" s="6" t="n"/>
      <c r="C425" s="6" t="n"/>
      <c r="D425" s="6" t="n"/>
      <c r="E425" s="6" t="n"/>
      <c r="F425" s="9">
        <f>IF(OR($D425="",$E425=""),"",$E425-$D425)</f>
        <v/>
      </c>
      <c r="G425" s="6" t="n"/>
      <c r="H425" s="6" t="n"/>
      <c r="I425" s="6" t="n"/>
      <c r="J425" s="9">
        <f>IF(OR(NOT(ISNUMBER($H425)),NOT(ISNUMBER($I425)),$H425=0),"",$I425/$H425)</f>
        <v/>
      </c>
      <c r="K425" s="6" t="n"/>
      <c r="L425" s="8" t="n"/>
      <c r="M425" s="7" t="n"/>
      <c r="N425" s="7" t="n"/>
      <c r="O425" s="9">
        <f>IF(NOT(ISNUMBER($M425)),"",IF($L425="Fine earth / fine-earth volume",$M425*(1-IF(ISNUMBER($K425),$K425,0)/100),$M425))</f>
        <v/>
      </c>
      <c r="P425" s="9">
        <f>IF(OR(NOT(ISNUMBER($O425)),NOT(ISNUMBER($N425)),NOT(ISNUMBER($F425))),"",$O425*($N425/100)*$F425*10)</f>
        <v/>
      </c>
      <c r="Q425" s="9">
        <f>IF(OR(NOT(ISNUMBER($D425)),NOT(ISNUMBER($E425))),"",MAX(0,MIN($E425,SOIL_REPORTING_DEPTH_CM)-MIN($D425,SOIL_REPORTING_DEPTH_CM)))</f>
        <v/>
      </c>
      <c r="R425" s="9">
        <f>IF(OR(NOT(ISNUMBER($O425)),NOT(ISNUMBER($N425)),NOT(ISNUMBER($Q425))),"",$O425*($N425/100)*$Q425*10)</f>
        <v/>
      </c>
      <c r="S425" s="11">
        <f>IF(AND($A425="",$B425="",$D425=""),"",IF(AND($A425&lt;&gt;"",COUNTIF('1. Plot &amp; Site Log'!$A$5:$A$64,$A425)=0),"Plot ID not in the Plot &amp; Site Log. ","")&amp;IF(AND(ISNUMBER($D425),ISNUMBER($E425),$E425&lt;=$D425),"Bottom depth is not below top depth. ","")&amp;IF($L425="Not confirmed","Bulk-density basis not confirmed with the lab — the coarse-fragment correction may be wrong or doubled. ","")&amp;IF(AND(ISNUMBER($M425),OR($M425&lt;QC_BD_MIN,$M425&gt;QC_BD_MAX)),"Bulk density outside the plausible range for a mineral grassland soil. ","")&amp;IF(AND(ISNUMBER($N425),$N425&gt;QC_CARBON_PCT_MAX),"Organic carbon above the QC ceiling — check units, and whether this is an organic horizon. ","")&amp;IF(AND(ISNUMBER($J425),$J425&lt;QC_RECOVERY_MIN),"Recovered less than the QC minimum of the depth driven — the increments may not sit where you think. Do NOT stretch them back out. ","")&amp;IF(AND(ISNUMBER($K425),$K425&gt;0,$L425="Fine earth / total volume"),"Coarse fragments recorded and the lab basis already accounts for them — no further correction applied, which is correct. ",""))</f>
        <v/>
      </c>
      <c r="T425" s="6" t="n"/>
      <c r="U425" s="9">
        <f>IF($B425="",0,IF(COUNTIFS($B$5:$B425,$B425)=1,1,0))</f>
        <v/>
      </c>
    </row>
    <row r="426">
      <c r="A426" s="6" t="n"/>
      <c r="B426" s="6" t="n"/>
      <c r="C426" s="6" t="n"/>
      <c r="D426" s="6" t="n"/>
      <c r="E426" s="6" t="n"/>
      <c r="F426" s="9">
        <f>IF(OR($D426="",$E426=""),"",$E426-$D426)</f>
        <v/>
      </c>
      <c r="G426" s="6" t="n"/>
      <c r="H426" s="6" t="n"/>
      <c r="I426" s="6" t="n"/>
      <c r="J426" s="9">
        <f>IF(OR(NOT(ISNUMBER($H426)),NOT(ISNUMBER($I426)),$H426=0),"",$I426/$H426)</f>
        <v/>
      </c>
      <c r="K426" s="6" t="n"/>
      <c r="L426" s="8" t="n"/>
      <c r="M426" s="7" t="n"/>
      <c r="N426" s="7" t="n"/>
      <c r="O426" s="9">
        <f>IF(NOT(ISNUMBER($M426)),"",IF($L426="Fine earth / fine-earth volume",$M426*(1-IF(ISNUMBER($K426),$K426,0)/100),$M426))</f>
        <v/>
      </c>
      <c r="P426" s="9">
        <f>IF(OR(NOT(ISNUMBER($O426)),NOT(ISNUMBER($N426)),NOT(ISNUMBER($F426))),"",$O426*($N426/100)*$F426*10)</f>
        <v/>
      </c>
      <c r="Q426" s="9">
        <f>IF(OR(NOT(ISNUMBER($D426)),NOT(ISNUMBER($E426))),"",MAX(0,MIN($E426,SOIL_REPORTING_DEPTH_CM)-MIN($D426,SOIL_REPORTING_DEPTH_CM)))</f>
        <v/>
      </c>
      <c r="R426" s="9">
        <f>IF(OR(NOT(ISNUMBER($O426)),NOT(ISNUMBER($N426)),NOT(ISNUMBER($Q426))),"",$O426*($N426/100)*$Q426*10)</f>
        <v/>
      </c>
      <c r="S426" s="11">
        <f>IF(AND($A426="",$B426="",$D426=""),"",IF(AND($A426&lt;&gt;"",COUNTIF('1. Plot &amp; Site Log'!$A$5:$A$64,$A426)=0),"Plot ID not in the Plot &amp; Site Log. ","")&amp;IF(AND(ISNUMBER($D426),ISNUMBER($E426),$E426&lt;=$D426),"Bottom depth is not below top depth. ","")&amp;IF($L426="Not confirmed","Bulk-density basis not confirmed with the lab — the coarse-fragment correction may be wrong or doubled. ","")&amp;IF(AND(ISNUMBER($M426),OR($M426&lt;QC_BD_MIN,$M426&gt;QC_BD_MAX)),"Bulk density outside the plausible range for a mineral grassland soil. ","")&amp;IF(AND(ISNUMBER($N426),$N426&gt;QC_CARBON_PCT_MAX),"Organic carbon above the QC ceiling — check units, and whether this is an organic horizon. ","")&amp;IF(AND(ISNUMBER($J426),$J426&lt;QC_RECOVERY_MIN),"Recovered less than the QC minimum of the depth driven — the increments may not sit where you think. Do NOT stretch them back out. ","")&amp;IF(AND(ISNUMBER($K426),$K426&gt;0,$L426="Fine earth / total volume"),"Coarse fragments recorded and the lab basis already accounts for them — no further correction applied, which is correct. ",""))</f>
        <v/>
      </c>
      <c r="T426" s="6" t="n"/>
      <c r="U426" s="9">
        <f>IF($B426="",0,IF(COUNTIFS($B$5:$B426,$B426)=1,1,0))</f>
        <v/>
      </c>
    </row>
    <row r="427">
      <c r="A427" s="6" t="n"/>
      <c r="B427" s="6" t="n"/>
      <c r="C427" s="6" t="n"/>
      <c r="D427" s="6" t="n"/>
      <c r="E427" s="6" t="n"/>
      <c r="F427" s="9">
        <f>IF(OR($D427="",$E427=""),"",$E427-$D427)</f>
        <v/>
      </c>
      <c r="G427" s="6" t="n"/>
      <c r="H427" s="6" t="n"/>
      <c r="I427" s="6" t="n"/>
      <c r="J427" s="9">
        <f>IF(OR(NOT(ISNUMBER($H427)),NOT(ISNUMBER($I427)),$H427=0),"",$I427/$H427)</f>
        <v/>
      </c>
      <c r="K427" s="6" t="n"/>
      <c r="L427" s="8" t="n"/>
      <c r="M427" s="7" t="n"/>
      <c r="N427" s="7" t="n"/>
      <c r="O427" s="9">
        <f>IF(NOT(ISNUMBER($M427)),"",IF($L427="Fine earth / fine-earth volume",$M427*(1-IF(ISNUMBER($K427),$K427,0)/100),$M427))</f>
        <v/>
      </c>
      <c r="P427" s="9">
        <f>IF(OR(NOT(ISNUMBER($O427)),NOT(ISNUMBER($N427)),NOT(ISNUMBER($F427))),"",$O427*($N427/100)*$F427*10)</f>
        <v/>
      </c>
      <c r="Q427" s="9">
        <f>IF(OR(NOT(ISNUMBER($D427)),NOT(ISNUMBER($E427))),"",MAX(0,MIN($E427,SOIL_REPORTING_DEPTH_CM)-MIN($D427,SOIL_REPORTING_DEPTH_CM)))</f>
        <v/>
      </c>
      <c r="R427" s="9">
        <f>IF(OR(NOT(ISNUMBER($O427)),NOT(ISNUMBER($N427)),NOT(ISNUMBER($Q427))),"",$O427*($N427/100)*$Q427*10)</f>
        <v/>
      </c>
      <c r="S427" s="11">
        <f>IF(AND($A427="",$B427="",$D427=""),"",IF(AND($A427&lt;&gt;"",COUNTIF('1. Plot &amp; Site Log'!$A$5:$A$64,$A427)=0),"Plot ID not in the Plot &amp; Site Log. ","")&amp;IF(AND(ISNUMBER($D427),ISNUMBER($E427),$E427&lt;=$D427),"Bottom depth is not below top depth. ","")&amp;IF($L427="Not confirmed","Bulk-density basis not confirmed with the lab — the coarse-fragment correction may be wrong or doubled. ","")&amp;IF(AND(ISNUMBER($M427),OR($M427&lt;QC_BD_MIN,$M427&gt;QC_BD_MAX)),"Bulk density outside the plausible range for a mineral grassland soil. ","")&amp;IF(AND(ISNUMBER($N427),$N427&gt;QC_CARBON_PCT_MAX),"Organic carbon above the QC ceiling — check units, and whether this is an organic horizon. ","")&amp;IF(AND(ISNUMBER($J427),$J427&lt;QC_RECOVERY_MIN),"Recovered less than the QC minimum of the depth driven — the increments may not sit where you think. Do NOT stretch them back out. ","")&amp;IF(AND(ISNUMBER($K427),$K427&gt;0,$L427="Fine earth / total volume"),"Coarse fragments recorded and the lab basis already accounts for them — no further correction applied, which is correct. ",""))</f>
        <v/>
      </c>
      <c r="T427" s="6" t="n"/>
      <c r="U427" s="9">
        <f>IF($B427="",0,IF(COUNTIFS($B$5:$B427,$B427)=1,1,0))</f>
        <v/>
      </c>
    </row>
    <row r="428">
      <c r="A428" s="6" t="n"/>
      <c r="B428" s="6" t="n"/>
      <c r="C428" s="6" t="n"/>
      <c r="D428" s="6" t="n"/>
      <c r="E428" s="6" t="n"/>
      <c r="F428" s="9">
        <f>IF(OR($D428="",$E428=""),"",$E428-$D428)</f>
        <v/>
      </c>
      <c r="G428" s="6" t="n"/>
      <c r="H428" s="6" t="n"/>
      <c r="I428" s="6" t="n"/>
      <c r="J428" s="9">
        <f>IF(OR(NOT(ISNUMBER($H428)),NOT(ISNUMBER($I428)),$H428=0),"",$I428/$H428)</f>
        <v/>
      </c>
      <c r="K428" s="6" t="n"/>
      <c r="L428" s="8" t="n"/>
      <c r="M428" s="7" t="n"/>
      <c r="N428" s="7" t="n"/>
      <c r="O428" s="9">
        <f>IF(NOT(ISNUMBER($M428)),"",IF($L428="Fine earth / fine-earth volume",$M428*(1-IF(ISNUMBER($K428),$K428,0)/100),$M428))</f>
        <v/>
      </c>
      <c r="P428" s="9">
        <f>IF(OR(NOT(ISNUMBER($O428)),NOT(ISNUMBER($N428)),NOT(ISNUMBER($F428))),"",$O428*($N428/100)*$F428*10)</f>
        <v/>
      </c>
      <c r="Q428" s="9">
        <f>IF(OR(NOT(ISNUMBER($D428)),NOT(ISNUMBER($E428))),"",MAX(0,MIN($E428,SOIL_REPORTING_DEPTH_CM)-MIN($D428,SOIL_REPORTING_DEPTH_CM)))</f>
        <v/>
      </c>
      <c r="R428" s="9">
        <f>IF(OR(NOT(ISNUMBER($O428)),NOT(ISNUMBER($N428)),NOT(ISNUMBER($Q428))),"",$O428*($N428/100)*$Q428*10)</f>
        <v/>
      </c>
      <c r="S428" s="11">
        <f>IF(AND($A428="",$B428="",$D428=""),"",IF(AND($A428&lt;&gt;"",COUNTIF('1. Plot &amp; Site Log'!$A$5:$A$64,$A428)=0),"Plot ID not in the Plot &amp; Site Log. ","")&amp;IF(AND(ISNUMBER($D428),ISNUMBER($E428),$E428&lt;=$D428),"Bottom depth is not below top depth. ","")&amp;IF($L428="Not confirmed","Bulk-density basis not confirmed with the lab — the coarse-fragment correction may be wrong or doubled. ","")&amp;IF(AND(ISNUMBER($M428),OR($M428&lt;QC_BD_MIN,$M428&gt;QC_BD_MAX)),"Bulk density outside the plausible range for a mineral grassland soil. ","")&amp;IF(AND(ISNUMBER($N428),$N428&gt;QC_CARBON_PCT_MAX),"Organic carbon above the QC ceiling — check units, and whether this is an organic horizon. ","")&amp;IF(AND(ISNUMBER($J428),$J428&lt;QC_RECOVERY_MIN),"Recovered less than the QC minimum of the depth driven — the increments may not sit where you think. Do NOT stretch them back out. ","")&amp;IF(AND(ISNUMBER($K428),$K428&gt;0,$L428="Fine earth / total volume"),"Coarse fragments recorded and the lab basis already accounts for them — no further correction applied, which is correct. ",""))</f>
        <v/>
      </c>
      <c r="T428" s="6" t="n"/>
      <c r="U428" s="9">
        <f>IF($B428="",0,IF(COUNTIFS($B$5:$B428,$B428)=1,1,0))</f>
        <v/>
      </c>
    </row>
    <row r="429">
      <c r="A429" s="6" t="n"/>
      <c r="B429" s="6" t="n"/>
      <c r="C429" s="6" t="n"/>
      <c r="D429" s="6" t="n"/>
      <c r="E429" s="6" t="n"/>
      <c r="F429" s="9">
        <f>IF(OR($D429="",$E429=""),"",$E429-$D429)</f>
        <v/>
      </c>
      <c r="G429" s="6" t="n"/>
      <c r="H429" s="6" t="n"/>
      <c r="I429" s="6" t="n"/>
      <c r="J429" s="9">
        <f>IF(OR(NOT(ISNUMBER($H429)),NOT(ISNUMBER($I429)),$H429=0),"",$I429/$H429)</f>
        <v/>
      </c>
      <c r="K429" s="6" t="n"/>
      <c r="L429" s="8" t="n"/>
      <c r="M429" s="7" t="n"/>
      <c r="N429" s="7" t="n"/>
      <c r="O429" s="9">
        <f>IF(NOT(ISNUMBER($M429)),"",IF($L429="Fine earth / fine-earth volume",$M429*(1-IF(ISNUMBER($K429),$K429,0)/100),$M429))</f>
        <v/>
      </c>
      <c r="P429" s="9">
        <f>IF(OR(NOT(ISNUMBER($O429)),NOT(ISNUMBER($N429)),NOT(ISNUMBER($F429))),"",$O429*($N429/100)*$F429*10)</f>
        <v/>
      </c>
      <c r="Q429" s="9">
        <f>IF(OR(NOT(ISNUMBER($D429)),NOT(ISNUMBER($E429))),"",MAX(0,MIN($E429,SOIL_REPORTING_DEPTH_CM)-MIN($D429,SOIL_REPORTING_DEPTH_CM)))</f>
        <v/>
      </c>
      <c r="R429" s="9">
        <f>IF(OR(NOT(ISNUMBER($O429)),NOT(ISNUMBER($N429)),NOT(ISNUMBER($Q429))),"",$O429*($N429/100)*$Q429*10)</f>
        <v/>
      </c>
      <c r="S429" s="11">
        <f>IF(AND($A429="",$B429="",$D429=""),"",IF(AND($A429&lt;&gt;"",COUNTIF('1. Plot &amp; Site Log'!$A$5:$A$64,$A429)=0),"Plot ID not in the Plot &amp; Site Log. ","")&amp;IF(AND(ISNUMBER($D429),ISNUMBER($E429),$E429&lt;=$D429),"Bottom depth is not below top depth. ","")&amp;IF($L429="Not confirmed","Bulk-density basis not confirmed with the lab — the coarse-fragment correction may be wrong or doubled. ","")&amp;IF(AND(ISNUMBER($M429),OR($M429&lt;QC_BD_MIN,$M429&gt;QC_BD_MAX)),"Bulk density outside the plausible range for a mineral grassland soil. ","")&amp;IF(AND(ISNUMBER($N429),$N429&gt;QC_CARBON_PCT_MAX),"Organic carbon above the QC ceiling — check units, and whether this is an organic horizon. ","")&amp;IF(AND(ISNUMBER($J429),$J429&lt;QC_RECOVERY_MIN),"Recovered less than the QC minimum of the depth driven — the increments may not sit where you think. Do NOT stretch them back out. ","")&amp;IF(AND(ISNUMBER($K429),$K429&gt;0,$L429="Fine earth / total volume"),"Coarse fragments recorded and the lab basis already accounts for them — no further correction applied, which is correct. ",""))</f>
        <v/>
      </c>
      <c r="T429" s="6" t="n"/>
      <c r="U429" s="9">
        <f>IF($B429="",0,IF(COUNTIFS($B$5:$B429,$B429)=1,1,0))</f>
        <v/>
      </c>
    </row>
    <row r="430">
      <c r="A430" s="6" t="n"/>
      <c r="B430" s="6" t="n"/>
      <c r="C430" s="6" t="n"/>
      <c r="D430" s="6" t="n"/>
      <c r="E430" s="6" t="n"/>
      <c r="F430" s="9">
        <f>IF(OR($D430="",$E430=""),"",$E430-$D430)</f>
        <v/>
      </c>
      <c r="G430" s="6" t="n"/>
      <c r="H430" s="6" t="n"/>
      <c r="I430" s="6" t="n"/>
      <c r="J430" s="9">
        <f>IF(OR(NOT(ISNUMBER($H430)),NOT(ISNUMBER($I430)),$H430=0),"",$I430/$H430)</f>
        <v/>
      </c>
      <c r="K430" s="6" t="n"/>
      <c r="L430" s="8" t="n"/>
      <c r="M430" s="7" t="n"/>
      <c r="N430" s="7" t="n"/>
      <c r="O430" s="9">
        <f>IF(NOT(ISNUMBER($M430)),"",IF($L430="Fine earth / fine-earth volume",$M430*(1-IF(ISNUMBER($K430),$K430,0)/100),$M430))</f>
        <v/>
      </c>
      <c r="P430" s="9">
        <f>IF(OR(NOT(ISNUMBER($O430)),NOT(ISNUMBER($N430)),NOT(ISNUMBER($F430))),"",$O430*($N430/100)*$F430*10)</f>
        <v/>
      </c>
      <c r="Q430" s="9">
        <f>IF(OR(NOT(ISNUMBER($D430)),NOT(ISNUMBER($E430))),"",MAX(0,MIN($E430,SOIL_REPORTING_DEPTH_CM)-MIN($D430,SOIL_REPORTING_DEPTH_CM)))</f>
        <v/>
      </c>
      <c r="R430" s="9">
        <f>IF(OR(NOT(ISNUMBER($O430)),NOT(ISNUMBER($N430)),NOT(ISNUMBER($Q430))),"",$O430*($N430/100)*$Q430*10)</f>
        <v/>
      </c>
      <c r="S430" s="11">
        <f>IF(AND($A430="",$B430="",$D430=""),"",IF(AND($A430&lt;&gt;"",COUNTIF('1. Plot &amp; Site Log'!$A$5:$A$64,$A430)=0),"Plot ID not in the Plot &amp; Site Log. ","")&amp;IF(AND(ISNUMBER($D430),ISNUMBER($E430),$E430&lt;=$D430),"Bottom depth is not below top depth. ","")&amp;IF($L430="Not confirmed","Bulk-density basis not confirmed with the lab — the coarse-fragment correction may be wrong or doubled. ","")&amp;IF(AND(ISNUMBER($M430),OR($M430&lt;QC_BD_MIN,$M430&gt;QC_BD_MAX)),"Bulk density outside the plausible range for a mineral grassland soil. ","")&amp;IF(AND(ISNUMBER($N430),$N430&gt;QC_CARBON_PCT_MAX),"Organic carbon above the QC ceiling — check units, and whether this is an organic horizon. ","")&amp;IF(AND(ISNUMBER($J430),$J430&lt;QC_RECOVERY_MIN),"Recovered less than the QC minimum of the depth driven — the increments may not sit where you think. Do NOT stretch them back out. ","")&amp;IF(AND(ISNUMBER($K430),$K430&gt;0,$L430="Fine earth / total volume"),"Coarse fragments recorded and the lab basis already accounts for them — no further correction applied, which is correct. ",""))</f>
        <v/>
      </c>
      <c r="T430" s="6" t="n"/>
      <c r="U430" s="9">
        <f>IF($B430="",0,IF(COUNTIFS($B$5:$B430,$B430)=1,1,0))</f>
        <v/>
      </c>
    </row>
    <row r="431">
      <c r="A431" s="6" t="n"/>
      <c r="B431" s="6" t="n"/>
      <c r="C431" s="6" t="n"/>
      <c r="D431" s="6" t="n"/>
      <c r="E431" s="6" t="n"/>
      <c r="F431" s="9">
        <f>IF(OR($D431="",$E431=""),"",$E431-$D431)</f>
        <v/>
      </c>
      <c r="G431" s="6" t="n"/>
      <c r="H431" s="6" t="n"/>
      <c r="I431" s="6" t="n"/>
      <c r="J431" s="9">
        <f>IF(OR(NOT(ISNUMBER($H431)),NOT(ISNUMBER($I431)),$H431=0),"",$I431/$H431)</f>
        <v/>
      </c>
      <c r="K431" s="6" t="n"/>
      <c r="L431" s="8" t="n"/>
      <c r="M431" s="7" t="n"/>
      <c r="N431" s="7" t="n"/>
      <c r="O431" s="9">
        <f>IF(NOT(ISNUMBER($M431)),"",IF($L431="Fine earth / fine-earth volume",$M431*(1-IF(ISNUMBER($K431),$K431,0)/100),$M431))</f>
        <v/>
      </c>
      <c r="P431" s="9">
        <f>IF(OR(NOT(ISNUMBER($O431)),NOT(ISNUMBER($N431)),NOT(ISNUMBER($F431))),"",$O431*($N431/100)*$F431*10)</f>
        <v/>
      </c>
      <c r="Q431" s="9">
        <f>IF(OR(NOT(ISNUMBER($D431)),NOT(ISNUMBER($E431))),"",MAX(0,MIN($E431,SOIL_REPORTING_DEPTH_CM)-MIN($D431,SOIL_REPORTING_DEPTH_CM)))</f>
        <v/>
      </c>
      <c r="R431" s="9">
        <f>IF(OR(NOT(ISNUMBER($O431)),NOT(ISNUMBER($N431)),NOT(ISNUMBER($Q431))),"",$O431*($N431/100)*$Q431*10)</f>
        <v/>
      </c>
      <c r="S431" s="11">
        <f>IF(AND($A431="",$B431="",$D431=""),"",IF(AND($A431&lt;&gt;"",COUNTIF('1. Plot &amp; Site Log'!$A$5:$A$64,$A431)=0),"Plot ID not in the Plot &amp; Site Log. ","")&amp;IF(AND(ISNUMBER($D431),ISNUMBER($E431),$E431&lt;=$D431),"Bottom depth is not below top depth. ","")&amp;IF($L431="Not confirmed","Bulk-density basis not confirmed with the lab — the coarse-fragment correction may be wrong or doubled. ","")&amp;IF(AND(ISNUMBER($M431),OR($M431&lt;QC_BD_MIN,$M431&gt;QC_BD_MAX)),"Bulk density outside the plausible range for a mineral grassland soil. ","")&amp;IF(AND(ISNUMBER($N431),$N431&gt;QC_CARBON_PCT_MAX),"Organic carbon above the QC ceiling — check units, and whether this is an organic horizon. ","")&amp;IF(AND(ISNUMBER($J431),$J431&lt;QC_RECOVERY_MIN),"Recovered less than the QC minimum of the depth driven — the increments may not sit where you think. Do NOT stretch them back out. ","")&amp;IF(AND(ISNUMBER($K431),$K431&gt;0,$L431="Fine earth / total volume"),"Coarse fragments recorded and the lab basis already accounts for them — no further correction applied, which is correct. ",""))</f>
        <v/>
      </c>
      <c r="T431" s="6" t="n"/>
      <c r="U431" s="9">
        <f>IF($B431="",0,IF(COUNTIFS($B$5:$B431,$B431)=1,1,0))</f>
        <v/>
      </c>
    </row>
    <row r="432">
      <c r="A432" s="6" t="n"/>
      <c r="B432" s="6" t="n"/>
      <c r="C432" s="6" t="n"/>
      <c r="D432" s="6" t="n"/>
      <c r="E432" s="6" t="n"/>
      <c r="F432" s="9">
        <f>IF(OR($D432="",$E432=""),"",$E432-$D432)</f>
        <v/>
      </c>
      <c r="G432" s="6" t="n"/>
      <c r="H432" s="6" t="n"/>
      <c r="I432" s="6" t="n"/>
      <c r="J432" s="9">
        <f>IF(OR(NOT(ISNUMBER($H432)),NOT(ISNUMBER($I432)),$H432=0),"",$I432/$H432)</f>
        <v/>
      </c>
      <c r="K432" s="6" t="n"/>
      <c r="L432" s="8" t="n"/>
      <c r="M432" s="7" t="n"/>
      <c r="N432" s="7" t="n"/>
      <c r="O432" s="9">
        <f>IF(NOT(ISNUMBER($M432)),"",IF($L432="Fine earth / fine-earth volume",$M432*(1-IF(ISNUMBER($K432),$K432,0)/100),$M432))</f>
        <v/>
      </c>
      <c r="P432" s="9">
        <f>IF(OR(NOT(ISNUMBER($O432)),NOT(ISNUMBER($N432)),NOT(ISNUMBER($F432))),"",$O432*($N432/100)*$F432*10)</f>
        <v/>
      </c>
      <c r="Q432" s="9">
        <f>IF(OR(NOT(ISNUMBER($D432)),NOT(ISNUMBER($E432))),"",MAX(0,MIN($E432,SOIL_REPORTING_DEPTH_CM)-MIN($D432,SOIL_REPORTING_DEPTH_CM)))</f>
        <v/>
      </c>
      <c r="R432" s="9">
        <f>IF(OR(NOT(ISNUMBER($O432)),NOT(ISNUMBER($N432)),NOT(ISNUMBER($Q432))),"",$O432*($N432/100)*$Q432*10)</f>
        <v/>
      </c>
      <c r="S432" s="11">
        <f>IF(AND($A432="",$B432="",$D432=""),"",IF(AND($A432&lt;&gt;"",COUNTIF('1. Plot &amp; Site Log'!$A$5:$A$64,$A432)=0),"Plot ID not in the Plot &amp; Site Log. ","")&amp;IF(AND(ISNUMBER($D432),ISNUMBER($E432),$E432&lt;=$D432),"Bottom depth is not below top depth. ","")&amp;IF($L432="Not confirmed","Bulk-density basis not confirmed with the lab — the coarse-fragment correction may be wrong or doubled. ","")&amp;IF(AND(ISNUMBER($M432),OR($M432&lt;QC_BD_MIN,$M432&gt;QC_BD_MAX)),"Bulk density outside the plausible range for a mineral grassland soil. ","")&amp;IF(AND(ISNUMBER($N432),$N432&gt;QC_CARBON_PCT_MAX),"Organic carbon above the QC ceiling — check units, and whether this is an organic horizon. ","")&amp;IF(AND(ISNUMBER($J432),$J432&lt;QC_RECOVERY_MIN),"Recovered less than the QC minimum of the depth driven — the increments may not sit where you think. Do NOT stretch them back out. ","")&amp;IF(AND(ISNUMBER($K432),$K432&gt;0,$L432="Fine earth / total volume"),"Coarse fragments recorded and the lab basis already accounts for them — no further correction applied, which is correct. ",""))</f>
        <v/>
      </c>
      <c r="T432" s="6" t="n"/>
      <c r="U432" s="9">
        <f>IF($B432="",0,IF(COUNTIFS($B$5:$B432,$B432)=1,1,0))</f>
        <v/>
      </c>
    </row>
    <row r="433">
      <c r="A433" s="6" t="n"/>
      <c r="B433" s="6" t="n"/>
      <c r="C433" s="6" t="n"/>
      <c r="D433" s="6" t="n"/>
      <c r="E433" s="6" t="n"/>
      <c r="F433" s="9">
        <f>IF(OR($D433="",$E433=""),"",$E433-$D433)</f>
        <v/>
      </c>
      <c r="G433" s="6" t="n"/>
      <c r="H433" s="6" t="n"/>
      <c r="I433" s="6" t="n"/>
      <c r="J433" s="9">
        <f>IF(OR(NOT(ISNUMBER($H433)),NOT(ISNUMBER($I433)),$H433=0),"",$I433/$H433)</f>
        <v/>
      </c>
      <c r="K433" s="6" t="n"/>
      <c r="L433" s="8" t="n"/>
      <c r="M433" s="7" t="n"/>
      <c r="N433" s="7" t="n"/>
      <c r="O433" s="9">
        <f>IF(NOT(ISNUMBER($M433)),"",IF($L433="Fine earth / fine-earth volume",$M433*(1-IF(ISNUMBER($K433),$K433,0)/100),$M433))</f>
        <v/>
      </c>
      <c r="P433" s="9">
        <f>IF(OR(NOT(ISNUMBER($O433)),NOT(ISNUMBER($N433)),NOT(ISNUMBER($F433))),"",$O433*($N433/100)*$F433*10)</f>
        <v/>
      </c>
      <c r="Q433" s="9">
        <f>IF(OR(NOT(ISNUMBER($D433)),NOT(ISNUMBER($E433))),"",MAX(0,MIN($E433,SOIL_REPORTING_DEPTH_CM)-MIN($D433,SOIL_REPORTING_DEPTH_CM)))</f>
        <v/>
      </c>
      <c r="R433" s="9">
        <f>IF(OR(NOT(ISNUMBER($O433)),NOT(ISNUMBER($N433)),NOT(ISNUMBER($Q433))),"",$O433*($N433/100)*$Q433*10)</f>
        <v/>
      </c>
      <c r="S433" s="11">
        <f>IF(AND($A433="",$B433="",$D433=""),"",IF(AND($A433&lt;&gt;"",COUNTIF('1. Plot &amp; Site Log'!$A$5:$A$64,$A433)=0),"Plot ID not in the Plot &amp; Site Log. ","")&amp;IF(AND(ISNUMBER($D433),ISNUMBER($E433),$E433&lt;=$D433),"Bottom depth is not below top depth. ","")&amp;IF($L433="Not confirmed","Bulk-density basis not confirmed with the lab — the coarse-fragment correction may be wrong or doubled. ","")&amp;IF(AND(ISNUMBER($M433),OR($M433&lt;QC_BD_MIN,$M433&gt;QC_BD_MAX)),"Bulk density outside the plausible range for a mineral grassland soil. ","")&amp;IF(AND(ISNUMBER($N433),$N433&gt;QC_CARBON_PCT_MAX),"Organic carbon above the QC ceiling — check units, and whether this is an organic horizon. ","")&amp;IF(AND(ISNUMBER($J433),$J433&lt;QC_RECOVERY_MIN),"Recovered less than the QC minimum of the depth driven — the increments may not sit where you think. Do NOT stretch them back out. ","")&amp;IF(AND(ISNUMBER($K433),$K433&gt;0,$L433="Fine earth / total volume"),"Coarse fragments recorded and the lab basis already accounts for them — no further correction applied, which is correct. ",""))</f>
        <v/>
      </c>
      <c r="T433" s="6" t="n"/>
      <c r="U433" s="9">
        <f>IF($B433="",0,IF(COUNTIFS($B$5:$B433,$B433)=1,1,0))</f>
        <v/>
      </c>
    </row>
    <row r="434">
      <c r="A434" s="6" t="n"/>
      <c r="B434" s="6" t="n"/>
      <c r="C434" s="6" t="n"/>
      <c r="D434" s="6" t="n"/>
      <c r="E434" s="6" t="n"/>
      <c r="F434" s="9">
        <f>IF(OR($D434="",$E434=""),"",$E434-$D434)</f>
        <v/>
      </c>
      <c r="G434" s="6" t="n"/>
      <c r="H434" s="6" t="n"/>
      <c r="I434" s="6" t="n"/>
      <c r="J434" s="9">
        <f>IF(OR(NOT(ISNUMBER($H434)),NOT(ISNUMBER($I434)),$H434=0),"",$I434/$H434)</f>
        <v/>
      </c>
      <c r="K434" s="6" t="n"/>
      <c r="L434" s="8" t="n"/>
      <c r="M434" s="7" t="n"/>
      <c r="N434" s="7" t="n"/>
      <c r="O434" s="9">
        <f>IF(NOT(ISNUMBER($M434)),"",IF($L434="Fine earth / fine-earth volume",$M434*(1-IF(ISNUMBER($K434),$K434,0)/100),$M434))</f>
        <v/>
      </c>
      <c r="P434" s="9">
        <f>IF(OR(NOT(ISNUMBER($O434)),NOT(ISNUMBER($N434)),NOT(ISNUMBER($F434))),"",$O434*($N434/100)*$F434*10)</f>
        <v/>
      </c>
      <c r="Q434" s="9">
        <f>IF(OR(NOT(ISNUMBER($D434)),NOT(ISNUMBER($E434))),"",MAX(0,MIN($E434,SOIL_REPORTING_DEPTH_CM)-MIN($D434,SOIL_REPORTING_DEPTH_CM)))</f>
        <v/>
      </c>
      <c r="R434" s="9">
        <f>IF(OR(NOT(ISNUMBER($O434)),NOT(ISNUMBER($N434)),NOT(ISNUMBER($Q434))),"",$O434*($N434/100)*$Q434*10)</f>
        <v/>
      </c>
      <c r="S434" s="11">
        <f>IF(AND($A434="",$B434="",$D434=""),"",IF(AND($A434&lt;&gt;"",COUNTIF('1. Plot &amp; Site Log'!$A$5:$A$64,$A434)=0),"Plot ID not in the Plot &amp; Site Log. ","")&amp;IF(AND(ISNUMBER($D434),ISNUMBER($E434),$E434&lt;=$D434),"Bottom depth is not below top depth. ","")&amp;IF($L434="Not confirmed","Bulk-density basis not confirmed with the lab — the coarse-fragment correction may be wrong or doubled. ","")&amp;IF(AND(ISNUMBER($M434),OR($M434&lt;QC_BD_MIN,$M434&gt;QC_BD_MAX)),"Bulk density outside the plausible range for a mineral grassland soil. ","")&amp;IF(AND(ISNUMBER($N434),$N434&gt;QC_CARBON_PCT_MAX),"Organic carbon above the QC ceiling — check units, and whether this is an organic horizon. ","")&amp;IF(AND(ISNUMBER($J434),$J434&lt;QC_RECOVERY_MIN),"Recovered less than the QC minimum of the depth driven — the increments may not sit where you think. Do NOT stretch them back out. ","")&amp;IF(AND(ISNUMBER($K434),$K434&gt;0,$L434="Fine earth / total volume"),"Coarse fragments recorded and the lab basis already accounts for them — no further correction applied, which is correct. ",""))</f>
        <v/>
      </c>
      <c r="T434" s="6" t="n"/>
      <c r="U434" s="9">
        <f>IF($B434="",0,IF(COUNTIFS($B$5:$B434,$B434)=1,1,0))</f>
        <v/>
      </c>
    </row>
    <row r="435">
      <c r="A435" s="6" t="n"/>
      <c r="B435" s="6" t="n"/>
      <c r="C435" s="6" t="n"/>
      <c r="D435" s="6" t="n"/>
      <c r="E435" s="6" t="n"/>
      <c r="F435" s="9">
        <f>IF(OR($D435="",$E435=""),"",$E435-$D435)</f>
        <v/>
      </c>
      <c r="G435" s="6" t="n"/>
      <c r="H435" s="6" t="n"/>
      <c r="I435" s="6" t="n"/>
      <c r="J435" s="9">
        <f>IF(OR(NOT(ISNUMBER($H435)),NOT(ISNUMBER($I435)),$H435=0),"",$I435/$H435)</f>
        <v/>
      </c>
      <c r="K435" s="6" t="n"/>
      <c r="L435" s="8" t="n"/>
      <c r="M435" s="7" t="n"/>
      <c r="N435" s="7" t="n"/>
      <c r="O435" s="9">
        <f>IF(NOT(ISNUMBER($M435)),"",IF($L435="Fine earth / fine-earth volume",$M435*(1-IF(ISNUMBER($K435),$K435,0)/100),$M435))</f>
        <v/>
      </c>
      <c r="P435" s="9">
        <f>IF(OR(NOT(ISNUMBER($O435)),NOT(ISNUMBER($N435)),NOT(ISNUMBER($F435))),"",$O435*($N435/100)*$F435*10)</f>
        <v/>
      </c>
      <c r="Q435" s="9">
        <f>IF(OR(NOT(ISNUMBER($D435)),NOT(ISNUMBER($E435))),"",MAX(0,MIN($E435,SOIL_REPORTING_DEPTH_CM)-MIN($D435,SOIL_REPORTING_DEPTH_CM)))</f>
        <v/>
      </c>
      <c r="R435" s="9">
        <f>IF(OR(NOT(ISNUMBER($O435)),NOT(ISNUMBER($N435)),NOT(ISNUMBER($Q435))),"",$O435*($N435/100)*$Q435*10)</f>
        <v/>
      </c>
      <c r="S435" s="11">
        <f>IF(AND($A435="",$B435="",$D435=""),"",IF(AND($A435&lt;&gt;"",COUNTIF('1. Plot &amp; Site Log'!$A$5:$A$64,$A435)=0),"Plot ID not in the Plot &amp; Site Log. ","")&amp;IF(AND(ISNUMBER($D435),ISNUMBER($E435),$E435&lt;=$D435),"Bottom depth is not below top depth. ","")&amp;IF($L435="Not confirmed","Bulk-density basis not confirmed with the lab — the coarse-fragment correction may be wrong or doubled. ","")&amp;IF(AND(ISNUMBER($M435),OR($M435&lt;QC_BD_MIN,$M435&gt;QC_BD_MAX)),"Bulk density outside the plausible range for a mineral grassland soil. ","")&amp;IF(AND(ISNUMBER($N435),$N435&gt;QC_CARBON_PCT_MAX),"Organic carbon above the QC ceiling — check units, and whether this is an organic horizon. ","")&amp;IF(AND(ISNUMBER($J435),$J435&lt;QC_RECOVERY_MIN),"Recovered less than the QC minimum of the depth driven — the increments may not sit where you think. Do NOT stretch them back out. ","")&amp;IF(AND(ISNUMBER($K435),$K435&gt;0,$L435="Fine earth / total volume"),"Coarse fragments recorded and the lab basis already accounts for them — no further correction applied, which is correct. ",""))</f>
        <v/>
      </c>
      <c r="T435" s="6" t="n"/>
      <c r="U435" s="9">
        <f>IF($B435="",0,IF(COUNTIFS($B$5:$B435,$B435)=1,1,0))</f>
        <v/>
      </c>
    </row>
    <row r="436">
      <c r="A436" s="6" t="n"/>
      <c r="B436" s="6" t="n"/>
      <c r="C436" s="6" t="n"/>
      <c r="D436" s="6" t="n"/>
      <c r="E436" s="6" t="n"/>
      <c r="F436" s="9">
        <f>IF(OR($D436="",$E436=""),"",$E436-$D436)</f>
        <v/>
      </c>
      <c r="G436" s="6" t="n"/>
      <c r="H436" s="6" t="n"/>
      <c r="I436" s="6" t="n"/>
      <c r="J436" s="9">
        <f>IF(OR(NOT(ISNUMBER($H436)),NOT(ISNUMBER($I436)),$H436=0),"",$I436/$H436)</f>
        <v/>
      </c>
      <c r="K436" s="6" t="n"/>
      <c r="L436" s="8" t="n"/>
      <c r="M436" s="7" t="n"/>
      <c r="N436" s="7" t="n"/>
      <c r="O436" s="9">
        <f>IF(NOT(ISNUMBER($M436)),"",IF($L436="Fine earth / fine-earth volume",$M436*(1-IF(ISNUMBER($K436),$K436,0)/100),$M436))</f>
        <v/>
      </c>
      <c r="P436" s="9">
        <f>IF(OR(NOT(ISNUMBER($O436)),NOT(ISNUMBER($N436)),NOT(ISNUMBER($F436))),"",$O436*($N436/100)*$F436*10)</f>
        <v/>
      </c>
      <c r="Q436" s="9">
        <f>IF(OR(NOT(ISNUMBER($D436)),NOT(ISNUMBER($E436))),"",MAX(0,MIN($E436,SOIL_REPORTING_DEPTH_CM)-MIN($D436,SOIL_REPORTING_DEPTH_CM)))</f>
        <v/>
      </c>
      <c r="R436" s="9">
        <f>IF(OR(NOT(ISNUMBER($O436)),NOT(ISNUMBER($N436)),NOT(ISNUMBER($Q436))),"",$O436*($N436/100)*$Q436*10)</f>
        <v/>
      </c>
      <c r="S436" s="11">
        <f>IF(AND($A436="",$B436="",$D436=""),"",IF(AND($A436&lt;&gt;"",COUNTIF('1. Plot &amp; Site Log'!$A$5:$A$64,$A436)=0),"Plot ID not in the Plot &amp; Site Log. ","")&amp;IF(AND(ISNUMBER($D436),ISNUMBER($E436),$E436&lt;=$D436),"Bottom depth is not below top depth. ","")&amp;IF($L436="Not confirmed","Bulk-density basis not confirmed with the lab — the coarse-fragment correction may be wrong or doubled. ","")&amp;IF(AND(ISNUMBER($M436),OR($M436&lt;QC_BD_MIN,$M436&gt;QC_BD_MAX)),"Bulk density outside the plausible range for a mineral grassland soil. ","")&amp;IF(AND(ISNUMBER($N436),$N436&gt;QC_CARBON_PCT_MAX),"Organic carbon above the QC ceiling — check units, and whether this is an organic horizon. ","")&amp;IF(AND(ISNUMBER($J436),$J436&lt;QC_RECOVERY_MIN),"Recovered less than the QC minimum of the depth driven — the increments may not sit where you think. Do NOT stretch them back out. ","")&amp;IF(AND(ISNUMBER($K436),$K436&gt;0,$L436="Fine earth / total volume"),"Coarse fragments recorded and the lab basis already accounts for them — no further correction applied, which is correct. ",""))</f>
        <v/>
      </c>
      <c r="T436" s="6" t="n"/>
      <c r="U436" s="9">
        <f>IF($B436="",0,IF(COUNTIFS($B$5:$B436,$B436)=1,1,0))</f>
        <v/>
      </c>
    </row>
    <row r="437">
      <c r="A437" s="6" t="n"/>
      <c r="B437" s="6" t="n"/>
      <c r="C437" s="6" t="n"/>
      <c r="D437" s="6" t="n"/>
      <c r="E437" s="6" t="n"/>
      <c r="F437" s="9">
        <f>IF(OR($D437="",$E437=""),"",$E437-$D437)</f>
        <v/>
      </c>
      <c r="G437" s="6" t="n"/>
      <c r="H437" s="6" t="n"/>
      <c r="I437" s="6" t="n"/>
      <c r="J437" s="9">
        <f>IF(OR(NOT(ISNUMBER($H437)),NOT(ISNUMBER($I437)),$H437=0),"",$I437/$H437)</f>
        <v/>
      </c>
      <c r="K437" s="6" t="n"/>
      <c r="L437" s="8" t="n"/>
      <c r="M437" s="7" t="n"/>
      <c r="N437" s="7" t="n"/>
      <c r="O437" s="9">
        <f>IF(NOT(ISNUMBER($M437)),"",IF($L437="Fine earth / fine-earth volume",$M437*(1-IF(ISNUMBER($K437),$K437,0)/100),$M437))</f>
        <v/>
      </c>
      <c r="P437" s="9">
        <f>IF(OR(NOT(ISNUMBER($O437)),NOT(ISNUMBER($N437)),NOT(ISNUMBER($F437))),"",$O437*($N437/100)*$F437*10)</f>
        <v/>
      </c>
      <c r="Q437" s="9">
        <f>IF(OR(NOT(ISNUMBER($D437)),NOT(ISNUMBER($E437))),"",MAX(0,MIN($E437,SOIL_REPORTING_DEPTH_CM)-MIN($D437,SOIL_REPORTING_DEPTH_CM)))</f>
        <v/>
      </c>
      <c r="R437" s="9">
        <f>IF(OR(NOT(ISNUMBER($O437)),NOT(ISNUMBER($N437)),NOT(ISNUMBER($Q437))),"",$O437*($N437/100)*$Q437*10)</f>
        <v/>
      </c>
      <c r="S437" s="11">
        <f>IF(AND($A437="",$B437="",$D437=""),"",IF(AND($A437&lt;&gt;"",COUNTIF('1. Plot &amp; Site Log'!$A$5:$A$64,$A437)=0),"Plot ID not in the Plot &amp; Site Log. ","")&amp;IF(AND(ISNUMBER($D437),ISNUMBER($E437),$E437&lt;=$D437),"Bottom depth is not below top depth. ","")&amp;IF($L437="Not confirmed","Bulk-density basis not confirmed with the lab — the coarse-fragment correction may be wrong or doubled. ","")&amp;IF(AND(ISNUMBER($M437),OR($M437&lt;QC_BD_MIN,$M437&gt;QC_BD_MAX)),"Bulk density outside the plausible range for a mineral grassland soil. ","")&amp;IF(AND(ISNUMBER($N437),$N437&gt;QC_CARBON_PCT_MAX),"Organic carbon above the QC ceiling — check units, and whether this is an organic horizon. ","")&amp;IF(AND(ISNUMBER($J437),$J437&lt;QC_RECOVERY_MIN),"Recovered less than the QC minimum of the depth driven — the increments may not sit where you think. Do NOT stretch them back out. ","")&amp;IF(AND(ISNUMBER($K437),$K437&gt;0,$L437="Fine earth / total volume"),"Coarse fragments recorded and the lab basis already accounts for them — no further correction applied, which is correct. ",""))</f>
        <v/>
      </c>
      <c r="T437" s="6" t="n"/>
      <c r="U437" s="9">
        <f>IF($B437="",0,IF(COUNTIFS($B$5:$B437,$B437)=1,1,0))</f>
        <v/>
      </c>
    </row>
    <row r="438">
      <c r="A438" s="6" t="n"/>
      <c r="B438" s="6" t="n"/>
      <c r="C438" s="6" t="n"/>
      <c r="D438" s="6" t="n"/>
      <c r="E438" s="6" t="n"/>
      <c r="F438" s="9">
        <f>IF(OR($D438="",$E438=""),"",$E438-$D438)</f>
        <v/>
      </c>
      <c r="G438" s="6" t="n"/>
      <c r="H438" s="6" t="n"/>
      <c r="I438" s="6" t="n"/>
      <c r="J438" s="9">
        <f>IF(OR(NOT(ISNUMBER($H438)),NOT(ISNUMBER($I438)),$H438=0),"",$I438/$H438)</f>
        <v/>
      </c>
      <c r="K438" s="6" t="n"/>
      <c r="L438" s="8" t="n"/>
      <c r="M438" s="7" t="n"/>
      <c r="N438" s="7" t="n"/>
      <c r="O438" s="9">
        <f>IF(NOT(ISNUMBER($M438)),"",IF($L438="Fine earth / fine-earth volume",$M438*(1-IF(ISNUMBER($K438),$K438,0)/100),$M438))</f>
        <v/>
      </c>
      <c r="P438" s="9">
        <f>IF(OR(NOT(ISNUMBER($O438)),NOT(ISNUMBER($N438)),NOT(ISNUMBER($F438))),"",$O438*($N438/100)*$F438*10)</f>
        <v/>
      </c>
      <c r="Q438" s="9">
        <f>IF(OR(NOT(ISNUMBER($D438)),NOT(ISNUMBER($E438))),"",MAX(0,MIN($E438,SOIL_REPORTING_DEPTH_CM)-MIN($D438,SOIL_REPORTING_DEPTH_CM)))</f>
        <v/>
      </c>
      <c r="R438" s="9">
        <f>IF(OR(NOT(ISNUMBER($O438)),NOT(ISNUMBER($N438)),NOT(ISNUMBER($Q438))),"",$O438*($N438/100)*$Q438*10)</f>
        <v/>
      </c>
      <c r="S438" s="11">
        <f>IF(AND($A438="",$B438="",$D438=""),"",IF(AND($A438&lt;&gt;"",COUNTIF('1. Plot &amp; Site Log'!$A$5:$A$64,$A438)=0),"Plot ID not in the Plot &amp; Site Log. ","")&amp;IF(AND(ISNUMBER($D438),ISNUMBER($E438),$E438&lt;=$D438),"Bottom depth is not below top depth. ","")&amp;IF($L438="Not confirmed","Bulk-density basis not confirmed with the lab — the coarse-fragment correction may be wrong or doubled. ","")&amp;IF(AND(ISNUMBER($M438),OR($M438&lt;QC_BD_MIN,$M438&gt;QC_BD_MAX)),"Bulk density outside the plausible range for a mineral grassland soil. ","")&amp;IF(AND(ISNUMBER($N438),$N438&gt;QC_CARBON_PCT_MAX),"Organic carbon above the QC ceiling — check units, and whether this is an organic horizon. ","")&amp;IF(AND(ISNUMBER($J438),$J438&lt;QC_RECOVERY_MIN),"Recovered less than the QC minimum of the depth driven — the increments may not sit where you think. Do NOT stretch them back out. ","")&amp;IF(AND(ISNUMBER($K438),$K438&gt;0,$L438="Fine earth / total volume"),"Coarse fragments recorded and the lab basis already accounts for them — no further correction applied, which is correct. ",""))</f>
        <v/>
      </c>
      <c r="T438" s="6" t="n"/>
      <c r="U438" s="9">
        <f>IF($B438="",0,IF(COUNTIFS($B$5:$B438,$B438)=1,1,0))</f>
        <v/>
      </c>
    </row>
    <row r="439">
      <c r="A439" s="6" t="n"/>
      <c r="B439" s="6" t="n"/>
      <c r="C439" s="6" t="n"/>
      <c r="D439" s="6" t="n"/>
      <c r="E439" s="6" t="n"/>
      <c r="F439" s="9">
        <f>IF(OR($D439="",$E439=""),"",$E439-$D439)</f>
        <v/>
      </c>
      <c r="G439" s="6" t="n"/>
      <c r="H439" s="6" t="n"/>
      <c r="I439" s="6" t="n"/>
      <c r="J439" s="9">
        <f>IF(OR(NOT(ISNUMBER($H439)),NOT(ISNUMBER($I439)),$H439=0),"",$I439/$H439)</f>
        <v/>
      </c>
      <c r="K439" s="6" t="n"/>
      <c r="L439" s="8" t="n"/>
      <c r="M439" s="7" t="n"/>
      <c r="N439" s="7" t="n"/>
      <c r="O439" s="9">
        <f>IF(NOT(ISNUMBER($M439)),"",IF($L439="Fine earth / fine-earth volume",$M439*(1-IF(ISNUMBER($K439),$K439,0)/100),$M439))</f>
        <v/>
      </c>
      <c r="P439" s="9">
        <f>IF(OR(NOT(ISNUMBER($O439)),NOT(ISNUMBER($N439)),NOT(ISNUMBER($F439))),"",$O439*($N439/100)*$F439*10)</f>
        <v/>
      </c>
      <c r="Q439" s="9">
        <f>IF(OR(NOT(ISNUMBER($D439)),NOT(ISNUMBER($E439))),"",MAX(0,MIN($E439,SOIL_REPORTING_DEPTH_CM)-MIN($D439,SOIL_REPORTING_DEPTH_CM)))</f>
        <v/>
      </c>
      <c r="R439" s="9">
        <f>IF(OR(NOT(ISNUMBER($O439)),NOT(ISNUMBER($N439)),NOT(ISNUMBER($Q439))),"",$O439*($N439/100)*$Q439*10)</f>
        <v/>
      </c>
      <c r="S439" s="11">
        <f>IF(AND($A439="",$B439="",$D439=""),"",IF(AND($A439&lt;&gt;"",COUNTIF('1. Plot &amp; Site Log'!$A$5:$A$64,$A439)=0),"Plot ID not in the Plot &amp; Site Log. ","")&amp;IF(AND(ISNUMBER($D439),ISNUMBER($E439),$E439&lt;=$D439),"Bottom depth is not below top depth. ","")&amp;IF($L439="Not confirmed","Bulk-density basis not confirmed with the lab — the coarse-fragment correction may be wrong or doubled. ","")&amp;IF(AND(ISNUMBER($M439),OR($M439&lt;QC_BD_MIN,$M439&gt;QC_BD_MAX)),"Bulk density outside the plausible range for a mineral grassland soil. ","")&amp;IF(AND(ISNUMBER($N439),$N439&gt;QC_CARBON_PCT_MAX),"Organic carbon above the QC ceiling — check units, and whether this is an organic horizon. ","")&amp;IF(AND(ISNUMBER($J439),$J439&lt;QC_RECOVERY_MIN),"Recovered less than the QC minimum of the depth driven — the increments may not sit where you think. Do NOT stretch them back out. ","")&amp;IF(AND(ISNUMBER($K439),$K439&gt;0,$L439="Fine earth / total volume"),"Coarse fragments recorded and the lab basis already accounts for them — no further correction applied, which is correct. ",""))</f>
        <v/>
      </c>
      <c r="T439" s="6" t="n"/>
      <c r="U439" s="9">
        <f>IF($B439="",0,IF(COUNTIFS($B$5:$B439,$B439)=1,1,0))</f>
        <v/>
      </c>
    </row>
    <row r="440">
      <c r="A440" s="6" t="n"/>
      <c r="B440" s="6" t="n"/>
      <c r="C440" s="6" t="n"/>
      <c r="D440" s="6" t="n"/>
      <c r="E440" s="6" t="n"/>
      <c r="F440" s="9">
        <f>IF(OR($D440="",$E440=""),"",$E440-$D440)</f>
        <v/>
      </c>
      <c r="G440" s="6" t="n"/>
      <c r="H440" s="6" t="n"/>
      <c r="I440" s="6" t="n"/>
      <c r="J440" s="9">
        <f>IF(OR(NOT(ISNUMBER($H440)),NOT(ISNUMBER($I440)),$H440=0),"",$I440/$H440)</f>
        <v/>
      </c>
      <c r="K440" s="6" t="n"/>
      <c r="L440" s="8" t="n"/>
      <c r="M440" s="7" t="n"/>
      <c r="N440" s="7" t="n"/>
      <c r="O440" s="9">
        <f>IF(NOT(ISNUMBER($M440)),"",IF($L440="Fine earth / fine-earth volume",$M440*(1-IF(ISNUMBER($K440),$K440,0)/100),$M440))</f>
        <v/>
      </c>
      <c r="P440" s="9">
        <f>IF(OR(NOT(ISNUMBER($O440)),NOT(ISNUMBER($N440)),NOT(ISNUMBER($F440))),"",$O440*($N440/100)*$F440*10)</f>
        <v/>
      </c>
      <c r="Q440" s="9">
        <f>IF(OR(NOT(ISNUMBER($D440)),NOT(ISNUMBER($E440))),"",MAX(0,MIN($E440,SOIL_REPORTING_DEPTH_CM)-MIN($D440,SOIL_REPORTING_DEPTH_CM)))</f>
        <v/>
      </c>
      <c r="R440" s="9">
        <f>IF(OR(NOT(ISNUMBER($O440)),NOT(ISNUMBER($N440)),NOT(ISNUMBER($Q440))),"",$O440*($N440/100)*$Q440*10)</f>
        <v/>
      </c>
      <c r="S440" s="11">
        <f>IF(AND($A440="",$B440="",$D440=""),"",IF(AND($A440&lt;&gt;"",COUNTIF('1. Plot &amp; Site Log'!$A$5:$A$64,$A440)=0),"Plot ID not in the Plot &amp; Site Log. ","")&amp;IF(AND(ISNUMBER($D440),ISNUMBER($E440),$E440&lt;=$D440),"Bottom depth is not below top depth. ","")&amp;IF($L440="Not confirmed","Bulk-density basis not confirmed with the lab — the coarse-fragment correction may be wrong or doubled. ","")&amp;IF(AND(ISNUMBER($M440),OR($M440&lt;QC_BD_MIN,$M440&gt;QC_BD_MAX)),"Bulk density outside the plausible range for a mineral grassland soil. ","")&amp;IF(AND(ISNUMBER($N440),$N440&gt;QC_CARBON_PCT_MAX),"Organic carbon above the QC ceiling — check units, and whether this is an organic horizon. ","")&amp;IF(AND(ISNUMBER($J440),$J440&lt;QC_RECOVERY_MIN),"Recovered less than the QC minimum of the depth driven — the increments may not sit where you think. Do NOT stretch them back out. ","")&amp;IF(AND(ISNUMBER($K440),$K440&gt;0,$L440="Fine earth / total volume"),"Coarse fragments recorded and the lab basis already accounts for them — no further correction applied, which is correct. ",""))</f>
        <v/>
      </c>
      <c r="T440" s="6" t="n"/>
      <c r="U440" s="9">
        <f>IF($B440="",0,IF(COUNTIFS($B$5:$B440,$B440)=1,1,0))</f>
        <v/>
      </c>
    </row>
    <row r="441">
      <c r="A441" s="6" t="n"/>
      <c r="B441" s="6" t="n"/>
      <c r="C441" s="6" t="n"/>
      <c r="D441" s="6" t="n"/>
      <c r="E441" s="6" t="n"/>
      <c r="F441" s="9">
        <f>IF(OR($D441="",$E441=""),"",$E441-$D441)</f>
        <v/>
      </c>
      <c r="G441" s="6" t="n"/>
      <c r="H441" s="6" t="n"/>
      <c r="I441" s="6" t="n"/>
      <c r="J441" s="9">
        <f>IF(OR(NOT(ISNUMBER($H441)),NOT(ISNUMBER($I441)),$H441=0),"",$I441/$H441)</f>
        <v/>
      </c>
      <c r="K441" s="6" t="n"/>
      <c r="L441" s="8" t="n"/>
      <c r="M441" s="7" t="n"/>
      <c r="N441" s="7" t="n"/>
      <c r="O441" s="9">
        <f>IF(NOT(ISNUMBER($M441)),"",IF($L441="Fine earth / fine-earth volume",$M441*(1-IF(ISNUMBER($K441),$K441,0)/100),$M441))</f>
        <v/>
      </c>
      <c r="P441" s="9">
        <f>IF(OR(NOT(ISNUMBER($O441)),NOT(ISNUMBER($N441)),NOT(ISNUMBER($F441))),"",$O441*($N441/100)*$F441*10)</f>
        <v/>
      </c>
      <c r="Q441" s="9">
        <f>IF(OR(NOT(ISNUMBER($D441)),NOT(ISNUMBER($E441))),"",MAX(0,MIN($E441,SOIL_REPORTING_DEPTH_CM)-MIN($D441,SOIL_REPORTING_DEPTH_CM)))</f>
        <v/>
      </c>
      <c r="R441" s="9">
        <f>IF(OR(NOT(ISNUMBER($O441)),NOT(ISNUMBER($N441)),NOT(ISNUMBER($Q441))),"",$O441*($N441/100)*$Q441*10)</f>
        <v/>
      </c>
      <c r="S441" s="11">
        <f>IF(AND($A441="",$B441="",$D441=""),"",IF(AND($A441&lt;&gt;"",COUNTIF('1. Plot &amp; Site Log'!$A$5:$A$64,$A441)=0),"Plot ID not in the Plot &amp; Site Log. ","")&amp;IF(AND(ISNUMBER($D441),ISNUMBER($E441),$E441&lt;=$D441),"Bottom depth is not below top depth. ","")&amp;IF($L441="Not confirmed","Bulk-density basis not confirmed with the lab — the coarse-fragment correction may be wrong or doubled. ","")&amp;IF(AND(ISNUMBER($M441),OR($M441&lt;QC_BD_MIN,$M441&gt;QC_BD_MAX)),"Bulk density outside the plausible range for a mineral grassland soil. ","")&amp;IF(AND(ISNUMBER($N441),$N441&gt;QC_CARBON_PCT_MAX),"Organic carbon above the QC ceiling — check units, and whether this is an organic horizon. ","")&amp;IF(AND(ISNUMBER($J441),$J441&lt;QC_RECOVERY_MIN),"Recovered less than the QC minimum of the depth driven — the increments may not sit where you think. Do NOT stretch them back out. ","")&amp;IF(AND(ISNUMBER($K441),$K441&gt;0,$L441="Fine earth / total volume"),"Coarse fragments recorded and the lab basis already accounts for them — no further correction applied, which is correct. ",""))</f>
        <v/>
      </c>
      <c r="T441" s="6" t="n"/>
      <c r="U441" s="9">
        <f>IF($B441="",0,IF(COUNTIFS($B$5:$B441,$B441)=1,1,0))</f>
        <v/>
      </c>
    </row>
    <row r="442">
      <c r="A442" s="6" t="n"/>
      <c r="B442" s="6" t="n"/>
      <c r="C442" s="6" t="n"/>
      <c r="D442" s="6" t="n"/>
      <c r="E442" s="6" t="n"/>
      <c r="F442" s="9">
        <f>IF(OR($D442="",$E442=""),"",$E442-$D442)</f>
        <v/>
      </c>
      <c r="G442" s="6" t="n"/>
      <c r="H442" s="6" t="n"/>
      <c r="I442" s="6" t="n"/>
      <c r="J442" s="9">
        <f>IF(OR(NOT(ISNUMBER($H442)),NOT(ISNUMBER($I442)),$H442=0),"",$I442/$H442)</f>
        <v/>
      </c>
      <c r="K442" s="6" t="n"/>
      <c r="L442" s="8" t="n"/>
      <c r="M442" s="7" t="n"/>
      <c r="N442" s="7" t="n"/>
      <c r="O442" s="9">
        <f>IF(NOT(ISNUMBER($M442)),"",IF($L442="Fine earth / fine-earth volume",$M442*(1-IF(ISNUMBER($K442),$K442,0)/100),$M442))</f>
        <v/>
      </c>
      <c r="P442" s="9">
        <f>IF(OR(NOT(ISNUMBER($O442)),NOT(ISNUMBER($N442)),NOT(ISNUMBER($F442))),"",$O442*($N442/100)*$F442*10)</f>
        <v/>
      </c>
      <c r="Q442" s="9">
        <f>IF(OR(NOT(ISNUMBER($D442)),NOT(ISNUMBER($E442))),"",MAX(0,MIN($E442,SOIL_REPORTING_DEPTH_CM)-MIN($D442,SOIL_REPORTING_DEPTH_CM)))</f>
        <v/>
      </c>
      <c r="R442" s="9">
        <f>IF(OR(NOT(ISNUMBER($O442)),NOT(ISNUMBER($N442)),NOT(ISNUMBER($Q442))),"",$O442*($N442/100)*$Q442*10)</f>
        <v/>
      </c>
      <c r="S442" s="11">
        <f>IF(AND($A442="",$B442="",$D442=""),"",IF(AND($A442&lt;&gt;"",COUNTIF('1. Plot &amp; Site Log'!$A$5:$A$64,$A442)=0),"Plot ID not in the Plot &amp; Site Log. ","")&amp;IF(AND(ISNUMBER($D442),ISNUMBER($E442),$E442&lt;=$D442),"Bottom depth is not below top depth. ","")&amp;IF($L442="Not confirmed","Bulk-density basis not confirmed with the lab — the coarse-fragment correction may be wrong or doubled. ","")&amp;IF(AND(ISNUMBER($M442),OR($M442&lt;QC_BD_MIN,$M442&gt;QC_BD_MAX)),"Bulk density outside the plausible range for a mineral grassland soil. ","")&amp;IF(AND(ISNUMBER($N442),$N442&gt;QC_CARBON_PCT_MAX),"Organic carbon above the QC ceiling — check units, and whether this is an organic horizon. ","")&amp;IF(AND(ISNUMBER($J442),$J442&lt;QC_RECOVERY_MIN),"Recovered less than the QC minimum of the depth driven — the increments may not sit where you think. Do NOT stretch them back out. ","")&amp;IF(AND(ISNUMBER($K442),$K442&gt;0,$L442="Fine earth / total volume"),"Coarse fragments recorded and the lab basis already accounts for them — no further correction applied, which is correct. ",""))</f>
        <v/>
      </c>
      <c r="T442" s="6" t="n"/>
      <c r="U442" s="9">
        <f>IF($B442="",0,IF(COUNTIFS($B$5:$B442,$B442)=1,1,0))</f>
        <v/>
      </c>
    </row>
    <row r="443">
      <c r="A443" s="6" t="n"/>
      <c r="B443" s="6" t="n"/>
      <c r="C443" s="6" t="n"/>
      <c r="D443" s="6" t="n"/>
      <c r="E443" s="6" t="n"/>
      <c r="F443" s="9">
        <f>IF(OR($D443="",$E443=""),"",$E443-$D443)</f>
        <v/>
      </c>
      <c r="G443" s="6" t="n"/>
      <c r="H443" s="6" t="n"/>
      <c r="I443" s="6" t="n"/>
      <c r="J443" s="9">
        <f>IF(OR(NOT(ISNUMBER($H443)),NOT(ISNUMBER($I443)),$H443=0),"",$I443/$H443)</f>
        <v/>
      </c>
      <c r="K443" s="6" t="n"/>
      <c r="L443" s="8" t="n"/>
      <c r="M443" s="7" t="n"/>
      <c r="N443" s="7" t="n"/>
      <c r="O443" s="9">
        <f>IF(NOT(ISNUMBER($M443)),"",IF($L443="Fine earth / fine-earth volume",$M443*(1-IF(ISNUMBER($K443),$K443,0)/100),$M443))</f>
        <v/>
      </c>
      <c r="P443" s="9">
        <f>IF(OR(NOT(ISNUMBER($O443)),NOT(ISNUMBER($N443)),NOT(ISNUMBER($F443))),"",$O443*($N443/100)*$F443*10)</f>
        <v/>
      </c>
      <c r="Q443" s="9">
        <f>IF(OR(NOT(ISNUMBER($D443)),NOT(ISNUMBER($E443))),"",MAX(0,MIN($E443,SOIL_REPORTING_DEPTH_CM)-MIN($D443,SOIL_REPORTING_DEPTH_CM)))</f>
        <v/>
      </c>
      <c r="R443" s="9">
        <f>IF(OR(NOT(ISNUMBER($O443)),NOT(ISNUMBER($N443)),NOT(ISNUMBER($Q443))),"",$O443*($N443/100)*$Q443*10)</f>
        <v/>
      </c>
      <c r="S443" s="11">
        <f>IF(AND($A443="",$B443="",$D443=""),"",IF(AND($A443&lt;&gt;"",COUNTIF('1. Plot &amp; Site Log'!$A$5:$A$64,$A443)=0),"Plot ID not in the Plot &amp; Site Log. ","")&amp;IF(AND(ISNUMBER($D443),ISNUMBER($E443),$E443&lt;=$D443),"Bottom depth is not below top depth. ","")&amp;IF($L443="Not confirmed","Bulk-density basis not confirmed with the lab — the coarse-fragment correction may be wrong or doubled. ","")&amp;IF(AND(ISNUMBER($M443),OR($M443&lt;QC_BD_MIN,$M443&gt;QC_BD_MAX)),"Bulk density outside the plausible range for a mineral grassland soil. ","")&amp;IF(AND(ISNUMBER($N443),$N443&gt;QC_CARBON_PCT_MAX),"Organic carbon above the QC ceiling — check units, and whether this is an organic horizon. ","")&amp;IF(AND(ISNUMBER($J443),$J443&lt;QC_RECOVERY_MIN),"Recovered less than the QC minimum of the depth driven — the increments may not sit where you think. Do NOT stretch them back out. ","")&amp;IF(AND(ISNUMBER($K443),$K443&gt;0,$L443="Fine earth / total volume"),"Coarse fragments recorded and the lab basis already accounts for them — no further correction applied, which is correct. ",""))</f>
        <v/>
      </c>
      <c r="T443" s="6" t="n"/>
      <c r="U443" s="9">
        <f>IF($B443="",0,IF(COUNTIFS($B$5:$B443,$B443)=1,1,0))</f>
        <v/>
      </c>
    </row>
    <row r="444">
      <c r="A444" s="6" t="n"/>
      <c r="B444" s="6" t="n"/>
      <c r="C444" s="6" t="n"/>
      <c r="D444" s="6" t="n"/>
      <c r="E444" s="6" t="n"/>
      <c r="F444" s="9">
        <f>IF(OR($D444="",$E444=""),"",$E444-$D444)</f>
        <v/>
      </c>
      <c r="G444" s="6" t="n"/>
      <c r="H444" s="6" t="n"/>
      <c r="I444" s="6" t="n"/>
      <c r="J444" s="9">
        <f>IF(OR(NOT(ISNUMBER($H444)),NOT(ISNUMBER($I444)),$H444=0),"",$I444/$H444)</f>
        <v/>
      </c>
      <c r="K444" s="6" t="n"/>
      <c r="L444" s="8" t="n"/>
      <c r="M444" s="7" t="n"/>
      <c r="N444" s="7" t="n"/>
      <c r="O444" s="9">
        <f>IF(NOT(ISNUMBER($M444)),"",IF($L444="Fine earth / fine-earth volume",$M444*(1-IF(ISNUMBER($K444),$K444,0)/100),$M444))</f>
        <v/>
      </c>
      <c r="P444" s="9">
        <f>IF(OR(NOT(ISNUMBER($O444)),NOT(ISNUMBER($N444)),NOT(ISNUMBER($F444))),"",$O444*($N444/100)*$F444*10)</f>
        <v/>
      </c>
      <c r="Q444" s="9">
        <f>IF(OR(NOT(ISNUMBER($D444)),NOT(ISNUMBER($E444))),"",MAX(0,MIN($E444,SOIL_REPORTING_DEPTH_CM)-MIN($D444,SOIL_REPORTING_DEPTH_CM)))</f>
        <v/>
      </c>
      <c r="R444" s="9">
        <f>IF(OR(NOT(ISNUMBER($O444)),NOT(ISNUMBER($N444)),NOT(ISNUMBER($Q444))),"",$O444*($N444/100)*$Q444*10)</f>
        <v/>
      </c>
      <c r="S444" s="11">
        <f>IF(AND($A444="",$B444="",$D444=""),"",IF(AND($A444&lt;&gt;"",COUNTIF('1. Plot &amp; Site Log'!$A$5:$A$64,$A444)=0),"Plot ID not in the Plot &amp; Site Log. ","")&amp;IF(AND(ISNUMBER($D444),ISNUMBER($E444),$E444&lt;=$D444),"Bottom depth is not below top depth. ","")&amp;IF($L444="Not confirmed","Bulk-density basis not confirmed with the lab — the coarse-fragment correction may be wrong or doubled. ","")&amp;IF(AND(ISNUMBER($M444),OR($M444&lt;QC_BD_MIN,$M444&gt;QC_BD_MAX)),"Bulk density outside the plausible range for a mineral grassland soil. ","")&amp;IF(AND(ISNUMBER($N444),$N444&gt;QC_CARBON_PCT_MAX),"Organic carbon above the QC ceiling — check units, and whether this is an organic horizon. ","")&amp;IF(AND(ISNUMBER($J444),$J444&lt;QC_RECOVERY_MIN),"Recovered less than the QC minimum of the depth driven — the increments may not sit where you think. Do NOT stretch them back out. ","")&amp;IF(AND(ISNUMBER($K444),$K444&gt;0,$L444="Fine earth / total volume"),"Coarse fragments recorded and the lab basis already accounts for them — no further correction applied, which is correct. ",""))</f>
        <v/>
      </c>
      <c r="T444" s="6" t="n"/>
      <c r="U444" s="9">
        <f>IF($B444="",0,IF(COUNTIFS($B$5:$B444,$B444)=1,1,0))</f>
        <v/>
      </c>
    </row>
    <row r="445">
      <c r="A445" s="6" t="n"/>
      <c r="B445" s="6" t="n"/>
      <c r="C445" s="6" t="n"/>
      <c r="D445" s="6" t="n"/>
      <c r="E445" s="6" t="n"/>
      <c r="F445" s="9">
        <f>IF(OR($D445="",$E445=""),"",$E445-$D445)</f>
        <v/>
      </c>
      <c r="G445" s="6" t="n"/>
      <c r="H445" s="6" t="n"/>
      <c r="I445" s="6" t="n"/>
      <c r="J445" s="9">
        <f>IF(OR(NOT(ISNUMBER($H445)),NOT(ISNUMBER($I445)),$H445=0),"",$I445/$H445)</f>
        <v/>
      </c>
      <c r="K445" s="6" t="n"/>
      <c r="L445" s="8" t="n"/>
      <c r="M445" s="7" t="n"/>
      <c r="N445" s="7" t="n"/>
      <c r="O445" s="9">
        <f>IF(NOT(ISNUMBER($M445)),"",IF($L445="Fine earth / fine-earth volume",$M445*(1-IF(ISNUMBER($K445),$K445,0)/100),$M445))</f>
        <v/>
      </c>
      <c r="P445" s="9">
        <f>IF(OR(NOT(ISNUMBER($O445)),NOT(ISNUMBER($N445)),NOT(ISNUMBER($F445))),"",$O445*($N445/100)*$F445*10)</f>
        <v/>
      </c>
      <c r="Q445" s="9">
        <f>IF(OR(NOT(ISNUMBER($D445)),NOT(ISNUMBER($E445))),"",MAX(0,MIN($E445,SOIL_REPORTING_DEPTH_CM)-MIN($D445,SOIL_REPORTING_DEPTH_CM)))</f>
        <v/>
      </c>
      <c r="R445" s="9">
        <f>IF(OR(NOT(ISNUMBER($O445)),NOT(ISNUMBER($N445)),NOT(ISNUMBER($Q445))),"",$O445*($N445/100)*$Q445*10)</f>
        <v/>
      </c>
      <c r="S445" s="11">
        <f>IF(AND($A445="",$B445="",$D445=""),"",IF(AND($A445&lt;&gt;"",COUNTIF('1. Plot &amp; Site Log'!$A$5:$A$64,$A445)=0),"Plot ID not in the Plot &amp; Site Log. ","")&amp;IF(AND(ISNUMBER($D445),ISNUMBER($E445),$E445&lt;=$D445),"Bottom depth is not below top depth. ","")&amp;IF($L445="Not confirmed","Bulk-density basis not confirmed with the lab — the coarse-fragment correction may be wrong or doubled. ","")&amp;IF(AND(ISNUMBER($M445),OR($M445&lt;QC_BD_MIN,$M445&gt;QC_BD_MAX)),"Bulk density outside the plausible range for a mineral grassland soil. ","")&amp;IF(AND(ISNUMBER($N445),$N445&gt;QC_CARBON_PCT_MAX),"Organic carbon above the QC ceiling — check units, and whether this is an organic horizon. ","")&amp;IF(AND(ISNUMBER($J445),$J445&lt;QC_RECOVERY_MIN),"Recovered less than the QC minimum of the depth driven — the increments may not sit where you think. Do NOT stretch them back out. ","")&amp;IF(AND(ISNUMBER($K445),$K445&gt;0,$L445="Fine earth / total volume"),"Coarse fragments recorded and the lab basis already accounts for them — no further correction applied, which is correct. ",""))</f>
        <v/>
      </c>
      <c r="T445" s="6" t="n"/>
      <c r="U445" s="9">
        <f>IF($B445="",0,IF(COUNTIFS($B$5:$B445,$B445)=1,1,0))</f>
        <v/>
      </c>
    </row>
    <row r="446">
      <c r="A446" s="6" t="n"/>
      <c r="B446" s="6" t="n"/>
      <c r="C446" s="6" t="n"/>
      <c r="D446" s="6" t="n"/>
      <c r="E446" s="6" t="n"/>
      <c r="F446" s="9">
        <f>IF(OR($D446="",$E446=""),"",$E446-$D446)</f>
        <v/>
      </c>
      <c r="G446" s="6" t="n"/>
      <c r="H446" s="6" t="n"/>
      <c r="I446" s="6" t="n"/>
      <c r="J446" s="9">
        <f>IF(OR(NOT(ISNUMBER($H446)),NOT(ISNUMBER($I446)),$H446=0),"",$I446/$H446)</f>
        <v/>
      </c>
      <c r="K446" s="6" t="n"/>
      <c r="L446" s="8" t="n"/>
      <c r="M446" s="7" t="n"/>
      <c r="N446" s="7" t="n"/>
      <c r="O446" s="9">
        <f>IF(NOT(ISNUMBER($M446)),"",IF($L446="Fine earth / fine-earth volume",$M446*(1-IF(ISNUMBER($K446),$K446,0)/100),$M446))</f>
        <v/>
      </c>
      <c r="P446" s="9">
        <f>IF(OR(NOT(ISNUMBER($O446)),NOT(ISNUMBER($N446)),NOT(ISNUMBER($F446))),"",$O446*($N446/100)*$F446*10)</f>
        <v/>
      </c>
      <c r="Q446" s="9">
        <f>IF(OR(NOT(ISNUMBER($D446)),NOT(ISNUMBER($E446))),"",MAX(0,MIN($E446,SOIL_REPORTING_DEPTH_CM)-MIN($D446,SOIL_REPORTING_DEPTH_CM)))</f>
        <v/>
      </c>
      <c r="R446" s="9">
        <f>IF(OR(NOT(ISNUMBER($O446)),NOT(ISNUMBER($N446)),NOT(ISNUMBER($Q446))),"",$O446*($N446/100)*$Q446*10)</f>
        <v/>
      </c>
      <c r="S446" s="11">
        <f>IF(AND($A446="",$B446="",$D446=""),"",IF(AND($A446&lt;&gt;"",COUNTIF('1. Plot &amp; Site Log'!$A$5:$A$64,$A446)=0),"Plot ID not in the Plot &amp; Site Log. ","")&amp;IF(AND(ISNUMBER($D446),ISNUMBER($E446),$E446&lt;=$D446),"Bottom depth is not below top depth. ","")&amp;IF($L446="Not confirmed","Bulk-density basis not confirmed with the lab — the coarse-fragment correction may be wrong or doubled. ","")&amp;IF(AND(ISNUMBER($M446),OR($M446&lt;QC_BD_MIN,$M446&gt;QC_BD_MAX)),"Bulk density outside the plausible range for a mineral grassland soil. ","")&amp;IF(AND(ISNUMBER($N446),$N446&gt;QC_CARBON_PCT_MAX),"Organic carbon above the QC ceiling — check units, and whether this is an organic horizon. ","")&amp;IF(AND(ISNUMBER($J446),$J446&lt;QC_RECOVERY_MIN),"Recovered less than the QC minimum of the depth driven — the increments may not sit where you think. Do NOT stretch them back out. ","")&amp;IF(AND(ISNUMBER($K446),$K446&gt;0,$L446="Fine earth / total volume"),"Coarse fragments recorded and the lab basis already accounts for them — no further correction applied, which is correct. ",""))</f>
        <v/>
      </c>
      <c r="T446" s="6" t="n"/>
      <c r="U446" s="9">
        <f>IF($B446="",0,IF(COUNTIFS($B$5:$B446,$B446)=1,1,0))</f>
        <v/>
      </c>
    </row>
    <row r="447">
      <c r="A447" s="6" t="n"/>
      <c r="B447" s="6" t="n"/>
      <c r="C447" s="6" t="n"/>
      <c r="D447" s="6" t="n"/>
      <c r="E447" s="6" t="n"/>
      <c r="F447" s="9">
        <f>IF(OR($D447="",$E447=""),"",$E447-$D447)</f>
        <v/>
      </c>
      <c r="G447" s="6" t="n"/>
      <c r="H447" s="6" t="n"/>
      <c r="I447" s="6" t="n"/>
      <c r="J447" s="9">
        <f>IF(OR(NOT(ISNUMBER($H447)),NOT(ISNUMBER($I447)),$H447=0),"",$I447/$H447)</f>
        <v/>
      </c>
      <c r="K447" s="6" t="n"/>
      <c r="L447" s="8" t="n"/>
      <c r="M447" s="7" t="n"/>
      <c r="N447" s="7" t="n"/>
      <c r="O447" s="9">
        <f>IF(NOT(ISNUMBER($M447)),"",IF($L447="Fine earth / fine-earth volume",$M447*(1-IF(ISNUMBER($K447),$K447,0)/100),$M447))</f>
        <v/>
      </c>
      <c r="P447" s="9">
        <f>IF(OR(NOT(ISNUMBER($O447)),NOT(ISNUMBER($N447)),NOT(ISNUMBER($F447))),"",$O447*($N447/100)*$F447*10)</f>
        <v/>
      </c>
      <c r="Q447" s="9">
        <f>IF(OR(NOT(ISNUMBER($D447)),NOT(ISNUMBER($E447))),"",MAX(0,MIN($E447,SOIL_REPORTING_DEPTH_CM)-MIN($D447,SOIL_REPORTING_DEPTH_CM)))</f>
        <v/>
      </c>
      <c r="R447" s="9">
        <f>IF(OR(NOT(ISNUMBER($O447)),NOT(ISNUMBER($N447)),NOT(ISNUMBER($Q447))),"",$O447*($N447/100)*$Q447*10)</f>
        <v/>
      </c>
      <c r="S447" s="11">
        <f>IF(AND($A447="",$B447="",$D447=""),"",IF(AND($A447&lt;&gt;"",COUNTIF('1. Plot &amp; Site Log'!$A$5:$A$64,$A447)=0),"Plot ID not in the Plot &amp; Site Log. ","")&amp;IF(AND(ISNUMBER($D447),ISNUMBER($E447),$E447&lt;=$D447),"Bottom depth is not below top depth. ","")&amp;IF($L447="Not confirmed","Bulk-density basis not confirmed with the lab — the coarse-fragment correction may be wrong or doubled. ","")&amp;IF(AND(ISNUMBER($M447),OR($M447&lt;QC_BD_MIN,$M447&gt;QC_BD_MAX)),"Bulk density outside the plausible range for a mineral grassland soil. ","")&amp;IF(AND(ISNUMBER($N447),$N447&gt;QC_CARBON_PCT_MAX),"Organic carbon above the QC ceiling — check units, and whether this is an organic horizon. ","")&amp;IF(AND(ISNUMBER($J447),$J447&lt;QC_RECOVERY_MIN),"Recovered less than the QC minimum of the depth driven — the increments may not sit where you think. Do NOT stretch them back out. ","")&amp;IF(AND(ISNUMBER($K447),$K447&gt;0,$L447="Fine earth / total volume"),"Coarse fragments recorded and the lab basis already accounts for them — no further correction applied, which is correct. ",""))</f>
        <v/>
      </c>
      <c r="T447" s="6" t="n"/>
      <c r="U447" s="9">
        <f>IF($B447="",0,IF(COUNTIFS($B$5:$B447,$B447)=1,1,0))</f>
        <v/>
      </c>
    </row>
    <row r="448">
      <c r="A448" s="6" t="n"/>
      <c r="B448" s="6" t="n"/>
      <c r="C448" s="6" t="n"/>
      <c r="D448" s="6" t="n"/>
      <c r="E448" s="6" t="n"/>
      <c r="F448" s="9">
        <f>IF(OR($D448="",$E448=""),"",$E448-$D448)</f>
        <v/>
      </c>
      <c r="G448" s="6" t="n"/>
      <c r="H448" s="6" t="n"/>
      <c r="I448" s="6" t="n"/>
      <c r="J448" s="9">
        <f>IF(OR(NOT(ISNUMBER($H448)),NOT(ISNUMBER($I448)),$H448=0),"",$I448/$H448)</f>
        <v/>
      </c>
      <c r="K448" s="6" t="n"/>
      <c r="L448" s="8" t="n"/>
      <c r="M448" s="7" t="n"/>
      <c r="N448" s="7" t="n"/>
      <c r="O448" s="9">
        <f>IF(NOT(ISNUMBER($M448)),"",IF($L448="Fine earth / fine-earth volume",$M448*(1-IF(ISNUMBER($K448),$K448,0)/100),$M448))</f>
        <v/>
      </c>
      <c r="P448" s="9">
        <f>IF(OR(NOT(ISNUMBER($O448)),NOT(ISNUMBER($N448)),NOT(ISNUMBER($F448))),"",$O448*($N448/100)*$F448*10)</f>
        <v/>
      </c>
      <c r="Q448" s="9">
        <f>IF(OR(NOT(ISNUMBER($D448)),NOT(ISNUMBER($E448))),"",MAX(0,MIN($E448,SOIL_REPORTING_DEPTH_CM)-MIN($D448,SOIL_REPORTING_DEPTH_CM)))</f>
        <v/>
      </c>
      <c r="R448" s="9">
        <f>IF(OR(NOT(ISNUMBER($O448)),NOT(ISNUMBER($N448)),NOT(ISNUMBER($Q448))),"",$O448*($N448/100)*$Q448*10)</f>
        <v/>
      </c>
      <c r="S448" s="11">
        <f>IF(AND($A448="",$B448="",$D448=""),"",IF(AND($A448&lt;&gt;"",COUNTIF('1. Plot &amp; Site Log'!$A$5:$A$64,$A448)=0),"Plot ID not in the Plot &amp; Site Log. ","")&amp;IF(AND(ISNUMBER($D448),ISNUMBER($E448),$E448&lt;=$D448),"Bottom depth is not below top depth. ","")&amp;IF($L448="Not confirmed","Bulk-density basis not confirmed with the lab — the coarse-fragment correction may be wrong or doubled. ","")&amp;IF(AND(ISNUMBER($M448),OR($M448&lt;QC_BD_MIN,$M448&gt;QC_BD_MAX)),"Bulk density outside the plausible range for a mineral grassland soil. ","")&amp;IF(AND(ISNUMBER($N448),$N448&gt;QC_CARBON_PCT_MAX),"Organic carbon above the QC ceiling — check units, and whether this is an organic horizon. ","")&amp;IF(AND(ISNUMBER($J448),$J448&lt;QC_RECOVERY_MIN),"Recovered less than the QC minimum of the depth driven — the increments may not sit where you think. Do NOT stretch them back out. ","")&amp;IF(AND(ISNUMBER($K448),$K448&gt;0,$L448="Fine earth / total volume"),"Coarse fragments recorded and the lab basis already accounts for them — no further correction applied, which is correct. ",""))</f>
        <v/>
      </c>
      <c r="T448" s="6" t="n"/>
      <c r="U448" s="9">
        <f>IF($B448="",0,IF(COUNTIFS($B$5:$B448,$B448)=1,1,0))</f>
        <v/>
      </c>
    </row>
    <row r="449">
      <c r="A449" s="6" t="n"/>
      <c r="B449" s="6" t="n"/>
      <c r="C449" s="6" t="n"/>
      <c r="D449" s="6" t="n"/>
      <c r="E449" s="6" t="n"/>
      <c r="F449" s="9">
        <f>IF(OR($D449="",$E449=""),"",$E449-$D449)</f>
        <v/>
      </c>
      <c r="G449" s="6" t="n"/>
      <c r="H449" s="6" t="n"/>
      <c r="I449" s="6" t="n"/>
      <c r="J449" s="9">
        <f>IF(OR(NOT(ISNUMBER($H449)),NOT(ISNUMBER($I449)),$H449=0),"",$I449/$H449)</f>
        <v/>
      </c>
      <c r="K449" s="6" t="n"/>
      <c r="L449" s="8" t="n"/>
      <c r="M449" s="7" t="n"/>
      <c r="N449" s="7" t="n"/>
      <c r="O449" s="9">
        <f>IF(NOT(ISNUMBER($M449)),"",IF($L449="Fine earth / fine-earth volume",$M449*(1-IF(ISNUMBER($K449),$K449,0)/100),$M449))</f>
        <v/>
      </c>
      <c r="P449" s="9">
        <f>IF(OR(NOT(ISNUMBER($O449)),NOT(ISNUMBER($N449)),NOT(ISNUMBER($F449))),"",$O449*($N449/100)*$F449*10)</f>
        <v/>
      </c>
      <c r="Q449" s="9">
        <f>IF(OR(NOT(ISNUMBER($D449)),NOT(ISNUMBER($E449))),"",MAX(0,MIN($E449,SOIL_REPORTING_DEPTH_CM)-MIN($D449,SOIL_REPORTING_DEPTH_CM)))</f>
        <v/>
      </c>
      <c r="R449" s="9">
        <f>IF(OR(NOT(ISNUMBER($O449)),NOT(ISNUMBER($N449)),NOT(ISNUMBER($Q449))),"",$O449*($N449/100)*$Q449*10)</f>
        <v/>
      </c>
      <c r="S449" s="11">
        <f>IF(AND($A449="",$B449="",$D449=""),"",IF(AND($A449&lt;&gt;"",COUNTIF('1. Plot &amp; Site Log'!$A$5:$A$64,$A449)=0),"Plot ID not in the Plot &amp; Site Log. ","")&amp;IF(AND(ISNUMBER($D449),ISNUMBER($E449),$E449&lt;=$D449),"Bottom depth is not below top depth. ","")&amp;IF($L449="Not confirmed","Bulk-density basis not confirmed with the lab — the coarse-fragment correction may be wrong or doubled. ","")&amp;IF(AND(ISNUMBER($M449),OR($M449&lt;QC_BD_MIN,$M449&gt;QC_BD_MAX)),"Bulk density outside the plausible range for a mineral grassland soil. ","")&amp;IF(AND(ISNUMBER($N449),$N449&gt;QC_CARBON_PCT_MAX),"Organic carbon above the QC ceiling — check units, and whether this is an organic horizon. ","")&amp;IF(AND(ISNUMBER($J449),$J449&lt;QC_RECOVERY_MIN),"Recovered less than the QC minimum of the depth driven — the increments may not sit where you think. Do NOT stretch them back out. ","")&amp;IF(AND(ISNUMBER($K449),$K449&gt;0,$L449="Fine earth / total volume"),"Coarse fragments recorded and the lab basis already accounts for them — no further correction applied, which is correct. ",""))</f>
        <v/>
      </c>
      <c r="T449" s="6" t="n"/>
      <c r="U449" s="9">
        <f>IF($B449="",0,IF(COUNTIFS($B$5:$B449,$B449)=1,1,0))</f>
        <v/>
      </c>
    </row>
    <row r="450">
      <c r="A450" s="6" t="n"/>
      <c r="B450" s="6" t="n"/>
      <c r="C450" s="6" t="n"/>
      <c r="D450" s="6" t="n"/>
      <c r="E450" s="6" t="n"/>
      <c r="F450" s="9">
        <f>IF(OR($D450="",$E450=""),"",$E450-$D450)</f>
        <v/>
      </c>
      <c r="G450" s="6" t="n"/>
      <c r="H450" s="6" t="n"/>
      <c r="I450" s="6" t="n"/>
      <c r="J450" s="9">
        <f>IF(OR(NOT(ISNUMBER($H450)),NOT(ISNUMBER($I450)),$H450=0),"",$I450/$H450)</f>
        <v/>
      </c>
      <c r="K450" s="6" t="n"/>
      <c r="L450" s="8" t="n"/>
      <c r="M450" s="7" t="n"/>
      <c r="N450" s="7" t="n"/>
      <c r="O450" s="9">
        <f>IF(NOT(ISNUMBER($M450)),"",IF($L450="Fine earth / fine-earth volume",$M450*(1-IF(ISNUMBER($K450),$K450,0)/100),$M450))</f>
        <v/>
      </c>
      <c r="P450" s="9">
        <f>IF(OR(NOT(ISNUMBER($O450)),NOT(ISNUMBER($N450)),NOT(ISNUMBER($F450))),"",$O450*($N450/100)*$F450*10)</f>
        <v/>
      </c>
      <c r="Q450" s="9">
        <f>IF(OR(NOT(ISNUMBER($D450)),NOT(ISNUMBER($E450))),"",MAX(0,MIN($E450,SOIL_REPORTING_DEPTH_CM)-MIN($D450,SOIL_REPORTING_DEPTH_CM)))</f>
        <v/>
      </c>
      <c r="R450" s="9">
        <f>IF(OR(NOT(ISNUMBER($O450)),NOT(ISNUMBER($N450)),NOT(ISNUMBER($Q450))),"",$O450*($N450/100)*$Q450*10)</f>
        <v/>
      </c>
      <c r="S450" s="11">
        <f>IF(AND($A450="",$B450="",$D450=""),"",IF(AND($A450&lt;&gt;"",COUNTIF('1. Plot &amp; Site Log'!$A$5:$A$64,$A450)=0),"Plot ID not in the Plot &amp; Site Log. ","")&amp;IF(AND(ISNUMBER($D450),ISNUMBER($E450),$E450&lt;=$D450),"Bottom depth is not below top depth. ","")&amp;IF($L450="Not confirmed","Bulk-density basis not confirmed with the lab — the coarse-fragment correction may be wrong or doubled. ","")&amp;IF(AND(ISNUMBER($M450),OR($M450&lt;QC_BD_MIN,$M450&gt;QC_BD_MAX)),"Bulk density outside the plausible range for a mineral grassland soil. ","")&amp;IF(AND(ISNUMBER($N450),$N450&gt;QC_CARBON_PCT_MAX),"Organic carbon above the QC ceiling — check units, and whether this is an organic horizon. ","")&amp;IF(AND(ISNUMBER($J450),$J450&lt;QC_RECOVERY_MIN),"Recovered less than the QC minimum of the depth driven — the increments may not sit where you think. Do NOT stretch them back out. ","")&amp;IF(AND(ISNUMBER($K450),$K450&gt;0,$L450="Fine earth / total volume"),"Coarse fragments recorded and the lab basis already accounts for them — no further correction applied, which is correct. ",""))</f>
        <v/>
      </c>
      <c r="T450" s="6" t="n"/>
      <c r="U450" s="9">
        <f>IF($B450="",0,IF(COUNTIFS($B$5:$B450,$B450)=1,1,0))</f>
        <v/>
      </c>
    </row>
    <row r="451">
      <c r="A451" s="6" t="n"/>
      <c r="B451" s="6" t="n"/>
      <c r="C451" s="6" t="n"/>
      <c r="D451" s="6" t="n"/>
      <c r="E451" s="6" t="n"/>
      <c r="F451" s="9">
        <f>IF(OR($D451="",$E451=""),"",$E451-$D451)</f>
        <v/>
      </c>
      <c r="G451" s="6" t="n"/>
      <c r="H451" s="6" t="n"/>
      <c r="I451" s="6" t="n"/>
      <c r="J451" s="9">
        <f>IF(OR(NOT(ISNUMBER($H451)),NOT(ISNUMBER($I451)),$H451=0),"",$I451/$H451)</f>
        <v/>
      </c>
      <c r="K451" s="6" t="n"/>
      <c r="L451" s="8" t="n"/>
      <c r="M451" s="7" t="n"/>
      <c r="N451" s="7" t="n"/>
      <c r="O451" s="9">
        <f>IF(NOT(ISNUMBER($M451)),"",IF($L451="Fine earth / fine-earth volume",$M451*(1-IF(ISNUMBER($K451),$K451,0)/100),$M451))</f>
        <v/>
      </c>
      <c r="P451" s="9">
        <f>IF(OR(NOT(ISNUMBER($O451)),NOT(ISNUMBER($N451)),NOT(ISNUMBER($F451))),"",$O451*($N451/100)*$F451*10)</f>
        <v/>
      </c>
      <c r="Q451" s="9">
        <f>IF(OR(NOT(ISNUMBER($D451)),NOT(ISNUMBER($E451))),"",MAX(0,MIN($E451,SOIL_REPORTING_DEPTH_CM)-MIN($D451,SOIL_REPORTING_DEPTH_CM)))</f>
        <v/>
      </c>
      <c r="R451" s="9">
        <f>IF(OR(NOT(ISNUMBER($O451)),NOT(ISNUMBER($N451)),NOT(ISNUMBER($Q451))),"",$O451*($N451/100)*$Q451*10)</f>
        <v/>
      </c>
      <c r="S451" s="11">
        <f>IF(AND($A451="",$B451="",$D451=""),"",IF(AND($A451&lt;&gt;"",COUNTIF('1. Plot &amp; Site Log'!$A$5:$A$64,$A451)=0),"Plot ID not in the Plot &amp; Site Log. ","")&amp;IF(AND(ISNUMBER($D451),ISNUMBER($E451),$E451&lt;=$D451),"Bottom depth is not below top depth. ","")&amp;IF($L451="Not confirmed","Bulk-density basis not confirmed with the lab — the coarse-fragment correction may be wrong or doubled. ","")&amp;IF(AND(ISNUMBER($M451),OR($M451&lt;QC_BD_MIN,$M451&gt;QC_BD_MAX)),"Bulk density outside the plausible range for a mineral grassland soil. ","")&amp;IF(AND(ISNUMBER($N451),$N451&gt;QC_CARBON_PCT_MAX),"Organic carbon above the QC ceiling — check units, and whether this is an organic horizon. ","")&amp;IF(AND(ISNUMBER($J451),$J451&lt;QC_RECOVERY_MIN),"Recovered less than the QC minimum of the depth driven — the increments may not sit where you think. Do NOT stretch them back out. ","")&amp;IF(AND(ISNUMBER($K451),$K451&gt;0,$L451="Fine earth / total volume"),"Coarse fragments recorded and the lab basis already accounts for them — no further correction applied, which is correct. ",""))</f>
        <v/>
      </c>
      <c r="T451" s="6" t="n"/>
      <c r="U451" s="9">
        <f>IF($B451="",0,IF(COUNTIFS($B$5:$B451,$B451)=1,1,0))</f>
        <v/>
      </c>
    </row>
    <row r="452">
      <c r="A452" s="6" t="n"/>
      <c r="B452" s="6" t="n"/>
      <c r="C452" s="6" t="n"/>
      <c r="D452" s="6" t="n"/>
      <c r="E452" s="6" t="n"/>
      <c r="F452" s="9">
        <f>IF(OR($D452="",$E452=""),"",$E452-$D452)</f>
        <v/>
      </c>
      <c r="G452" s="6" t="n"/>
      <c r="H452" s="6" t="n"/>
      <c r="I452" s="6" t="n"/>
      <c r="J452" s="9">
        <f>IF(OR(NOT(ISNUMBER($H452)),NOT(ISNUMBER($I452)),$H452=0),"",$I452/$H452)</f>
        <v/>
      </c>
      <c r="K452" s="6" t="n"/>
      <c r="L452" s="8" t="n"/>
      <c r="M452" s="7" t="n"/>
      <c r="N452" s="7" t="n"/>
      <c r="O452" s="9">
        <f>IF(NOT(ISNUMBER($M452)),"",IF($L452="Fine earth / fine-earth volume",$M452*(1-IF(ISNUMBER($K452),$K452,0)/100),$M452))</f>
        <v/>
      </c>
      <c r="P452" s="9">
        <f>IF(OR(NOT(ISNUMBER($O452)),NOT(ISNUMBER($N452)),NOT(ISNUMBER($F452))),"",$O452*($N452/100)*$F452*10)</f>
        <v/>
      </c>
      <c r="Q452" s="9">
        <f>IF(OR(NOT(ISNUMBER($D452)),NOT(ISNUMBER($E452))),"",MAX(0,MIN($E452,SOIL_REPORTING_DEPTH_CM)-MIN($D452,SOIL_REPORTING_DEPTH_CM)))</f>
        <v/>
      </c>
      <c r="R452" s="9">
        <f>IF(OR(NOT(ISNUMBER($O452)),NOT(ISNUMBER($N452)),NOT(ISNUMBER($Q452))),"",$O452*($N452/100)*$Q452*10)</f>
        <v/>
      </c>
      <c r="S452" s="11">
        <f>IF(AND($A452="",$B452="",$D452=""),"",IF(AND($A452&lt;&gt;"",COUNTIF('1. Plot &amp; Site Log'!$A$5:$A$64,$A452)=0),"Plot ID not in the Plot &amp; Site Log. ","")&amp;IF(AND(ISNUMBER($D452),ISNUMBER($E452),$E452&lt;=$D452),"Bottom depth is not below top depth. ","")&amp;IF($L452="Not confirmed","Bulk-density basis not confirmed with the lab — the coarse-fragment correction may be wrong or doubled. ","")&amp;IF(AND(ISNUMBER($M452),OR($M452&lt;QC_BD_MIN,$M452&gt;QC_BD_MAX)),"Bulk density outside the plausible range for a mineral grassland soil. ","")&amp;IF(AND(ISNUMBER($N452),$N452&gt;QC_CARBON_PCT_MAX),"Organic carbon above the QC ceiling — check units, and whether this is an organic horizon. ","")&amp;IF(AND(ISNUMBER($J452),$J452&lt;QC_RECOVERY_MIN),"Recovered less than the QC minimum of the depth driven — the increments may not sit where you think. Do NOT stretch them back out. ","")&amp;IF(AND(ISNUMBER($K452),$K452&gt;0,$L452="Fine earth / total volume"),"Coarse fragments recorded and the lab basis already accounts for them — no further correction applied, which is correct. ",""))</f>
        <v/>
      </c>
      <c r="T452" s="6" t="n"/>
      <c r="U452" s="9">
        <f>IF($B452="",0,IF(COUNTIFS($B$5:$B452,$B452)=1,1,0))</f>
        <v/>
      </c>
    </row>
    <row r="453">
      <c r="A453" s="6" t="n"/>
      <c r="B453" s="6" t="n"/>
      <c r="C453" s="6" t="n"/>
      <c r="D453" s="6" t="n"/>
      <c r="E453" s="6" t="n"/>
      <c r="F453" s="9">
        <f>IF(OR($D453="",$E453=""),"",$E453-$D453)</f>
        <v/>
      </c>
      <c r="G453" s="6" t="n"/>
      <c r="H453" s="6" t="n"/>
      <c r="I453" s="6" t="n"/>
      <c r="J453" s="9">
        <f>IF(OR(NOT(ISNUMBER($H453)),NOT(ISNUMBER($I453)),$H453=0),"",$I453/$H453)</f>
        <v/>
      </c>
      <c r="K453" s="6" t="n"/>
      <c r="L453" s="8" t="n"/>
      <c r="M453" s="7" t="n"/>
      <c r="N453" s="7" t="n"/>
      <c r="O453" s="9">
        <f>IF(NOT(ISNUMBER($M453)),"",IF($L453="Fine earth / fine-earth volume",$M453*(1-IF(ISNUMBER($K453),$K453,0)/100),$M453))</f>
        <v/>
      </c>
      <c r="P453" s="9">
        <f>IF(OR(NOT(ISNUMBER($O453)),NOT(ISNUMBER($N453)),NOT(ISNUMBER($F453))),"",$O453*($N453/100)*$F453*10)</f>
        <v/>
      </c>
      <c r="Q453" s="9">
        <f>IF(OR(NOT(ISNUMBER($D453)),NOT(ISNUMBER($E453))),"",MAX(0,MIN($E453,SOIL_REPORTING_DEPTH_CM)-MIN($D453,SOIL_REPORTING_DEPTH_CM)))</f>
        <v/>
      </c>
      <c r="R453" s="9">
        <f>IF(OR(NOT(ISNUMBER($O453)),NOT(ISNUMBER($N453)),NOT(ISNUMBER($Q453))),"",$O453*($N453/100)*$Q453*10)</f>
        <v/>
      </c>
      <c r="S453" s="11">
        <f>IF(AND($A453="",$B453="",$D453=""),"",IF(AND($A453&lt;&gt;"",COUNTIF('1. Plot &amp; Site Log'!$A$5:$A$64,$A453)=0),"Plot ID not in the Plot &amp; Site Log. ","")&amp;IF(AND(ISNUMBER($D453),ISNUMBER($E453),$E453&lt;=$D453),"Bottom depth is not below top depth. ","")&amp;IF($L453="Not confirmed","Bulk-density basis not confirmed with the lab — the coarse-fragment correction may be wrong or doubled. ","")&amp;IF(AND(ISNUMBER($M453),OR($M453&lt;QC_BD_MIN,$M453&gt;QC_BD_MAX)),"Bulk density outside the plausible range for a mineral grassland soil. ","")&amp;IF(AND(ISNUMBER($N453),$N453&gt;QC_CARBON_PCT_MAX),"Organic carbon above the QC ceiling — check units, and whether this is an organic horizon. ","")&amp;IF(AND(ISNUMBER($J453),$J453&lt;QC_RECOVERY_MIN),"Recovered less than the QC minimum of the depth driven — the increments may not sit where you think. Do NOT stretch them back out. ","")&amp;IF(AND(ISNUMBER($K453),$K453&gt;0,$L453="Fine earth / total volume"),"Coarse fragments recorded and the lab basis already accounts for them — no further correction applied, which is correct. ",""))</f>
        <v/>
      </c>
      <c r="T453" s="6" t="n"/>
      <c r="U453" s="9">
        <f>IF($B453="",0,IF(COUNTIFS($B$5:$B453,$B453)=1,1,0))</f>
        <v/>
      </c>
    </row>
    <row r="454">
      <c r="A454" s="6" t="n"/>
      <c r="B454" s="6" t="n"/>
      <c r="C454" s="6" t="n"/>
      <c r="D454" s="6" t="n"/>
      <c r="E454" s="6" t="n"/>
      <c r="F454" s="9">
        <f>IF(OR($D454="",$E454=""),"",$E454-$D454)</f>
        <v/>
      </c>
      <c r="G454" s="6" t="n"/>
      <c r="H454" s="6" t="n"/>
      <c r="I454" s="6" t="n"/>
      <c r="J454" s="9">
        <f>IF(OR(NOT(ISNUMBER($H454)),NOT(ISNUMBER($I454)),$H454=0),"",$I454/$H454)</f>
        <v/>
      </c>
      <c r="K454" s="6" t="n"/>
      <c r="L454" s="8" t="n"/>
      <c r="M454" s="7" t="n"/>
      <c r="N454" s="7" t="n"/>
      <c r="O454" s="9">
        <f>IF(NOT(ISNUMBER($M454)),"",IF($L454="Fine earth / fine-earth volume",$M454*(1-IF(ISNUMBER($K454),$K454,0)/100),$M454))</f>
        <v/>
      </c>
      <c r="P454" s="9">
        <f>IF(OR(NOT(ISNUMBER($O454)),NOT(ISNUMBER($N454)),NOT(ISNUMBER($F454))),"",$O454*($N454/100)*$F454*10)</f>
        <v/>
      </c>
      <c r="Q454" s="9">
        <f>IF(OR(NOT(ISNUMBER($D454)),NOT(ISNUMBER($E454))),"",MAX(0,MIN($E454,SOIL_REPORTING_DEPTH_CM)-MIN($D454,SOIL_REPORTING_DEPTH_CM)))</f>
        <v/>
      </c>
      <c r="R454" s="9">
        <f>IF(OR(NOT(ISNUMBER($O454)),NOT(ISNUMBER($N454)),NOT(ISNUMBER($Q454))),"",$O454*($N454/100)*$Q454*10)</f>
        <v/>
      </c>
      <c r="S454" s="11">
        <f>IF(AND($A454="",$B454="",$D454=""),"",IF(AND($A454&lt;&gt;"",COUNTIF('1. Plot &amp; Site Log'!$A$5:$A$64,$A454)=0),"Plot ID not in the Plot &amp; Site Log. ","")&amp;IF(AND(ISNUMBER($D454),ISNUMBER($E454),$E454&lt;=$D454),"Bottom depth is not below top depth. ","")&amp;IF($L454="Not confirmed","Bulk-density basis not confirmed with the lab — the coarse-fragment correction may be wrong or doubled. ","")&amp;IF(AND(ISNUMBER($M454),OR($M454&lt;QC_BD_MIN,$M454&gt;QC_BD_MAX)),"Bulk density outside the plausible range for a mineral grassland soil. ","")&amp;IF(AND(ISNUMBER($N454),$N454&gt;QC_CARBON_PCT_MAX),"Organic carbon above the QC ceiling — check units, and whether this is an organic horizon. ","")&amp;IF(AND(ISNUMBER($J454),$J454&lt;QC_RECOVERY_MIN),"Recovered less than the QC minimum of the depth driven — the increments may not sit where you think. Do NOT stretch them back out. ","")&amp;IF(AND(ISNUMBER($K454),$K454&gt;0,$L454="Fine earth / total volume"),"Coarse fragments recorded and the lab basis already accounts for them — no further correction applied, which is correct. ",""))</f>
        <v/>
      </c>
      <c r="T454" s="6" t="n"/>
      <c r="U454" s="9">
        <f>IF($B454="",0,IF(COUNTIFS($B$5:$B454,$B454)=1,1,0))</f>
        <v/>
      </c>
    </row>
    <row r="455">
      <c r="A455" s="6" t="n"/>
      <c r="B455" s="6" t="n"/>
      <c r="C455" s="6" t="n"/>
      <c r="D455" s="6" t="n"/>
      <c r="E455" s="6" t="n"/>
      <c r="F455" s="9">
        <f>IF(OR($D455="",$E455=""),"",$E455-$D455)</f>
        <v/>
      </c>
      <c r="G455" s="6" t="n"/>
      <c r="H455" s="6" t="n"/>
      <c r="I455" s="6" t="n"/>
      <c r="J455" s="9">
        <f>IF(OR(NOT(ISNUMBER($H455)),NOT(ISNUMBER($I455)),$H455=0),"",$I455/$H455)</f>
        <v/>
      </c>
      <c r="K455" s="6" t="n"/>
      <c r="L455" s="8" t="n"/>
      <c r="M455" s="7" t="n"/>
      <c r="N455" s="7" t="n"/>
      <c r="O455" s="9">
        <f>IF(NOT(ISNUMBER($M455)),"",IF($L455="Fine earth / fine-earth volume",$M455*(1-IF(ISNUMBER($K455),$K455,0)/100),$M455))</f>
        <v/>
      </c>
      <c r="P455" s="9">
        <f>IF(OR(NOT(ISNUMBER($O455)),NOT(ISNUMBER($N455)),NOT(ISNUMBER($F455))),"",$O455*($N455/100)*$F455*10)</f>
        <v/>
      </c>
      <c r="Q455" s="9">
        <f>IF(OR(NOT(ISNUMBER($D455)),NOT(ISNUMBER($E455))),"",MAX(0,MIN($E455,SOIL_REPORTING_DEPTH_CM)-MIN($D455,SOIL_REPORTING_DEPTH_CM)))</f>
        <v/>
      </c>
      <c r="R455" s="9">
        <f>IF(OR(NOT(ISNUMBER($O455)),NOT(ISNUMBER($N455)),NOT(ISNUMBER($Q455))),"",$O455*($N455/100)*$Q455*10)</f>
        <v/>
      </c>
      <c r="S455" s="11">
        <f>IF(AND($A455="",$B455="",$D455=""),"",IF(AND($A455&lt;&gt;"",COUNTIF('1. Plot &amp; Site Log'!$A$5:$A$64,$A455)=0),"Plot ID not in the Plot &amp; Site Log. ","")&amp;IF(AND(ISNUMBER($D455),ISNUMBER($E455),$E455&lt;=$D455),"Bottom depth is not below top depth. ","")&amp;IF($L455="Not confirmed","Bulk-density basis not confirmed with the lab — the coarse-fragment correction may be wrong or doubled. ","")&amp;IF(AND(ISNUMBER($M455),OR($M455&lt;QC_BD_MIN,$M455&gt;QC_BD_MAX)),"Bulk density outside the plausible range for a mineral grassland soil. ","")&amp;IF(AND(ISNUMBER($N455),$N455&gt;QC_CARBON_PCT_MAX),"Organic carbon above the QC ceiling — check units, and whether this is an organic horizon. ","")&amp;IF(AND(ISNUMBER($J455),$J455&lt;QC_RECOVERY_MIN),"Recovered less than the QC minimum of the depth driven — the increments may not sit where you think. Do NOT stretch them back out. ","")&amp;IF(AND(ISNUMBER($K455),$K455&gt;0,$L455="Fine earth / total volume"),"Coarse fragments recorded and the lab basis already accounts for them — no further correction applied, which is correct. ",""))</f>
        <v/>
      </c>
      <c r="T455" s="6" t="n"/>
      <c r="U455" s="9">
        <f>IF($B455="",0,IF(COUNTIFS($B$5:$B455,$B455)=1,1,0))</f>
        <v/>
      </c>
    </row>
    <row r="456">
      <c r="A456" s="6" t="n"/>
      <c r="B456" s="6" t="n"/>
      <c r="C456" s="6" t="n"/>
      <c r="D456" s="6" t="n"/>
      <c r="E456" s="6" t="n"/>
      <c r="F456" s="9">
        <f>IF(OR($D456="",$E456=""),"",$E456-$D456)</f>
        <v/>
      </c>
      <c r="G456" s="6" t="n"/>
      <c r="H456" s="6" t="n"/>
      <c r="I456" s="6" t="n"/>
      <c r="J456" s="9">
        <f>IF(OR(NOT(ISNUMBER($H456)),NOT(ISNUMBER($I456)),$H456=0),"",$I456/$H456)</f>
        <v/>
      </c>
      <c r="K456" s="6" t="n"/>
      <c r="L456" s="8" t="n"/>
      <c r="M456" s="7" t="n"/>
      <c r="N456" s="7" t="n"/>
      <c r="O456" s="9">
        <f>IF(NOT(ISNUMBER($M456)),"",IF($L456="Fine earth / fine-earth volume",$M456*(1-IF(ISNUMBER($K456),$K456,0)/100),$M456))</f>
        <v/>
      </c>
      <c r="P456" s="9">
        <f>IF(OR(NOT(ISNUMBER($O456)),NOT(ISNUMBER($N456)),NOT(ISNUMBER($F456))),"",$O456*($N456/100)*$F456*10)</f>
        <v/>
      </c>
      <c r="Q456" s="9">
        <f>IF(OR(NOT(ISNUMBER($D456)),NOT(ISNUMBER($E456))),"",MAX(0,MIN($E456,SOIL_REPORTING_DEPTH_CM)-MIN($D456,SOIL_REPORTING_DEPTH_CM)))</f>
        <v/>
      </c>
      <c r="R456" s="9">
        <f>IF(OR(NOT(ISNUMBER($O456)),NOT(ISNUMBER($N456)),NOT(ISNUMBER($Q456))),"",$O456*($N456/100)*$Q456*10)</f>
        <v/>
      </c>
      <c r="S456" s="11">
        <f>IF(AND($A456="",$B456="",$D456=""),"",IF(AND($A456&lt;&gt;"",COUNTIF('1. Plot &amp; Site Log'!$A$5:$A$64,$A456)=0),"Plot ID not in the Plot &amp; Site Log. ","")&amp;IF(AND(ISNUMBER($D456),ISNUMBER($E456),$E456&lt;=$D456),"Bottom depth is not below top depth. ","")&amp;IF($L456="Not confirmed","Bulk-density basis not confirmed with the lab — the coarse-fragment correction may be wrong or doubled. ","")&amp;IF(AND(ISNUMBER($M456),OR($M456&lt;QC_BD_MIN,$M456&gt;QC_BD_MAX)),"Bulk density outside the plausible range for a mineral grassland soil. ","")&amp;IF(AND(ISNUMBER($N456),$N456&gt;QC_CARBON_PCT_MAX),"Organic carbon above the QC ceiling — check units, and whether this is an organic horizon. ","")&amp;IF(AND(ISNUMBER($J456),$J456&lt;QC_RECOVERY_MIN),"Recovered less than the QC minimum of the depth driven — the increments may not sit where you think. Do NOT stretch them back out. ","")&amp;IF(AND(ISNUMBER($K456),$K456&gt;0,$L456="Fine earth / total volume"),"Coarse fragments recorded and the lab basis already accounts for them — no further correction applied, which is correct. ",""))</f>
        <v/>
      </c>
      <c r="T456" s="6" t="n"/>
      <c r="U456" s="9">
        <f>IF($B456="",0,IF(COUNTIFS($B$5:$B456,$B456)=1,1,0))</f>
        <v/>
      </c>
    </row>
    <row r="457">
      <c r="A457" s="6" t="n"/>
      <c r="B457" s="6" t="n"/>
      <c r="C457" s="6" t="n"/>
      <c r="D457" s="6" t="n"/>
      <c r="E457" s="6" t="n"/>
      <c r="F457" s="9">
        <f>IF(OR($D457="",$E457=""),"",$E457-$D457)</f>
        <v/>
      </c>
      <c r="G457" s="6" t="n"/>
      <c r="H457" s="6" t="n"/>
      <c r="I457" s="6" t="n"/>
      <c r="J457" s="9">
        <f>IF(OR(NOT(ISNUMBER($H457)),NOT(ISNUMBER($I457)),$H457=0),"",$I457/$H457)</f>
        <v/>
      </c>
      <c r="K457" s="6" t="n"/>
      <c r="L457" s="8" t="n"/>
      <c r="M457" s="7" t="n"/>
      <c r="N457" s="7" t="n"/>
      <c r="O457" s="9">
        <f>IF(NOT(ISNUMBER($M457)),"",IF($L457="Fine earth / fine-earth volume",$M457*(1-IF(ISNUMBER($K457),$K457,0)/100),$M457))</f>
        <v/>
      </c>
      <c r="P457" s="9">
        <f>IF(OR(NOT(ISNUMBER($O457)),NOT(ISNUMBER($N457)),NOT(ISNUMBER($F457))),"",$O457*($N457/100)*$F457*10)</f>
        <v/>
      </c>
      <c r="Q457" s="9">
        <f>IF(OR(NOT(ISNUMBER($D457)),NOT(ISNUMBER($E457))),"",MAX(0,MIN($E457,SOIL_REPORTING_DEPTH_CM)-MIN($D457,SOIL_REPORTING_DEPTH_CM)))</f>
        <v/>
      </c>
      <c r="R457" s="9">
        <f>IF(OR(NOT(ISNUMBER($O457)),NOT(ISNUMBER($N457)),NOT(ISNUMBER($Q457))),"",$O457*($N457/100)*$Q457*10)</f>
        <v/>
      </c>
      <c r="S457" s="11">
        <f>IF(AND($A457="",$B457="",$D457=""),"",IF(AND($A457&lt;&gt;"",COUNTIF('1. Plot &amp; Site Log'!$A$5:$A$64,$A457)=0),"Plot ID not in the Plot &amp; Site Log. ","")&amp;IF(AND(ISNUMBER($D457),ISNUMBER($E457),$E457&lt;=$D457),"Bottom depth is not below top depth. ","")&amp;IF($L457="Not confirmed","Bulk-density basis not confirmed with the lab — the coarse-fragment correction may be wrong or doubled. ","")&amp;IF(AND(ISNUMBER($M457),OR($M457&lt;QC_BD_MIN,$M457&gt;QC_BD_MAX)),"Bulk density outside the plausible range for a mineral grassland soil. ","")&amp;IF(AND(ISNUMBER($N457),$N457&gt;QC_CARBON_PCT_MAX),"Organic carbon above the QC ceiling — check units, and whether this is an organic horizon. ","")&amp;IF(AND(ISNUMBER($J457),$J457&lt;QC_RECOVERY_MIN),"Recovered less than the QC minimum of the depth driven — the increments may not sit where you think. Do NOT stretch them back out. ","")&amp;IF(AND(ISNUMBER($K457),$K457&gt;0,$L457="Fine earth / total volume"),"Coarse fragments recorded and the lab basis already accounts for them — no further correction applied, which is correct. ",""))</f>
        <v/>
      </c>
      <c r="T457" s="6" t="n"/>
      <c r="U457" s="9">
        <f>IF($B457="",0,IF(COUNTIFS($B$5:$B457,$B457)=1,1,0))</f>
        <v/>
      </c>
    </row>
    <row r="458">
      <c r="A458" s="6" t="n"/>
      <c r="B458" s="6" t="n"/>
      <c r="C458" s="6" t="n"/>
      <c r="D458" s="6" t="n"/>
      <c r="E458" s="6" t="n"/>
      <c r="F458" s="9">
        <f>IF(OR($D458="",$E458=""),"",$E458-$D458)</f>
        <v/>
      </c>
      <c r="G458" s="6" t="n"/>
      <c r="H458" s="6" t="n"/>
      <c r="I458" s="6" t="n"/>
      <c r="J458" s="9">
        <f>IF(OR(NOT(ISNUMBER($H458)),NOT(ISNUMBER($I458)),$H458=0),"",$I458/$H458)</f>
        <v/>
      </c>
      <c r="K458" s="6" t="n"/>
      <c r="L458" s="8" t="n"/>
      <c r="M458" s="7" t="n"/>
      <c r="N458" s="7" t="n"/>
      <c r="O458" s="9">
        <f>IF(NOT(ISNUMBER($M458)),"",IF($L458="Fine earth / fine-earth volume",$M458*(1-IF(ISNUMBER($K458),$K458,0)/100),$M458))</f>
        <v/>
      </c>
      <c r="P458" s="9">
        <f>IF(OR(NOT(ISNUMBER($O458)),NOT(ISNUMBER($N458)),NOT(ISNUMBER($F458))),"",$O458*($N458/100)*$F458*10)</f>
        <v/>
      </c>
      <c r="Q458" s="9">
        <f>IF(OR(NOT(ISNUMBER($D458)),NOT(ISNUMBER($E458))),"",MAX(0,MIN($E458,SOIL_REPORTING_DEPTH_CM)-MIN($D458,SOIL_REPORTING_DEPTH_CM)))</f>
        <v/>
      </c>
      <c r="R458" s="9">
        <f>IF(OR(NOT(ISNUMBER($O458)),NOT(ISNUMBER($N458)),NOT(ISNUMBER($Q458))),"",$O458*($N458/100)*$Q458*10)</f>
        <v/>
      </c>
      <c r="S458" s="11">
        <f>IF(AND($A458="",$B458="",$D458=""),"",IF(AND($A458&lt;&gt;"",COUNTIF('1. Plot &amp; Site Log'!$A$5:$A$64,$A458)=0),"Plot ID not in the Plot &amp; Site Log. ","")&amp;IF(AND(ISNUMBER($D458),ISNUMBER($E458),$E458&lt;=$D458),"Bottom depth is not below top depth. ","")&amp;IF($L458="Not confirmed","Bulk-density basis not confirmed with the lab — the coarse-fragment correction may be wrong or doubled. ","")&amp;IF(AND(ISNUMBER($M458),OR($M458&lt;QC_BD_MIN,$M458&gt;QC_BD_MAX)),"Bulk density outside the plausible range for a mineral grassland soil. ","")&amp;IF(AND(ISNUMBER($N458),$N458&gt;QC_CARBON_PCT_MAX),"Organic carbon above the QC ceiling — check units, and whether this is an organic horizon. ","")&amp;IF(AND(ISNUMBER($J458),$J458&lt;QC_RECOVERY_MIN),"Recovered less than the QC minimum of the depth driven — the increments may not sit where you think. Do NOT stretch them back out. ","")&amp;IF(AND(ISNUMBER($K458),$K458&gt;0,$L458="Fine earth / total volume"),"Coarse fragments recorded and the lab basis already accounts for them — no further correction applied, which is correct. ",""))</f>
        <v/>
      </c>
      <c r="T458" s="6" t="n"/>
      <c r="U458" s="9">
        <f>IF($B458="",0,IF(COUNTIFS($B$5:$B458,$B458)=1,1,0))</f>
        <v/>
      </c>
    </row>
    <row r="459">
      <c r="A459" s="6" t="n"/>
      <c r="B459" s="6" t="n"/>
      <c r="C459" s="6" t="n"/>
      <c r="D459" s="6" t="n"/>
      <c r="E459" s="6" t="n"/>
      <c r="F459" s="9">
        <f>IF(OR($D459="",$E459=""),"",$E459-$D459)</f>
        <v/>
      </c>
      <c r="G459" s="6" t="n"/>
      <c r="H459" s="6" t="n"/>
      <c r="I459" s="6" t="n"/>
      <c r="J459" s="9">
        <f>IF(OR(NOT(ISNUMBER($H459)),NOT(ISNUMBER($I459)),$H459=0),"",$I459/$H459)</f>
        <v/>
      </c>
      <c r="K459" s="6" t="n"/>
      <c r="L459" s="8" t="n"/>
      <c r="M459" s="7" t="n"/>
      <c r="N459" s="7" t="n"/>
      <c r="O459" s="9">
        <f>IF(NOT(ISNUMBER($M459)),"",IF($L459="Fine earth / fine-earth volume",$M459*(1-IF(ISNUMBER($K459),$K459,0)/100),$M459))</f>
        <v/>
      </c>
      <c r="P459" s="9">
        <f>IF(OR(NOT(ISNUMBER($O459)),NOT(ISNUMBER($N459)),NOT(ISNUMBER($F459))),"",$O459*($N459/100)*$F459*10)</f>
        <v/>
      </c>
      <c r="Q459" s="9">
        <f>IF(OR(NOT(ISNUMBER($D459)),NOT(ISNUMBER($E459))),"",MAX(0,MIN($E459,SOIL_REPORTING_DEPTH_CM)-MIN($D459,SOIL_REPORTING_DEPTH_CM)))</f>
        <v/>
      </c>
      <c r="R459" s="9">
        <f>IF(OR(NOT(ISNUMBER($O459)),NOT(ISNUMBER($N459)),NOT(ISNUMBER($Q459))),"",$O459*($N459/100)*$Q459*10)</f>
        <v/>
      </c>
      <c r="S459" s="11">
        <f>IF(AND($A459="",$B459="",$D459=""),"",IF(AND($A459&lt;&gt;"",COUNTIF('1. Plot &amp; Site Log'!$A$5:$A$64,$A459)=0),"Plot ID not in the Plot &amp; Site Log. ","")&amp;IF(AND(ISNUMBER($D459),ISNUMBER($E459),$E459&lt;=$D459),"Bottom depth is not below top depth. ","")&amp;IF($L459="Not confirmed","Bulk-density basis not confirmed with the lab — the coarse-fragment correction may be wrong or doubled. ","")&amp;IF(AND(ISNUMBER($M459),OR($M459&lt;QC_BD_MIN,$M459&gt;QC_BD_MAX)),"Bulk density outside the plausible range for a mineral grassland soil. ","")&amp;IF(AND(ISNUMBER($N459),$N459&gt;QC_CARBON_PCT_MAX),"Organic carbon above the QC ceiling — check units, and whether this is an organic horizon. ","")&amp;IF(AND(ISNUMBER($J459),$J459&lt;QC_RECOVERY_MIN),"Recovered less than the QC minimum of the depth driven — the increments may not sit where you think. Do NOT stretch them back out. ","")&amp;IF(AND(ISNUMBER($K459),$K459&gt;0,$L459="Fine earth / total volume"),"Coarse fragments recorded and the lab basis already accounts for them — no further correction applied, which is correct. ",""))</f>
        <v/>
      </c>
      <c r="T459" s="6" t="n"/>
      <c r="U459" s="9">
        <f>IF($B459="",0,IF(COUNTIFS($B$5:$B459,$B459)=1,1,0))</f>
        <v/>
      </c>
    </row>
    <row r="460">
      <c r="A460" s="6" t="n"/>
      <c r="B460" s="6" t="n"/>
      <c r="C460" s="6" t="n"/>
      <c r="D460" s="6" t="n"/>
      <c r="E460" s="6" t="n"/>
      <c r="F460" s="9">
        <f>IF(OR($D460="",$E460=""),"",$E460-$D460)</f>
        <v/>
      </c>
      <c r="G460" s="6" t="n"/>
      <c r="H460" s="6" t="n"/>
      <c r="I460" s="6" t="n"/>
      <c r="J460" s="9">
        <f>IF(OR(NOT(ISNUMBER($H460)),NOT(ISNUMBER($I460)),$H460=0),"",$I460/$H460)</f>
        <v/>
      </c>
      <c r="K460" s="6" t="n"/>
      <c r="L460" s="8" t="n"/>
      <c r="M460" s="7" t="n"/>
      <c r="N460" s="7" t="n"/>
      <c r="O460" s="9">
        <f>IF(NOT(ISNUMBER($M460)),"",IF($L460="Fine earth / fine-earth volume",$M460*(1-IF(ISNUMBER($K460),$K460,0)/100),$M460))</f>
        <v/>
      </c>
      <c r="P460" s="9">
        <f>IF(OR(NOT(ISNUMBER($O460)),NOT(ISNUMBER($N460)),NOT(ISNUMBER($F460))),"",$O460*($N460/100)*$F460*10)</f>
        <v/>
      </c>
      <c r="Q460" s="9">
        <f>IF(OR(NOT(ISNUMBER($D460)),NOT(ISNUMBER($E460))),"",MAX(0,MIN($E460,SOIL_REPORTING_DEPTH_CM)-MIN($D460,SOIL_REPORTING_DEPTH_CM)))</f>
        <v/>
      </c>
      <c r="R460" s="9">
        <f>IF(OR(NOT(ISNUMBER($O460)),NOT(ISNUMBER($N460)),NOT(ISNUMBER($Q460))),"",$O460*($N460/100)*$Q460*10)</f>
        <v/>
      </c>
      <c r="S460" s="11">
        <f>IF(AND($A460="",$B460="",$D460=""),"",IF(AND($A460&lt;&gt;"",COUNTIF('1. Plot &amp; Site Log'!$A$5:$A$64,$A460)=0),"Plot ID not in the Plot &amp; Site Log. ","")&amp;IF(AND(ISNUMBER($D460),ISNUMBER($E460),$E460&lt;=$D460),"Bottom depth is not below top depth. ","")&amp;IF($L460="Not confirmed","Bulk-density basis not confirmed with the lab — the coarse-fragment correction may be wrong or doubled. ","")&amp;IF(AND(ISNUMBER($M460),OR($M460&lt;QC_BD_MIN,$M460&gt;QC_BD_MAX)),"Bulk density outside the plausible range for a mineral grassland soil. ","")&amp;IF(AND(ISNUMBER($N460),$N460&gt;QC_CARBON_PCT_MAX),"Organic carbon above the QC ceiling — check units, and whether this is an organic horizon. ","")&amp;IF(AND(ISNUMBER($J460),$J460&lt;QC_RECOVERY_MIN),"Recovered less than the QC minimum of the depth driven — the increments may not sit where you think. Do NOT stretch them back out. ","")&amp;IF(AND(ISNUMBER($K460),$K460&gt;0,$L460="Fine earth / total volume"),"Coarse fragments recorded and the lab basis already accounts for them — no further correction applied, which is correct. ",""))</f>
        <v/>
      </c>
      <c r="T460" s="6" t="n"/>
      <c r="U460" s="9">
        <f>IF($B460="",0,IF(COUNTIFS($B$5:$B460,$B460)=1,1,0))</f>
        <v/>
      </c>
    </row>
    <row r="461">
      <c r="A461" s="6" t="n"/>
      <c r="B461" s="6" t="n"/>
      <c r="C461" s="6" t="n"/>
      <c r="D461" s="6" t="n"/>
      <c r="E461" s="6" t="n"/>
      <c r="F461" s="9">
        <f>IF(OR($D461="",$E461=""),"",$E461-$D461)</f>
        <v/>
      </c>
      <c r="G461" s="6" t="n"/>
      <c r="H461" s="6" t="n"/>
      <c r="I461" s="6" t="n"/>
      <c r="J461" s="9">
        <f>IF(OR(NOT(ISNUMBER($H461)),NOT(ISNUMBER($I461)),$H461=0),"",$I461/$H461)</f>
        <v/>
      </c>
      <c r="K461" s="6" t="n"/>
      <c r="L461" s="8" t="n"/>
      <c r="M461" s="7" t="n"/>
      <c r="N461" s="7" t="n"/>
      <c r="O461" s="9">
        <f>IF(NOT(ISNUMBER($M461)),"",IF($L461="Fine earth / fine-earth volume",$M461*(1-IF(ISNUMBER($K461),$K461,0)/100),$M461))</f>
        <v/>
      </c>
      <c r="P461" s="9">
        <f>IF(OR(NOT(ISNUMBER($O461)),NOT(ISNUMBER($N461)),NOT(ISNUMBER($F461))),"",$O461*($N461/100)*$F461*10)</f>
        <v/>
      </c>
      <c r="Q461" s="9">
        <f>IF(OR(NOT(ISNUMBER($D461)),NOT(ISNUMBER($E461))),"",MAX(0,MIN($E461,SOIL_REPORTING_DEPTH_CM)-MIN($D461,SOIL_REPORTING_DEPTH_CM)))</f>
        <v/>
      </c>
      <c r="R461" s="9">
        <f>IF(OR(NOT(ISNUMBER($O461)),NOT(ISNUMBER($N461)),NOT(ISNUMBER($Q461))),"",$O461*($N461/100)*$Q461*10)</f>
        <v/>
      </c>
      <c r="S461" s="11">
        <f>IF(AND($A461="",$B461="",$D461=""),"",IF(AND($A461&lt;&gt;"",COUNTIF('1. Plot &amp; Site Log'!$A$5:$A$64,$A461)=0),"Plot ID not in the Plot &amp; Site Log. ","")&amp;IF(AND(ISNUMBER($D461),ISNUMBER($E461),$E461&lt;=$D461),"Bottom depth is not below top depth. ","")&amp;IF($L461="Not confirmed","Bulk-density basis not confirmed with the lab — the coarse-fragment correction may be wrong or doubled. ","")&amp;IF(AND(ISNUMBER($M461),OR($M461&lt;QC_BD_MIN,$M461&gt;QC_BD_MAX)),"Bulk density outside the plausible range for a mineral grassland soil. ","")&amp;IF(AND(ISNUMBER($N461),$N461&gt;QC_CARBON_PCT_MAX),"Organic carbon above the QC ceiling — check units, and whether this is an organic horizon. ","")&amp;IF(AND(ISNUMBER($J461),$J461&lt;QC_RECOVERY_MIN),"Recovered less than the QC minimum of the depth driven — the increments may not sit where you think. Do NOT stretch them back out. ","")&amp;IF(AND(ISNUMBER($K461),$K461&gt;0,$L461="Fine earth / total volume"),"Coarse fragments recorded and the lab basis already accounts for them — no further correction applied, which is correct. ",""))</f>
        <v/>
      </c>
      <c r="T461" s="6" t="n"/>
      <c r="U461" s="9">
        <f>IF($B461="",0,IF(COUNTIFS($B$5:$B461,$B461)=1,1,0))</f>
        <v/>
      </c>
    </row>
    <row r="462">
      <c r="A462" s="6" t="n"/>
      <c r="B462" s="6" t="n"/>
      <c r="C462" s="6" t="n"/>
      <c r="D462" s="6" t="n"/>
      <c r="E462" s="6" t="n"/>
      <c r="F462" s="9">
        <f>IF(OR($D462="",$E462=""),"",$E462-$D462)</f>
        <v/>
      </c>
      <c r="G462" s="6" t="n"/>
      <c r="H462" s="6" t="n"/>
      <c r="I462" s="6" t="n"/>
      <c r="J462" s="9">
        <f>IF(OR(NOT(ISNUMBER($H462)),NOT(ISNUMBER($I462)),$H462=0),"",$I462/$H462)</f>
        <v/>
      </c>
      <c r="K462" s="6" t="n"/>
      <c r="L462" s="8" t="n"/>
      <c r="M462" s="7" t="n"/>
      <c r="N462" s="7" t="n"/>
      <c r="O462" s="9">
        <f>IF(NOT(ISNUMBER($M462)),"",IF($L462="Fine earth / fine-earth volume",$M462*(1-IF(ISNUMBER($K462),$K462,0)/100),$M462))</f>
        <v/>
      </c>
      <c r="P462" s="9">
        <f>IF(OR(NOT(ISNUMBER($O462)),NOT(ISNUMBER($N462)),NOT(ISNUMBER($F462))),"",$O462*($N462/100)*$F462*10)</f>
        <v/>
      </c>
      <c r="Q462" s="9">
        <f>IF(OR(NOT(ISNUMBER($D462)),NOT(ISNUMBER($E462))),"",MAX(0,MIN($E462,SOIL_REPORTING_DEPTH_CM)-MIN($D462,SOIL_REPORTING_DEPTH_CM)))</f>
        <v/>
      </c>
      <c r="R462" s="9">
        <f>IF(OR(NOT(ISNUMBER($O462)),NOT(ISNUMBER($N462)),NOT(ISNUMBER($Q462))),"",$O462*($N462/100)*$Q462*10)</f>
        <v/>
      </c>
      <c r="S462" s="11">
        <f>IF(AND($A462="",$B462="",$D462=""),"",IF(AND($A462&lt;&gt;"",COUNTIF('1. Plot &amp; Site Log'!$A$5:$A$64,$A462)=0),"Plot ID not in the Plot &amp; Site Log. ","")&amp;IF(AND(ISNUMBER($D462),ISNUMBER($E462),$E462&lt;=$D462),"Bottom depth is not below top depth. ","")&amp;IF($L462="Not confirmed","Bulk-density basis not confirmed with the lab — the coarse-fragment correction may be wrong or doubled. ","")&amp;IF(AND(ISNUMBER($M462),OR($M462&lt;QC_BD_MIN,$M462&gt;QC_BD_MAX)),"Bulk density outside the plausible range for a mineral grassland soil. ","")&amp;IF(AND(ISNUMBER($N462),$N462&gt;QC_CARBON_PCT_MAX),"Organic carbon above the QC ceiling — check units, and whether this is an organic horizon. ","")&amp;IF(AND(ISNUMBER($J462),$J462&lt;QC_RECOVERY_MIN),"Recovered less than the QC minimum of the depth driven — the increments may not sit where you think. Do NOT stretch them back out. ","")&amp;IF(AND(ISNUMBER($K462),$K462&gt;0,$L462="Fine earth / total volume"),"Coarse fragments recorded and the lab basis already accounts for them — no further correction applied, which is correct. ",""))</f>
        <v/>
      </c>
      <c r="T462" s="6" t="n"/>
      <c r="U462" s="9">
        <f>IF($B462="",0,IF(COUNTIFS($B$5:$B462,$B462)=1,1,0))</f>
        <v/>
      </c>
    </row>
    <row r="463">
      <c r="A463" s="6" t="n"/>
      <c r="B463" s="6" t="n"/>
      <c r="C463" s="6" t="n"/>
      <c r="D463" s="6" t="n"/>
      <c r="E463" s="6" t="n"/>
      <c r="F463" s="9">
        <f>IF(OR($D463="",$E463=""),"",$E463-$D463)</f>
        <v/>
      </c>
      <c r="G463" s="6" t="n"/>
      <c r="H463" s="6" t="n"/>
      <c r="I463" s="6" t="n"/>
      <c r="J463" s="9">
        <f>IF(OR(NOT(ISNUMBER($H463)),NOT(ISNUMBER($I463)),$H463=0),"",$I463/$H463)</f>
        <v/>
      </c>
      <c r="K463" s="6" t="n"/>
      <c r="L463" s="8" t="n"/>
      <c r="M463" s="7" t="n"/>
      <c r="N463" s="7" t="n"/>
      <c r="O463" s="9">
        <f>IF(NOT(ISNUMBER($M463)),"",IF($L463="Fine earth / fine-earth volume",$M463*(1-IF(ISNUMBER($K463),$K463,0)/100),$M463))</f>
        <v/>
      </c>
      <c r="P463" s="9">
        <f>IF(OR(NOT(ISNUMBER($O463)),NOT(ISNUMBER($N463)),NOT(ISNUMBER($F463))),"",$O463*($N463/100)*$F463*10)</f>
        <v/>
      </c>
      <c r="Q463" s="9">
        <f>IF(OR(NOT(ISNUMBER($D463)),NOT(ISNUMBER($E463))),"",MAX(0,MIN($E463,SOIL_REPORTING_DEPTH_CM)-MIN($D463,SOIL_REPORTING_DEPTH_CM)))</f>
        <v/>
      </c>
      <c r="R463" s="9">
        <f>IF(OR(NOT(ISNUMBER($O463)),NOT(ISNUMBER($N463)),NOT(ISNUMBER($Q463))),"",$O463*($N463/100)*$Q463*10)</f>
        <v/>
      </c>
      <c r="S463" s="11">
        <f>IF(AND($A463="",$B463="",$D463=""),"",IF(AND($A463&lt;&gt;"",COUNTIF('1. Plot &amp; Site Log'!$A$5:$A$64,$A463)=0),"Plot ID not in the Plot &amp; Site Log. ","")&amp;IF(AND(ISNUMBER($D463),ISNUMBER($E463),$E463&lt;=$D463),"Bottom depth is not below top depth. ","")&amp;IF($L463="Not confirmed","Bulk-density basis not confirmed with the lab — the coarse-fragment correction may be wrong or doubled. ","")&amp;IF(AND(ISNUMBER($M463),OR($M463&lt;QC_BD_MIN,$M463&gt;QC_BD_MAX)),"Bulk density outside the plausible range for a mineral grassland soil. ","")&amp;IF(AND(ISNUMBER($N463),$N463&gt;QC_CARBON_PCT_MAX),"Organic carbon above the QC ceiling — check units, and whether this is an organic horizon. ","")&amp;IF(AND(ISNUMBER($J463),$J463&lt;QC_RECOVERY_MIN),"Recovered less than the QC minimum of the depth driven — the increments may not sit where you think. Do NOT stretch them back out. ","")&amp;IF(AND(ISNUMBER($K463),$K463&gt;0,$L463="Fine earth / total volume"),"Coarse fragments recorded and the lab basis already accounts for them — no further correction applied, which is correct. ",""))</f>
        <v/>
      </c>
      <c r="T463" s="6" t="n"/>
      <c r="U463" s="9">
        <f>IF($B463="",0,IF(COUNTIFS($B$5:$B463,$B463)=1,1,0))</f>
        <v/>
      </c>
    </row>
    <row r="464">
      <c r="A464" s="6" t="n"/>
      <c r="B464" s="6" t="n"/>
      <c r="C464" s="6" t="n"/>
      <c r="D464" s="6" t="n"/>
      <c r="E464" s="6" t="n"/>
      <c r="F464" s="9">
        <f>IF(OR($D464="",$E464=""),"",$E464-$D464)</f>
        <v/>
      </c>
      <c r="G464" s="6" t="n"/>
      <c r="H464" s="6" t="n"/>
      <c r="I464" s="6" t="n"/>
      <c r="J464" s="9">
        <f>IF(OR(NOT(ISNUMBER($H464)),NOT(ISNUMBER($I464)),$H464=0),"",$I464/$H464)</f>
        <v/>
      </c>
      <c r="K464" s="6" t="n"/>
      <c r="L464" s="8" t="n"/>
      <c r="M464" s="7" t="n"/>
      <c r="N464" s="7" t="n"/>
      <c r="O464" s="9">
        <f>IF(NOT(ISNUMBER($M464)),"",IF($L464="Fine earth / fine-earth volume",$M464*(1-IF(ISNUMBER($K464),$K464,0)/100),$M464))</f>
        <v/>
      </c>
      <c r="P464" s="9">
        <f>IF(OR(NOT(ISNUMBER($O464)),NOT(ISNUMBER($N464)),NOT(ISNUMBER($F464))),"",$O464*($N464/100)*$F464*10)</f>
        <v/>
      </c>
      <c r="Q464" s="9">
        <f>IF(OR(NOT(ISNUMBER($D464)),NOT(ISNUMBER($E464))),"",MAX(0,MIN($E464,SOIL_REPORTING_DEPTH_CM)-MIN($D464,SOIL_REPORTING_DEPTH_CM)))</f>
        <v/>
      </c>
      <c r="R464" s="9">
        <f>IF(OR(NOT(ISNUMBER($O464)),NOT(ISNUMBER($N464)),NOT(ISNUMBER($Q464))),"",$O464*($N464/100)*$Q464*10)</f>
        <v/>
      </c>
      <c r="S464" s="11">
        <f>IF(AND($A464="",$B464="",$D464=""),"",IF(AND($A464&lt;&gt;"",COUNTIF('1. Plot &amp; Site Log'!$A$5:$A$64,$A464)=0),"Plot ID not in the Plot &amp; Site Log. ","")&amp;IF(AND(ISNUMBER($D464),ISNUMBER($E464),$E464&lt;=$D464),"Bottom depth is not below top depth. ","")&amp;IF($L464="Not confirmed","Bulk-density basis not confirmed with the lab — the coarse-fragment correction may be wrong or doubled. ","")&amp;IF(AND(ISNUMBER($M464),OR($M464&lt;QC_BD_MIN,$M464&gt;QC_BD_MAX)),"Bulk density outside the plausible range for a mineral grassland soil. ","")&amp;IF(AND(ISNUMBER($N464),$N464&gt;QC_CARBON_PCT_MAX),"Organic carbon above the QC ceiling — check units, and whether this is an organic horizon. ","")&amp;IF(AND(ISNUMBER($J464),$J464&lt;QC_RECOVERY_MIN),"Recovered less than the QC minimum of the depth driven — the increments may not sit where you think. Do NOT stretch them back out. ","")&amp;IF(AND(ISNUMBER($K464),$K464&gt;0,$L464="Fine earth / total volume"),"Coarse fragments recorded and the lab basis already accounts for them — no further correction applied, which is correct. ",""))</f>
        <v/>
      </c>
      <c r="T464" s="6" t="n"/>
      <c r="U464" s="9">
        <f>IF($B464="",0,IF(COUNTIFS($B$5:$B464,$B464)=1,1,0))</f>
        <v/>
      </c>
    </row>
    <row r="465">
      <c r="A465" s="6" t="n"/>
      <c r="B465" s="6" t="n"/>
      <c r="C465" s="6" t="n"/>
      <c r="D465" s="6" t="n"/>
      <c r="E465" s="6" t="n"/>
      <c r="F465" s="9">
        <f>IF(OR($D465="",$E465=""),"",$E465-$D465)</f>
        <v/>
      </c>
      <c r="G465" s="6" t="n"/>
      <c r="H465" s="6" t="n"/>
      <c r="I465" s="6" t="n"/>
      <c r="J465" s="9">
        <f>IF(OR(NOT(ISNUMBER($H465)),NOT(ISNUMBER($I465)),$H465=0),"",$I465/$H465)</f>
        <v/>
      </c>
      <c r="K465" s="6" t="n"/>
      <c r="L465" s="8" t="n"/>
      <c r="M465" s="7" t="n"/>
      <c r="N465" s="7" t="n"/>
      <c r="O465" s="9">
        <f>IF(NOT(ISNUMBER($M465)),"",IF($L465="Fine earth / fine-earth volume",$M465*(1-IF(ISNUMBER($K465),$K465,0)/100),$M465))</f>
        <v/>
      </c>
      <c r="P465" s="9">
        <f>IF(OR(NOT(ISNUMBER($O465)),NOT(ISNUMBER($N465)),NOT(ISNUMBER($F465))),"",$O465*($N465/100)*$F465*10)</f>
        <v/>
      </c>
      <c r="Q465" s="9">
        <f>IF(OR(NOT(ISNUMBER($D465)),NOT(ISNUMBER($E465))),"",MAX(0,MIN($E465,SOIL_REPORTING_DEPTH_CM)-MIN($D465,SOIL_REPORTING_DEPTH_CM)))</f>
        <v/>
      </c>
      <c r="R465" s="9">
        <f>IF(OR(NOT(ISNUMBER($O465)),NOT(ISNUMBER($N465)),NOT(ISNUMBER($Q465))),"",$O465*($N465/100)*$Q465*10)</f>
        <v/>
      </c>
      <c r="S465" s="11">
        <f>IF(AND($A465="",$B465="",$D465=""),"",IF(AND($A465&lt;&gt;"",COUNTIF('1. Plot &amp; Site Log'!$A$5:$A$64,$A465)=0),"Plot ID not in the Plot &amp; Site Log. ","")&amp;IF(AND(ISNUMBER($D465),ISNUMBER($E465),$E465&lt;=$D465),"Bottom depth is not below top depth. ","")&amp;IF($L465="Not confirmed","Bulk-density basis not confirmed with the lab — the coarse-fragment correction may be wrong or doubled. ","")&amp;IF(AND(ISNUMBER($M465),OR($M465&lt;QC_BD_MIN,$M465&gt;QC_BD_MAX)),"Bulk density outside the plausible range for a mineral grassland soil. ","")&amp;IF(AND(ISNUMBER($N465),$N465&gt;QC_CARBON_PCT_MAX),"Organic carbon above the QC ceiling — check units, and whether this is an organic horizon. ","")&amp;IF(AND(ISNUMBER($J465),$J465&lt;QC_RECOVERY_MIN),"Recovered less than the QC minimum of the depth driven — the increments may not sit where you think. Do NOT stretch them back out. ","")&amp;IF(AND(ISNUMBER($K465),$K465&gt;0,$L465="Fine earth / total volume"),"Coarse fragments recorded and the lab basis already accounts for them — no further correction applied, which is correct. ",""))</f>
        <v/>
      </c>
      <c r="T465" s="6" t="n"/>
      <c r="U465" s="9">
        <f>IF($B465="",0,IF(COUNTIFS($B$5:$B465,$B465)=1,1,0))</f>
        <v/>
      </c>
    </row>
    <row r="466">
      <c r="A466" s="6" t="n"/>
      <c r="B466" s="6" t="n"/>
      <c r="C466" s="6" t="n"/>
      <c r="D466" s="6" t="n"/>
      <c r="E466" s="6" t="n"/>
      <c r="F466" s="9">
        <f>IF(OR($D466="",$E466=""),"",$E466-$D466)</f>
        <v/>
      </c>
      <c r="G466" s="6" t="n"/>
      <c r="H466" s="6" t="n"/>
      <c r="I466" s="6" t="n"/>
      <c r="J466" s="9">
        <f>IF(OR(NOT(ISNUMBER($H466)),NOT(ISNUMBER($I466)),$H466=0),"",$I466/$H466)</f>
        <v/>
      </c>
      <c r="K466" s="6" t="n"/>
      <c r="L466" s="8" t="n"/>
      <c r="M466" s="7" t="n"/>
      <c r="N466" s="7" t="n"/>
      <c r="O466" s="9">
        <f>IF(NOT(ISNUMBER($M466)),"",IF($L466="Fine earth / fine-earth volume",$M466*(1-IF(ISNUMBER($K466),$K466,0)/100),$M466))</f>
        <v/>
      </c>
      <c r="P466" s="9">
        <f>IF(OR(NOT(ISNUMBER($O466)),NOT(ISNUMBER($N466)),NOT(ISNUMBER($F466))),"",$O466*($N466/100)*$F466*10)</f>
        <v/>
      </c>
      <c r="Q466" s="9">
        <f>IF(OR(NOT(ISNUMBER($D466)),NOT(ISNUMBER($E466))),"",MAX(0,MIN($E466,SOIL_REPORTING_DEPTH_CM)-MIN($D466,SOIL_REPORTING_DEPTH_CM)))</f>
        <v/>
      </c>
      <c r="R466" s="9">
        <f>IF(OR(NOT(ISNUMBER($O466)),NOT(ISNUMBER($N466)),NOT(ISNUMBER($Q466))),"",$O466*($N466/100)*$Q466*10)</f>
        <v/>
      </c>
      <c r="S466" s="11">
        <f>IF(AND($A466="",$B466="",$D466=""),"",IF(AND($A466&lt;&gt;"",COUNTIF('1. Plot &amp; Site Log'!$A$5:$A$64,$A466)=0),"Plot ID not in the Plot &amp; Site Log. ","")&amp;IF(AND(ISNUMBER($D466),ISNUMBER($E466),$E466&lt;=$D466),"Bottom depth is not below top depth. ","")&amp;IF($L466="Not confirmed","Bulk-density basis not confirmed with the lab — the coarse-fragment correction may be wrong or doubled. ","")&amp;IF(AND(ISNUMBER($M466),OR($M466&lt;QC_BD_MIN,$M466&gt;QC_BD_MAX)),"Bulk density outside the plausible range for a mineral grassland soil. ","")&amp;IF(AND(ISNUMBER($N466),$N466&gt;QC_CARBON_PCT_MAX),"Organic carbon above the QC ceiling — check units, and whether this is an organic horizon. ","")&amp;IF(AND(ISNUMBER($J466),$J466&lt;QC_RECOVERY_MIN),"Recovered less than the QC minimum of the depth driven — the increments may not sit where you think. Do NOT stretch them back out. ","")&amp;IF(AND(ISNUMBER($K466),$K466&gt;0,$L466="Fine earth / total volume"),"Coarse fragments recorded and the lab basis already accounts for them — no further correction applied, which is correct. ",""))</f>
        <v/>
      </c>
      <c r="T466" s="6" t="n"/>
      <c r="U466" s="9">
        <f>IF($B466="",0,IF(COUNTIFS($B$5:$B466,$B466)=1,1,0))</f>
        <v/>
      </c>
    </row>
    <row r="467">
      <c r="A467" s="6" t="n"/>
      <c r="B467" s="6" t="n"/>
      <c r="C467" s="6" t="n"/>
      <c r="D467" s="6" t="n"/>
      <c r="E467" s="6" t="n"/>
      <c r="F467" s="9">
        <f>IF(OR($D467="",$E467=""),"",$E467-$D467)</f>
        <v/>
      </c>
      <c r="G467" s="6" t="n"/>
      <c r="H467" s="6" t="n"/>
      <c r="I467" s="6" t="n"/>
      <c r="J467" s="9">
        <f>IF(OR(NOT(ISNUMBER($H467)),NOT(ISNUMBER($I467)),$H467=0),"",$I467/$H467)</f>
        <v/>
      </c>
      <c r="K467" s="6" t="n"/>
      <c r="L467" s="8" t="n"/>
      <c r="M467" s="7" t="n"/>
      <c r="N467" s="7" t="n"/>
      <c r="O467" s="9">
        <f>IF(NOT(ISNUMBER($M467)),"",IF($L467="Fine earth / fine-earth volume",$M467*(1-IF(ISNUMBER($K467),$K467,0)/100),$M467))</f>
        <v/>
      </c>
      <c r="P467" s="9">
        <f>IF(OR(NOT(ISNUMBER($O467)),NOT(ISNUMBER($N467)),NOT(ISNUMBER($F467))),"",$O467*($N467/100)*$F467*10)</f>
        <v/>
      </c>
      <c r="Q467" s="9">
        <f>IF(OR(NOT(ISNUMBER($D467)),NOT(ISNUMBER($E467))),"",MAX(0,MIN($E467,SOIL_REPORTING_DEPTH_CM)-MIN($D467,SOIL_REPORTING_DEPTH_CM)))</f>
        <v/>
      </c>
      <c r="R467" s="9">
        <f>IF(OR(NOT(ISNUMBER($O467)),NOT(ISNUMBER($N467)),NOT(ISNUMBER($Q467))),"",$O467*($N467/100)*$Q467*10)</f>
        <v/>
      </c>
      <c r="S467" s="11">
        <f>IF(AND($A467="",$B467="",$D467=""),"",IF(AND($A467&lt;&gt;"",COUNTIF('1. Plot &amp; Site Log'!$A$5:$A$64,$A467)=0),"Plot ID not in the Plot &amp; Site Log. ","")&amp;IF(AND(ISNUMBER($D467),ISNUMBER($E467),$E467&lt;=$D467),"Bottom depth is not below top depth. ","")&amp;IF($L467="Not confirmed","Bulk-density basis not confirmed with the lab — the coarse-fragment correction may be wrong or doubled. ","")&amp;IF(AND(ISNUMBER($M467),OR($M467&lt;QC_BD_MIN,$M467&gt;QC_BD_MAX)),"Bulk density outside the plausible range for a mineral grassland soil. ","")&amp;IF(AND(ISNUMBER($N467),$N467&gt;QC_CARBON_PCT_MAX),"Organic carbon above the QC ceiling — check units, and whether this is an organic horizon. ","")&amp;IF(AND(ISNUMBER($J467),$J467&lt;QC_RECOVERY_MIN),"Recovered less than the QC minimum of the depth driven — the increments may not sit where you think. Do NOT stretch them back out. ","")&amp;IF(AND(ISNUMBER($K467),$K467&gt;0,$L467="Fine earth / total volume"),"Coarse fragments recorded and the lab basis already accounts for them — no further correction applied, which is correct. ",""))</f>
        <v/>
      </c>
      <c r="T467" s="6" t="n"/>
      <c r="U467" s="9">
        <f>IF($B467="",0,IF(COUNTIFS($B$5:$B467,$B467)=1,1,0))</f>
        <v/>
      </c>
    </row>
    <row r="468">
      <c r="A468" s="6" t="n"/>
      <c r="B468" s="6" t="n"/>
      <c r="C468" s="6" t="n"/>
      <c r="D468" s="6" t="n"/>
      <c r="E468" s="6" t="n"/>
      <c r="F468" s="9">
        <f>IF(OR($D468="",$E468=""),"",$E468-$D468)</f>
        <v/>
      </c>
      <c r="G468" s="6" t="n"/>
      <c r="H468" s="6" t="n"/>
      <c r="I468" s="6" t="n"/>
      <c r="J468" s="9">
        <f>IF(OR(NOT(ISNUMBER($H468)),NOT(ISNUMBER($I468)),$H468=0),"",$I468/$H468)</f>
        <v/>
      </c>
      <c r="K468" s="6" t="n"/>
      <c r="L468" s="8" t="n"/>
      <c r="M468" s="7" t="n"/>
      <c r="N468" s="7" t="n"/>
      <c r="O468" s="9">
        <f>IF(NOT(ISNUMBER($M468)),"",IF($L468="Fine earth / fine-earth volume",$M468*(1-IF(ISNUMBER($K468),$K468,0)/100),$M468))</f>
        <v/>
      </c>
      <c r="P468" s="9">
        <f>IF(OR(NOT(ISNUMBER($O468)),NOT(ISNUMBER($N468)),NOT(ISNUMBER($F468))),"",$O468*($N468/100)*$F468*10)</f>
        <v/>
      </c>
      <c r="Q468" s="9">
        <f>IF(OR(NOT(ISNUMBER($D468)),NOT(ISNUMBER($E468))),"",MAX(0,MIN($E468,SOIL_REPORTING_DEPTH_CM)-MIN($D468,SOIL_REPORTING_DEPTH_CM)))</f>
        <v/>
      </c>
      <c r="R468" s="9">
        <f>IF(OR(NOT(ISNUMBER($O468)),NOT(ISNUMBER($N468)),NOT(ISNUMBER($Q468))),"",$O468*($N468/100)*$Q468*10)</f>
        <v/>
      </c>
      <c r="S468" s="11">
        <f>IF(AND($A468="",$B468="",$D468=""),"",IF(AND($A468&lt;&gt;"",COUNTIF('1. Plot &amp; Site Log'!$A$5:$A$64,$A468)=0),"Plot ID not in the Plot &amp; Site Log. ","")&amp;IF(AND(ISNUMBER($D468),ISNUMBER($E468),$E468&lt;=$D468),"Bottom depth is not below top depth. ","")&amp;IF($L468="Not confirmed","Bulk-density basis not confirmed with the lab — the coarse-fragment correction may be wrong or doubled. ","")&amp;IF(AND(ISNUMBER($M468),OR($M468&lt;QC_BD_MIN,$M468&gt;QC_BD_MAX)),"Bulk density outside the plausible range for a mineral grassland soil. ","")&amp;IF(AND(ISNUMBER($N468),$N468&gt;QC_CARBON_PCT_MAX),"Organic carbon above the QC ceiling — check units, and whether this is an organic horizon. ","")&amp;IF(AND(ISNUMBER($J468),$J468&lt;QC_RECOVERY_MIN),"Recovered less than the QC minimum of the depth driven — the increments may not sit where you think. Do NOT stretch them back out. ","")&amp;IF(AND(ISNUMBER($K468),$K468&gt;0,$L468="Fine earth / total volume"),"Coarse fragments recorded and the lab basis already accounts for them — no further correction applied, which is correct. ",""))</f>
        <v/>
      </c>
      <c r="T468" s="6" t="n"/>
      <c r="U468" s="9">
        <f>IF($B468="",0,IF(COUNTIFS($B$5:$B468,$B468)=1,1,0))</f>
        <v/>
      </c>
    </row>
    <row r="469">
      <c r="A469" s="6" t="n"/>
      <c r="B469" s="6" t="n"/>
      <c r="C469" s="6" t="n"/>
      <c r="D469" s="6" t="n"/>
      <c r="E469" s="6" t="n"/>
      <c r="F469" s="9">
        <f>IF(OR($D469="",$E469=""),"",$E469-$D469)</f>
        <v/>
      </c>
      <c r="G469" s="6" t="n"/>
      <c r="H469" s="6" t="n"/>
      <c r="I469" s="6" t="n"/>
      <c r="J469" s="9">
        <f>IF(OR(NOT(ISNUMBER($H469)),NOT(ISNUMBER($I469)),$H469=0),"",$I469/$H469)</f>
        <v/>
      </c>
      <c r="K469" s="6" t="n"/>
      <c r="L469" s="8" t="n"/>
      <c r="M469" s="7" t="n"/>
      <c r="N469" s="7" t="n"/>
      <c r="O469" s="9">
        <f>IF(NOT(ISNUMBER($M469)),"",IF($L469="Fine earth / fine-earth volume",$M469*(1-IF(ISNUMBER($K469),$K469,0)/100),$M469))</f>
        <v/>
      </c>
      <c r="P469" s="9">
        <f>IF(OR(NOT(ISNUMBER($O469)),NOT(ISNUMBER($N469)),NOT(ISNUMBER($F469))),"",$O469*($N469/100)*$F469*10)</f>
        <v/>
      </c>
      <c r="Q469" s="9">
        <f>IF(OR(NOT(ISNUMBER($D469)),NOT(ISNUMBER($E469))),"",MAX(0,MIN($E469,SOIL_REPORTING_DEPTH_CM)-MIN($D469,SOIL_REPORTING_DEPTH_CM)))</f>
        <v/>
      </c>
      <c r="R469" s="9">
        <f>IF(OR(NOT(ISNUMBER($O469)),NOT(ISNUMBER($N469)),NOT(ISNUMBER($Q469))),"",$O469*($N469/100)*$Q469*10)</f>
        <v/>
      </c>
      <c r="S469" s="11">
        <f>IF(AND($A469="",$B469="",$D469=""),"",IF(AND($A469&lt;&gt;"",COUNTIF('1. Plot &amp; Site Log'!$A$5:$A$64,$A469)=0),"Plot ID not in the Plot &amp; Site Log. ","")&amp;IF(AND(ISNUMBER($D469),ISNUMBER($E469),$E469&lt;=$D469),"Bottom depth is not below top depth. ","")&amp;IF($L469="Not confirmed","Bulk-density basis not confirmed with the lab — the coarse-fragment correction may be wrong or doubled. ","")&amp;IF(AND(ISNUMBER($M469),OR($M469&lt;QC_BD_MIN,$M469&gt;QC_BD_MAX)),"Bulk density outside the plausible range for a mineral grassland soil. ","")&amp;IF(AND(ISNUMBER($N469),$N469&gt;QC_CARBON_PCT_MAX),"Organic carbon above the QC ceiling — check units, and whether this is an organic horizon. ","")&amp;IF(AND(ISNUMBER($J469),$J469&lt;QC_RECOVERY_MIN),"Recovered less than the QC minimum of the depth driven — the increments may not sit where you think. Do NOT stretch them back out. ","")&amp;IF(AND(ISNUMBER($K469),$K469&gt;0,$L469="Fine earth / total volume"),"Coarse fragments recorded and the lab basis already accounts for them — no further correction applied, which is correct. ",""))</f>
        <v/>
      </c>
      <c r="T469" s="6" t="n"/>
      <c r="U469" s="9">
        <f>IF($B469="",0,IF(COUNTIFS($B$5:$B469,$B469)=1,1,0))</f>
        <v/>
      </c>
    </row>
    <row r="470">
      <c r="A470" s="6" t="n"/>
      <c r="B470" s="6" t="n"/>
      <c r="C470" s="6" t="n"/>
      <c r="D470" s="6" t="n"/>
      <c r="E470" s="6" t="n"/>
      <c r="F470" s="9">
        <f>IF(OR($D470="",$E470=""),"",$E470-$D470)</f>
        <v/>
      </c>
      <c r="G470" s="6" t="n"/>
      <c r="H470" s="6" t="n"/>
      <c r="I470" s="6" t="n"/>
      <c r="J470" s="9">
        <f>IF(OR(NOT(ISNUMBER($H470)),NOT(ISNUMBER($I470)),$H470=0),"",$I470/$H470)</f>
        <v/>
      </c>
      <c r="K470" s="6" t="n"/>
      <c r="L470" s="8" t="n"/>
      <c r="M470" s="7" t="n"/>
      <c r="N470" s="7" t="n"/>
      <c r="O470" s="9">
        <f>IF(NOT(ISNUMBER($M470)),"",IF($L470="Fine earth / fine-earth volume",$M470*(1-IF(ISNUMBER($K470),$K470,0)/100),$M470))</f>
        <v/>
      </c>
      <c r="P470" s="9">
        <f>IF(OR(NOT(ISNUMBER($O470)),NOT(ISNUMBER($N470)),NOT(ISNUMBER($F470))),"",$O470*($N470/100)*$F470*10)</f>
        <v/>
      </c>
      <c r="Q470" s="9">
        <f>IF(OR(NOT(ISNUMBER($D470)),NOT(ISNUMBER($E470))),"",MAX(0,MIN($E470,SOIL_REPORTING_DEPTH_CM)-MIN($D470,SOIL_REPORTING_DEPTH_CM)))</f>
        <v/>
      </c>
      <c r="R470" s="9">
        <f>IF(OR(NOT(ISNUMBER($O470)),NOT(ISNUMBER($N470)),NOT(ISNUMBER($Q470))),"",$O470*($N470/100)*$Q470*10)</f>
        <v/>
      </c>
      <c r="S470" s="11">
        <f>IF(AND($A470="",$B470="",$D470=""),"",IF(AND($A470&lt;&gt;"",COUNTIF('1. Plot &amp; Site Log'!$A$5:$A$64,$A470)=0),"Plot ID not in the Plot &amp; Site Log. ","")&amp;IF(AND(ISNUMBER($D470),ISNUMBER($E470),$E470&lt;=$D470),"Bottom depth is not below top depth. ","")&amp;IF($L470="Not confirmed","Bulk-density basis not confirmed with the lab — the coarse-fragment correction may be wrong or doubled. ","")&amp;IF(AND(ISNUMBER($M470),OR($M470&lt;QC_BD_MIN,$M470&gt;QC_BD_MAX)),"Bulk density outside the plausible range for a mineral grassland soil. ","")&amp;IF(AND(ISNUMBER($N470),$N470&gt;QC_CARBON_PCT_MAX),"Organic carbon above the QC ceiling — check units, and whether this is an organic horizon. ","")&amp;IF(AND(ISNUMBER($J470),$J470&lt;QC_RECOVERY_MIN),"Recovered less than the QC minimum of the depth driven — the increments may not sit where you think. Do NOT stretch them back out. ","")&amp;IF(AND(ISNUMBER($K470),$K470&gt;0,$L470="Fine earth / total volume"),"Coarse fragments recorded and the lab basis already accounts for them — no further correction applied, which is correct. ",""))</f>
        <v/>
      </c>
      <c r="T470" s="6" t="n"/>
      <c r="U470" s="9">
        <f>IF($B470="",0,IF(COUNTIFS($B$5:$B470,$B470)=1,1,0))</f>
        <v/>
      </c>
    </row>
    <row r="471">
      <c r="A471" s="6" t="n"/>
      <c r="B471" s="6" t="n"/>
      <c r="C471" s="6" t="n"/>
      <c r="D471" s="6" t="n"/>
      <c r="E471" s="6" t="n"/>
      <c r="F471" s="9">
        <f>IF(OR($D471="",$E471=""),"",$E471-$D471)</f>
        <v/>
      </c>
      <c r="G471" s="6" t="n"/>
      <c r="H471" s="6" t="n"/>
      <c r="I471" s="6" t="n"/>
      <c r="J471" s="9">
        <f>IF(OR(NOT(ISNUMBER($H471)),NOT(ISNUMBER($I471)),$H471=0),"",$I471/$H471)</f>
        <v/>
      </c>
      <c r="K471" s="6" t="n"/>
      <c r="L471" s="8" t="n"/>
      <c r="M471" s="7" t="n"/>
      <c r="N471" s="7" t="n"/>
      <c r="O471" s="9">
        <f>IF(NOT(ISNUMBER($M471)),"",IF($L471="Fine earth / fine-earth volume",$M471*(1-IF(ISNUMBER($K471),$K471,0)/100),$M471))</f>
        <v/>
      </c>
      <c r="P471" s="9">
        <f>IF(OR(NOT(ISNUMBER($O471)),NOT(ISNUMBER($N471)),NOT(ISNUMBER($F471))),"",$O471*($N471/100)*$F471*10)</f>
        <v/>
      </c>
      <c r="Q471" s="9">
        <f>IF(OR(NOT(ISNUMBER($D471)),NOT(ISNUMBER($E471))),"",MAX(0,MIN($E471,SOIL_REPORTING_DEPTH_CM)-MIN($D471,SOIL_REPORTING_DEPTH_CM)))</f>
        <v/>
      </c>
      <c r="R471" s="9">
        <f>IF(OR(NOT(ISNUMBER($O471)),NOT(ISNUMBER($N471)),NOT(ISNUMBER($Q471))),"",$O471*($N471/100)*$Q471*10)</f>
        <v/>
      </c>
      <c r="S471" s="11">
        <f>IF(AND($A471="",$B471="",$D471=""),"",IF(AND($A471&lt;&gt;"",COUNTIF('1. Plot &amp; Site Log'!$A$5:$A$64,$A471)=0),"Plot ID not in the Plot &amp; Site Log. ","")&amp;IF(AND(ISNUMBER($D471),ISNUMBER($E471),$E471&lt;=$D471),"Bottom depth is not below top depth. ","")&amp;IF($L471="Not confirmed","Bulk-density basis not confirmed with the lab — the coarse-fragment correction may be wrong or doubled. ","")&amp;IF(AND(ISNUMBER($M471),OR($M471&lt;QC_BD_MIN,$M471&gt;QC_BD_MAX)),"Bulk density outside the plausible range for a mineral grassland soil. ","")&amp;IF(AND(ISNUMBER($N471),$N471&gt;QC_CARBON_PCT_MAX),"Organic carbon above the QC ceiling — check units, and whether this is an organic horizon. ","")&amp;IF(AND(ISNUMBER($J471),$J471&lt;QC_RECOVERY_MIN),"Recovered less than the QC minimum of the depth driven — the increments may not sit where you think. Do NOT stretch them back out. ","")&amp;IF(AND(ISNUMBER($K471),$K471&gt;0,$L471="Fine earth / total volume"),"Coarse fragments recorded and the lab basis already accounts for them — no further correction applied, which is correct. ",""))</f>
        <v/>
      </c>
      <c r="T471" s="6" t="n"/>
      <c r="U471" s="9">
        <f>IF($B471="",0,IF(COUNTIFS($B$5:$B471,$B471)=1,1,0))</f>
        <v/>
      </c>
    </row>
    <row r="472">
      <c r="A472" s="6" t="n"/>
      <c r="B472" s="6" t="n"/>
      <c r="C472" s="6" t="n"/>
      <c r="D472" s="6" t="n"/>
      <c r="E472" s="6" t="n"/>
      <c r="F472" s="9">
        <f>IF(OR($D472="",$E472=""),"",$E472-$D472)</f>
        <v/>
      </c>
      <c r="G472" s="6" t="n"/>
      <c r="H472" s="6" t="n"/>
      <c r="I472" s="6" t="n"/>
      <c r="J472" s="9">
        <f>IF(OR(NOT(ISNUMBER($H472)),NOT(ISNUMBER($I472)),$H472=0),"",$I472/$H472)</f>
        <v/>
      </c>
      <c r="K472" s="6" t="n"/>
      <c r="L472" s="8" t="n"/>
      <c r="M472" s="7" t="n"/>
      <c r="N472" s="7" t="n"/>
      <c r="O472" s="9">
        <f>IF(NOT(ISNUMBER($M472)),"",IF($L472="Fine earth / fine-earth volume",$M472*(1-IF(ISNUMBER($K472),$K472,0)/100),$M472))</f>
        <v/>
      </c>
      <c r="P472" s="9">
        <f>IF(OR(NOT(ISNUMBER($O472)),NOT(ISNUMBER($N472)),NOT(ISNUMBER($F472))),"",$O472*($N472/100)*$F472*10)</f>
        <v/>
      </c>
      <c r="Q472" s="9">
        <f>IF(OR(NOT(ISNUMBER($D472)),NOT(ISNUMBER($E472))),"",MAX(0,MIN($E472,SOIL_REPORTING_DEPTH_CM)-MIN($D472,SOIL_REPORTING_DEPTH_CM)))</f>
        <v/>
      </c>
      <c r="R472" s="9">
        <f>IF(OR(NOT(ISNUMBER($O472)),NOT(ISNUMBER($N472)),NOT(ISNUMBER($Q472))),"",$O472*($N472/100)*$Q472*10)</f>
        <v/>
      </c>
      <c r="S472" s="11">
        <f>IF(AND($A472="",$B472="",$D472=""),"",IF(AND($A472&lt;&gt;"",COUNTIF('1. Plot &amp; Site Log'!$A$5:$A$64,$A472)=0),"Plot ID not in the Plot &amp; Site Log. ","")&amp;IF(AND(ISNUMBER($D472),ISNUMBER($E472),$E472&lt;=$D472),"Bottom depth is not below top depth. ","")&amp;IF($L472="Not confirmed","Bulk-density basis not confirmed with the lab — the coarse-fragment correction may be wrong or doubled. ","")&amp;IF(AND(ISNUMBER($M472),OR($M472&lt;QC_BD_MIN,$M472&gt;QC_BD_MAX)),"Bulk density outside the plausible range for a mineral grassland soil. ","")&amp;IF(AND(ISNUMBER($N472),$N472&gt;QC_CARBON_PCT_MAX),"Organic carbon above the QC ceiling — check units, and whether this is an organic horizon. ","")&amp;IF(AND(ISNUMBER($J472),$J472&lt;QC_RECOVERY_MIN),"Recovered less than the QC minimum of the depth driven — the increments may not sit where you think. Do NOT stretch them back out. ","")&amp;IF(AND(ISNUMBER($K472),$K472&gt;0,$L472="Fine earth / total volume"),"Coarse fragments recorded and the lab basis already accounts for them — no further correction applied, which is correct. ",""))</f>
        <v/>
      </c>
      <c r="T472" s="6" t="n"/>
      <c r="U472" s="9">
        <f>IF($B472="",0,IF(COUNTIFS($B$5:$B472,$B472)=1,1,0))</f>
        <v/>
      </c>
    </row>
    <row r="473">
      <c r="A473" s="6" t="n"/>
      <c r="B473" s="6" t="n"/>
      <c r="C473" s="6" t="n"/>
      <c r="D473" s="6" t="n"/>
      <c r="E473" s="6" t="n"/>
      <c r="F473" s="9">
        <f>IF(OR($D473="",$E473=""),"",$E473-$D473)</f>
        <v/>
      </c>
      <c r="G473" s="6" t="n"/>
      <c r="H473" s="6" t="n"/>
      <c r="I473" s="6" t="n"/>
      <c r="J473" s="9">
        <f>IF(OR(NOT(ISNUMBER($H473)),NOT(ISNUMBER($I473)),$H473=0),"",$I473/$H473)</f>
        <v/>
      </c>
      <c r="K473" s="6" t="n"/>
      <c r="L473" s="8" t="n"/>
      <c r="M473" s="7" t="n"/>
      <c r="N473" s="7" t="n"/>
      <c r="O473" s="9">
        <f>IF(NOT(ISNUMBER($M473)),"",IF($L473="Fine earth / fine-earth volume",$M473*(1-IF(ISNUMBER($K473),$K473,0)/100),$M473))</f>
        <v/>
      </c>
      <c r="P473" s="9">
        <f>IF(OR(NOT(ISNUMBER($O473)),NOT(ISNUMBER($N473)),NOT(ISNUMBER($F473))),"",$O473*($N473/100)*$F473*10)</f>
        <v/>
      </c>
      <c r="Q473" s="9">
        <f>IF(OR(NOT(ISNUMBER($D473)),NOT(ISNUMBER($E473))),"",MAX(0,MIN($E473,SOIL_REPORTING_DEPTH_CM)-MIN($D473,SOIL_REPORTING_DEPTH_CM)))</f>
        <v/>
      </c>
      <c r="R473" s="9">
        <f>IF(OR(NOT(ISNUMBER($O473)),NOT(ISNUMBER($N473)),NOT(ISNUMBER($Q473))),"",$O473*($N473/100)*$Q473*10)</f>
        <v/>
      </c>
      <c r="S473" s="11">
        <f>IF(AND($A473="",$B473="",$D473=""),"",IF(AND($A473&lt;&gt;"",COUNTIF('1. Plot &amp; Site Log'!$A$5:$A$64,$A473)=0),"Plot ID not in the Plot &amp; Site Log. ","")&amp;IF(AND(ISNUMBER($D473),ISNUMBER($E473),$E473&lt;=$D473),"Bottom depth is not below top depth. ","")&amp;IF($L473="Not confirmed","Bulk-density basis not confirmed with the lab — the coarse-fragment correction may be wrong or doubled. ","")&amp;IF(AND(ISNUMBER($M473),OR($M473&lt;QC_BD_MIN,$M473&gt;QC_BD_MAX)),"Bulk density outside the plausible range for a mineral grassland soil. ","")&amp;IF(AND(ISNUMBER($N473),$N473&gt;QC_CARBON_PCT_MAX),"Organic carbon above the QC ceiling — check units, and whether this is an organic horizon. ","")&amp;IF(AND(ISNUMBER($J473),$J473&lt;QC_RECOVERY_MIN),"Recovered less than the QC minimum of the depth driven — the increments may not sit where you think. Do NOT stretch them back out. ","")&amp;IF(AND(ISNUMBER($K473),$K473&gt;0,$L473="Fine earth / total volume"),"Coarse fragments recorded and the lab basis already accounts for them — no further correction applied, which is correct. ",""))</f>
        <v/>
      </c>
      <c r="T473" s="6" t="n"/>
      <c r="U473" s="9">
        <f>IF($B473="",0,IF(COUNTIFS($B$5:$B473,$B473)=1,1,0))</f>
        <v/>
      </c>
    </row>
    <row r="474">
      <c r="A474" s="6" t="n"/>
      <c r="B474" s="6" t="n"/>
      <c r="C474" s="6" t="n"/>
      <c r="D474" s="6" t="n"/>
      <c r="E474" s="6" t="n"/>
      <c r="F474" s="9">
        <f>IF(OR($D474="",$E474=""),"",$E474-$D474)</f>
        <v/>
      </c>
      <c r="G474" s="6" t="n"/>
      <c r="H474" s="6" t="n"/>
      <c r="I474" s="6" t="n"/>
      <c r="J474" s="9">
        <f>IF(OR(NOT(ISNUMBER($H474)),NOT(ISNUMBER($I474)),$H474=0),"",$I474/$H474)</f>
        <v/>
      </c>
      <c r="K474" s="6" t="n"/>
      <c r="L474" s="8" t="n"/>
      <c r="M474" s="7" t="n"/>
      <c r="N474" s="7" t="n"/>
      <c r="O474" s="9">
        <f>IF(NOT(ISNUMBER($M474)),"",IF($L474="Fine earth / fine-earth volume",$M474*(1-IF(ISNUMBER($K474),$K474,0)/100),$M474))</f>
        <v/>
      </c>
      <c r="P474" s="9">
        <f>IF(OR(NOT(ISNUMBER($O474)),NOT(ISNUMBER($N474)),NOT(ISNUMBER($F474))),"",$O474*($N474/100)*$F474*10)</f>
        <v/>
      </c>
      <c r="Q474" s="9">
        <f>IF(OR(NOT(ISNUMBER($D474)),NOT(ISNUMBER($E474))),"",MAX(0,MIN($E474,SOIL_REPORTING_DEPTH_CM)-MIN($D474,SOIL_REPORTING_DEPTH_CM)))</f>
        <v/>
      </c>
      <c r="R474" s="9">
        <f>IF(OR(NOT(ISNUMBER($O474)),NOT(ISNUMBER($N474)),NOT(ISNUMBER($Q474))),"",$O474*($N474/100)*$Q474*10)</f>
        <v/>
      </c>
      <c r="S474" s="11">
        <f>IF(AND($A474="",$B474="",$D474=""),"",IF(AND($A474&lt;&gt;"",COUNTIF('1. Plot &amp; Site Log'!$A$5:$A$64,$A474)=0),"Plot ID not in the Plot &amp; Site Log. ","")&amp;IF(AND(ISNUMBER($D474),ISNUMBER($E474),$E474&lt;=$D474),"Bottom depth is not below top depth. ","")&amp;IF($L474="Not confirmed","Bulk-density basis not confirmed with the lab — the coarse-fragment correction may be wrong or doubled. ","")&amp;IF(AND(ISNUMBER($M474),OR($M474&lt;QC_BD_MIN,$M474&gt;QC_BD_MAX)),"Bulk density outside the plausible range for a mineral grassland soil. ","")&amp;IF(AND(ISNUMBER($N474),$N474&gt;QC_CARBON_PCT_MAX),"Organic carbon above the QC ceiling — check units, and whether this is an organic horizon. ","")&amp;IF(AND(ISNUMBER($J474),$J474&lt;QC_RECOVERY_MIN),"Recovered less than the QC minimum of the depth driven — the increments may not sit where you think. Do NOT stretch them back out. ","")&amp;IF(AND(ISNUMBER($K474),$K474&gt;0,$L474="Fine earth / total volume"),"Coarse fragments recorded and the lab basis already accounts for them — no further correction applied, which is correct. ",""))</f>
        <v/>
      </c>
      <c r="T474" s="6" t="n"/>
      <c r="U474" s="9">
        <f>IF($B474="",0,IF(COUNTIFS($B$5:$B474,$B474)=1,1,0))</f>
        <v/>
      </c>
    </row>
    <row r="475">
      <c r="A475" s="6" t="n"/>
      <c r="B475" s="6" t="n"/>
      <c r="C475" s="6" t="n"/>
      <c r="D475" s="6" t="n"/>
      <c r="E475" s="6" t="n"/>
      <c r="F475" s="9">
        <f>IF(OR($D475="",$E475=""),"",$E475-$D475)</f>
        <v/>
      </c>
      <c r="G475" s="6" t="n"/>
      <c r="H475" s="6" t="n"/>
      <c r="I475" s="6" t="n"/>
      <c r="J475" s="9">
        <f>IF(OR(NOT(ISNUMBER($H475)),NOT(ISNUMBER($I475)),$H475=0),"",$I475/$H475)</f>
        <v/>
      </c>
      <c r="K475" s="6" t="n"/>
      <c r="L475" s="8" t="n"/>
      <c r="M475" s="7" t="n"/>
      <c r="N475" s="7" t="n"/>
      <c r="O475" s="9">
        <f>IF(NOT(ISNUMBER($M475)),"",IF($L475="Fine earth / fine-earth volume",$M475*(1-IF(ISNUMBER($K475),$K475,0)/100),$M475))</f>
        <v/>
      </c>
      <c r="P475" s="9">
        <f>IF(OR(NOT(ISNUMBER($O475)),NOT(ISNUMBER($N475)),NOT(ISNUMBER($F475))),"",$O475*($N475/100)*$F475*10)</f>
        <v/>
      </c>
      <c r="Q475" s="9">
        <f>IF(OR(NOT(ISNUMBER($D475)),NOT(ISNUMBER($E475))),"",MAX(0,MIN($E475,SOIL_REPORTING_DEPTH_CM)-MIN($D475,SOIL_REPORTING_DEPTH_CM)))</f>
        <v/>
      </c>
      <c r="R475" s="9">
        <f>IF(OR(NOT(ISNUMBER($O475)),NOT(ISNUMBER($N475)),NOT(ISNUMBER($Q475))),"",$O475*($N475/100)*$Q475*10)</f>
        <v/>
      </c>
      <c r="S475" s="11">
        <f>IF(AND($A475="",$B475="",$D475=""),"",IF(AND($A475&lt;&gt;"",COUNTIF('1. Plot &amp; Site Log'!$A$5:$A$64,$A475)=0),"Plot ID not in the Plot &amp; Site Log. ","")&amp;IF(AND(ISNUMBER($D475),ISNUMBER($E475),$E475&lt;=$D475),"Bottom depth is not below top depth. ","")&amp;IF($L475="Not confirmed","Bulk-density basis not confirmed with the lab — the coarse-fragment correction may be wrong or doubled. ","")&amp;IF(AND(ISNUMBER($M475),OR($M475&lt;QC_BD_MIN,$M475&gt;QC_BD_MAX)),"Bulk density outside the plausible range for a mineral grassland soil. ","")&amp;IF(AND(ISNUMBER($N475),$N475&gt;QC_CARBON_PCT_MAX),"Organic carbon above the QC ceiling — check units, and whether this is an organic horizon. ","")&amp;IF(AND(ISNUMBER($J475),$J475&lt;QC_RECOVERY_MIN),"Recovered less than the QC minimum of the depth driven — the increments may not sit where you think. Do NOT stretch them back out. ","")&amp;IF(AND(ISNUMBER($K475),$K475&gt;0,$L475="Fine earth / total volume"),"Coarse fragments recorded and the lab basis already accounts for them — no further correction applied, which is correct. ",""))</f>
        <v/>
      </c>
      <c r="T475" s="6" t="n"/>
      <c r="U475" s="9">
        <f>IF($B475="",0,IF(COUNTIFS($B$5:$B475,$B475)=1,1,0))</f>
        <v/>
      </c>
    </row>
    <row r="476">
      <c r="A476" s="6" t="n"/>
      <c r="B476" s="6" t="n"/>
      <c r="C476" s="6" t="n"/>
      <c r="D476" s="6" t="n"/>
      <c r="E476" s="6" t="n"/>
      <c r="F476" s="9">
        <f>IF(OR($D476="",$E476=""),"",$E476-$D476)</f>
        <v/>
      </c>
      <c r="G476" s="6" t="n"/>
      <c r="H476" s="6" t="n"/>
      <c r="I476" s="6" t="n"/>
      <c r="J476" s="9">
        <f>IF(OR(NOT(ISNUMBER($H476)),NOT(ISNUMBER($I476)),$H476=0),"",$I476/$H476)</f>
        <v/>
      </c>
      <c r="K476" s="6" t="n"/>
      <c r="L476" s="8" t="n"/>
      <c r="M476" s="7" t="n"/>
      <c r="N476" s="7" t="n"/>
      <c r="O476" s="9">
        <f>IF(NOT(ISNUMBER($M476)),"",IF($L476="Fine earth / fine-earth volume",$M476*(1-IF(ISNUMBER($K476),$K476,0)/100),$M476))</f>
        <v/>
      </c>
      <c r="P476" s="9">
        <f>IF(OR(NOT(ISNUMBER($O476)),NOT(ISNUMBER($N476)),NOT(ISNUMBER($F476))),"",$O476*($N476/100)*$F476*10)</f>
        <v/>
      </c>
      <c r="Q476" s="9">
        <f>IF(OR(NOT(ISNUMBER($D476)),NOT(ISNUMBER($E476))),"",MAX(0,MIN($E476,SOIL_REPORTING_DEPTH_CM)-MIN($D476,SOIL_REPORTING_DEPTH_CM)))</f>
        <v/>
      </c>
      <c r="R476" s="9">
        <f>IF(OR(NOT(ISNUMBER($O476)),NOT(ISNUMBER($N476)),NOT(ISNUMBER($Q476))),"",$O476*($N476/100)*$Q476*10)</f>
        <v/>
      </c>
      <c r="S476" s="11">
        <f>IF(AND($A476="",$B476="",$D476=""),"",IF(AND($A476&lt;&gt;"",COUNTIF('1. Plot &amp; Site Log'!$A$5:$A$64,$A476)=0),"Plot ID not in the Plot &amp; Site Log. ","")&amp;IF(AND(ISNUMBER($D476),ISNUMBER($E476),$E476&lt;=$D476),"Bottom depth is not below top depth. ","")&amp;IF($L476="Not confirmed","Bulk-density basis not confirmed with the lab — the coarse-fragment correction may be wrong or doubled. ","")&amp;IF(AND(ISNUMBER($M476),OR($M476&lt;QC_BD_MIN,$M476&gt;QC_BD_MAX)),"Bulk density outside the plausible range for a mineral grassland soil. ","")&amp;IF(AND(ISNUMBER($N476),$N476&gt;QC_CARBON_PCT_MAX),"Organic carbon above the QC ceiling — check units, and whether this is an organic horizon. ","")&amp;IF(AND(ISNUMBER($J476),$J476&lt;QC_RECOVERY_MIN),"Recovered less than the QC minimum of the depth driven — the increments may not sit where you think. Do NOT stretch them back out. ","")&amp;IF(AND(ISNUMBER($K476),$K476&gt;0,$L476="Fine earth / total volume"),"Coarse fragments recorded and the lab basis already accounts for them — no further correction applied, which is correct. ",""))</f>
        <v/>
      </c>
      <c r="T476" s="6" t="n"/>
      <c r="U476" s="9">
        <f>IF($B476="",0,IF(COUNTIFS($B$5:$B476,$B476)=1,1,0))</f>
        <v/>
      </c>
    </row>
    <row r="477">
      <c r="A477" s="6" t="n"/>
      <c r="B477" s="6" t="n"/>
      <c r="C477" s="6" t="n"/>
      <c r="D477" s="6" t="n"/>
      <c r="E477" s="6" t="n"/>
      <c r="F477" s="9">
        <f>IF(OR($D477="",$E477=""),"",$E477-$D477)</f>
        <v/>
      </c>
      <c r="G477" s="6" t="n"/>
      <c r="H477" s="6" t="n"/>
      <c r="I477" s="6" t="n"/>
      <c r="J477" s="9">
        <f>IF(OR(NOT(ISNUMBER($H477)),NOT(ISNUMBER($I477)),$H477=0),"",$I477/$H477)</f>
        <v/>
      </c>
      <c r="K477" s="6" t="n"/>
      <c r="L477" s="8" t="n"/>
      <c r="M477" s="7" t="n"/>
      <c r="N477" s="7" t="n"/>
      <c r="O477" s="9">
        <f>IF(NOT(ISNUMBER($M477)),"",IF($L477="Fine earth / fine-earth volume",$M477*(1-IF(ISNUMBER($K477),$K477,0)/100),$M477))</f>
        <v/>
      </c>
      <c r="P477" s="9">
        <f>IF(OR(NOT(ISNUMBER($O477)),NOT(ISNUMBER($N477)),NOT(ISNUMBER($F477))),"",$O477*($N477/100)*$F477*10)</f>
        <v/>
      </c>
      <c r="Q477" s="9">
        <f>IF(OR(NOT(ISNUMBER($D477)),NOT(ISNUMBER($E477))),"",MAX(0,MIN($E477,SOIL_REPORTING_DEPTH_CM)-MIN($D477,SOIL_REPORTING_DEPTH_CM)))</f>
        <v/>
      </c>
      <c r="R477" s="9">
        <f>IF(OR(NOT(ISNUMBER($O477)),NOT(ISNUMBER($N477)),NOT(ISNUMBER($Q477))),"",$O477*($N477/100)*$Q477*10)</f>
        <v/>
      </c>
      <c r="S477" s="11">
        <f>IF(AND($A477="",$B477="",$D477=""),"",IF(AND($A477&lt;&gt;"",COUNTIF('1. Plot &amp; Site Log'!$A$5:$A$64,$A477)=0),"Plot ID not in the Plot &amp; Site Log. ","")&amp;IF(AND(ISNUMBER($D477),ISNUMBER($E477),$E477&lt;=$D477),"Bottom depth is not below top depth. ","")&amp;IF($L477="Not confirmed","Bulk-density basis not confirmed with the lab — the coarse-fragment correction may be wrong or doubled. ","")&amp;IF(AND(ISNUMBER($M477),OR($M477&lt;QC_BD_MIN,$M477&gt;QC_BD_MAX)),"Bulk density outside the plausible range for a mineral grassland soil. ","")&amp;IF(AND(ISNUMBER($N477),$N477&gt;QC_CARBON_PCT_MAX),"Organic carbon above the QC ceiling — check units, and whether this is an organic horizon. ","")&amp;IF(AND(ISNUMBER($J477),$J477&lt;QC_RECOVERY_MIN),"Recovered less than the QC minimum of the depth driven — the increments may not sit where you think. Do NOT stretch them back out. ","")&amp;IF(AND(ISNUMBER($K477),$K477&gt;0,$L477="Fine earth / total volume"),"Coarse fragments recorded and the lab basis already accounts for them — no further correction applied, which is correct. ",""))</f>
        <v/>
      </c>
      <c r="T477" s="6" t="n"/>
      <c r="U477" s="9">
        <f>IF($B477="",0,IF(COUNTIFS($B$5:$B477,$B477)=1,1,0))</f>
        <v/>
      </c>
    </row>
    <row r="478">
      <c r="A478" s="6" t="n"/>
      <c r="B478" s="6" t="n"/>
      <c r="C478" s="6" t="n"/>
      <c r="D478" s="6" t="n"/>
      <c r="E478" s="6" t="n"/>
      <c r="F478" s="9">
        <f>IF(OR($D478="",$E478=""),"",$E478-$D478)</f>
        <v/>
      </c>
      <c r="G478" s="6" t="n"/>
      <c r="H478" s="6" t="n"/>
      <c r="I478" s="6" t="n"/>
      <c r="J478" s="9">
        <f>IF(OR(NOT(ISNUMBER($H478)),NOT(ISNUMBER($I478)),$H478=0),"",$I478/$H478)</f>
        <v/>
      </c>
      <c r="K478" s="6" t="n"/>
      <c r="L478" s="8" t="n"/>
      <c r="M478" s="7" t="n"/>
      <c r="N478" s="7" t="n"/>
      <c r="O478" s="9">
        <f>IF(NOT(ISNUMBER($M478)),"",IF($L478="Fine earth / fine-earth volume",$M478*(1-IF(ISNUMBER($K478),$K478,0)/100),$M478))</f>
        <v/>
      </c>
      <c r="P478" s="9">
        <f>IF(OR(NOT(ISNUMBER($O478)),NOT(ISNUMBER($N478)),NOT(ISNUMBER($F478))),"",$O478*($N478/100)*$F478*10)</f>
        <v/>
      </c>
      <c r="Q478" s="9">
        <f>IF(OR(NOT(ISNUMBER($D478)),NOT(ISNUMBER($E478))),"",MAX(0,MIN($E478,SOIL_REPORTING_DEPTH_CM)-MIN($D478,SOIL_REPORTING_DEPTH_CM)))</f>
        <v/>
      </c>
      <c r="R478" s="9">
        <f>IF(OR(NOT(ISNUMBER($O478)),NOT(ISNUMBER($N478)),NOT(ISNUMBER($Q478))),"",$O478*($N478/100)*$Q478*10)</f>
        <v/>
      </c>
      <c r="S478" s="11">
        <f>IF(AND($A478="",$B478="",$D478=""),"",IF(AND($A478&lt;&gt;"",COUNTIF('1. Plot &amp; Site Log'!$A$5:$A$64,$A478)=0),"Plot ID not in the Plot &amp; Site Log. ","")&amp;IF(AND(ISNUMBER($D478),ISNUMBER($E478),$E478&lt;=$D478),"Bottom depth is not below top depth. ","")&amp;IF($L478="Not confirmed","Bulk-density basis not confirmed with the lab — the coarse-fragment correction may be wrong or doubled. ","")&amp;IF(AND(ISNUMBER($M478),OR($M478&lt;QC_BD_MIN,$M478&gt;QC_BD_MAX)),"Bulk density outside the plausible range for a mineral grassland soil. ","")&amp;IF(AND(ISNUMBER($N478),$N478&gt;QC_CARBON_PCT_MAX),"Organic carbon above the QC ceiling — check units, and whether this is an organic horizon. ","")&amp;IF(AND(ISNUMBER($J478),$J478&lt;QC_RECOVERY_MIN),"Recovered less than the QC minimum of the depth driven — the increments may not sit where you think. Do NOT stretch them back out. ","")&amp;IF(AND(ISNUMBER($K478),$K478&gt;0,$L478="Fine earth / total volume"),"Coarse fragments recorded and the lab basis already accounts for them — no further correction applied, which is correct. ",""))</f>
        <v/>
      </c>
      <c r="T478" s="6" t="n"/>
      <c r="U478" s="9">
        <f>IF($B478="",0,IF(COUNTIFS($B$5:$B478,$B478)=1,1,0))</f>
        <v/>
      </c>
    </row>
    <row r="479">
      <c r="A479" s="6" t="n"/>
      <c r="B479" s="6" t="n"/>
      <c r="C479" s="6" t="n"/>
      <c r="D479" s="6" t="n"/>
      <c r="E479" s="6" t="n"/>
      <c r="F479" s="9">
        <f>IF(OR($D479="",$E479=""),"",$E479-$D479)</f>
        <v/>
      </c>
      <c r="G479" s="6" t="n"/>
      <c r="H479" s="6" t="n"/>
      <c r="I479" s="6" t="n"/>
      <c r="J479" s="9">
        <f>IF(OR(NOT(ISNUMBER($H479)),NOT(ISNUMBER($I479)),$H479=0),"",$I479/$H479)</f>
        <v/>
      </c>
      <c r="K479" s="6" t="n"/>
      <c r="L479" s="8" t="n"/>
      <c r="M479" s="7" t="n"/>
      <c r="N479" s="7" t="n"/>
      <c r="O479" s="9">
        <f>IF(NOT(ISNUMBER($M479)),"",IF($L479="Fine earth / fine-earth volume",$M479*(1-IF(ISNUMBER($K479),$K479,0)/100),$M479))</f>
        <v/>
      </c>
      <c r="P479" s="9">
        <f>IF(OR(NOT(ISNUMBER($O479)),NOT(ISNUMBER($N479)),NOT(ISNUMBER($F479))),"",$O479*($N479/100)*$F479*10)</f>
        <v/>
      </c>
      <c r="Q479" s="9">
        <f>IF(OR(NOT(ISNUMBER($D479)),NOT(ISNUMBER($E479))),"",MAX(0,MIN($E479,SOIL_REPORTING_DEPTH_CM)-MIN($D479,SOIL_REPORTING_DEPTH_CM)))</f>
        <v/>
      </c>
      <c r="R479" s="9">
        <f>IF(OR(NOT(ISNUMBER($O479)),NOT(ISNUMBER($N479)),NOT(ISNUMBER($Q479))),"",$O479*($N479/100)*$Q479*10)</f>
        <v/>
      </c>
      <c r="S479" s="11">
        <f>IF(AND($A479="",$B479="",$D479=""),"",IF(AND($A479&lt;&gt;"",COUNTIF('1. Plot &amp; Site Log'!$A$5:$A$64,$A479)=0),"Plot ID not in the Plot &amp; Site Log. ","")&amp;IF(AND(ISNUMBER($D479),ISNUMBER($E479),$E479&lt;=$D479),"Bottom depth is not below top depth. ","")&amp;IF($L479="Not confirmed","Bulk-density basis not confirmed with the lab — the coarse-fragment correction may be wrong or doubled. ","")&amp;IF(AND(ISNUMBER($M479),OR($M479&lt;QC_BD_MIN,$M479&gt;QC_BD_MAX)),"Bulk density outside the plausible range for a mineral grassland soil. ","")&amp;IF(AND(ISNUMBER($N479),$N479&gt;QC_CARBON_PCT_MAX),"Organic carbon above the QC ceiling — check units, and whether this is an organic horizon. ","")&amp;IF(AND(ISNUMBER($J479),$J479&lt;QC_RECOVERY_MIN),"Recovered less than the QC minimum of the depth driven — the increments may not sit where you think. Do NOT stretch them back out. ","")&amp;IF(AND(ISNUMBER($K479),$K479&gt;0,$L479="Fine earth / total volume"),"Coarse fragments recorded and the lab basis already accounts for them — no further correction applied, which is correct. ",""))</f>
        <v/>
      </c>
      <c r="T479" s="6" t="n"/>
      <c r="U479" s="9">
        <f>IF($B479="",0,IF(COUNTIFS($B$5:$B479,$B479)=1,1,0))</f>
        <v/>
      </c>
    </row>
    <row r="480">
      <c r="A480" s="6" t="n"/>
      <c r="B480" s="6" t="n"/>
      <c r="C480" s="6" t="n"/>
      <c r="D480" s="6" t="n"/>
      <c r="E480" s="6" t="n"/>
      <c r="F480" s="9">
        <f>IF(OR($D480="",$E480=""),"",$E480-$D480)</f>
        <v/>
      </c>
      <c r="G480" s="6" t="n"/>
      <c r="H480" s="6" t="n"/>
      <c r="I480" s="6" t="n"/>
      <c r="J480" s="9">
        <f>IF(OR(NOT(ISNUMBER($H480)),NOT(ISNUMBER($I480)),$H480=0),"",$I480/$H480)</f>
        <v/>
      </c>
      <c r="K480" s="6" t="n"/>
      <c r="L480" s="8" t="n"/>
      <c r="M480" s="7" t="n"/>
      <c r="N480" s="7" t="n"/>
      <c r="O480" s="9">
        <f>IF(NOT(ISNUMBER($M480)),"",IF($L480="Fine earth / fine-earth volume",$M480*(1-IF(ISNUMBER($K480),$K480,0)/100),$M480))</f>
        <v/>
      </c>
      <c r="P480" s="9">
        <f>IF(OR(NOT(ISNUMBER($O480)),NOT(ISNUMBER($N480)),NOT(ISNUMBER($F480))),"",$O480*($N480/100)*$F480*10)</f>
        <v/>
      </c>
      <c r="Q480" s="9">
        <f>IF(OR(NOT(ISNUMBER($D480)),NOT(ISNUMBER($E480))),"",MAX(0,MIN($E480,SOIL_REPORTING_DEPTH_CM)-MIN($D480,SOIL_REPORTING_DEPTH_CM)))</f>
        <v/>
      </c>
      <c r="R480" s="9">
        <f>IF(OR(NOT(ISNUMBER($O480)),NOT(ISNUMBER($N480)),NOT(ISNUMBER($Q480))),"",$O480*($N480/100)*$Q480*10)</f>
        <v/>
      </c>
      <c r="S480" s="11">
        <f>IF(AND($A480="",$B480="",$D480=""),"",IF(AND($A480&lt;&gt;"",COUNTIF('1. Plot &amp; Site Log'!$A$5:$A$64,$A480)=0),"Plot ID not in the Plot &amp; Site Log. ","")&amp;IF(AND(ISNUMBER($D480),ISNUMBER($E480),$E480&lt;=$D480),"Bottom depth is not below top depth. ","")&amp;IF($L480="Not confirmed","Bulk-density basis not confirmed with the lab — the coarse-fragment correction may be wrong or doubled. ","")&amp;IF(AND(ISNUMBER($M480),OR($M480&lt;QC_BD_MIN,$M480&gt;QC_BD_MAX)),"Bulk density outside the plausible range for a mineral grassland soil. ","")&amp;IF(AND(ISNUMBER($N480),$N480&gt;QC_CARBON_PCT_MAX),"Organic carbon above the QC ceiling — check units, and whether this is an organic horizon. ","")&amp;IF(AND(ISNUMBER($J480),$J480&lt;QC_RECOVERY_MIN),"Recovered less than the QC minimum of the depth driven — the increments may not sit where you think. Do NOT stretch them back out. ","")&amp;IF(AND(ISNUMBER($K480),$K480&gt;0,$L480="Fine earth / total volume"),"Coarse fragments recorded and the lab basis already accounts for them — no further correction applied, which is correct. ",""))</f>
        <v/>
      </c>
      <c r="T480" s="6" t="n"/>
      <c r="U480" s="9">
        <f>IF($B480="",0,IF(COUNTIFS($B$5:$B480,$B480)=1,1,0))</f>
        <v/>
      </c>
    </row>
    <row r="481">
      <c r="A481" s="6" t="n"/>
      <c r="B481" s="6" t="n"/>
      <c r="C481" s="6" t="n"/>
      <c r="D481" s="6" t="n"/>
      <c r="E481" s="6" t="n"/>
      <c r="F481" s="9">
        <f>IF(OR($D481="",$E481=""),"",$E481-$D481)</f>
        <v/>
      </c>
      <c r="G481" s="6" t="n"/>
      <c r="H481" s="6" t="n"/>
      <c r="I481" s="6" t="n"/>
      <c r="J481" s="9">
        <f>IF(OR(NOT(ISNUMBER($H481)),NOT(ISNUMBER($I481)),$H481=0),"",$I481/$H481)</f>
        <v/>
      </c>
      <c r="K481" s="6" t="n"/>
      <c r="L481" s="8" t="n"/>
      <c r="M481" s="7" t="n"/>
      <c r="N481" s="7" t="n"/>
      <c r="O481" s="9">
        <f>IF(NOT(ISNUMBER($M481)),"",IF($L481="Fine earth / fine-earth volume",$M481*(1-IF(ISNUMBER($K481),$K481,0)/100),$M481))</f>
        <v/>
      </c>
      <c r="P481" s="9">
        <f>IF(OR(NOT(ISNUMBER($O481)),NOT(ISNUMBER($N481)),NOT(ISNUMBER($F481))),"",$O481*($N481/100)*$F481*10)</f>
        <v/>
      </c>
      <c r="Q481" s="9">
        <f>IF(OR(NOT(ISNUMBER($D481)),NOT(ISNUMBER($E481))),"",MAX(0,MIN($E481,SOIL_REPORTING_DEPTH_CM)-MIN($D481,SOIL_REPORTING_DEPTH_CM)))</f>
        <v/>
      </c>
      <c r="R481" s="9">
        <f>IF(OR(NOT(ISNUMBER($O481)),NOT(ISNUMBER($N481)),NOT(ISNUMBER($Q481))),"",$O481*($N481/100)*$Q481*10)</f>
        <v/>
      </c>
      <c r="S481" s="11">
        <f>IF(AND($A481="",$B481="",$D481=""),"",IF(AND($A481&lt;&gt;"",COUNTIF('1. Plot &amp; Site Log'!$A$5:$A$64,$A481)=0),"Plot ID not in the Plot &amp; Site Log. ","")&amp;IF(AND(ISNUMBER($D481),ISNUMBER($E481),$E481&lt;=$D481),"Bottom depth is not below top depth. ","")&amp;IF($L481="Not confirmed","Bulk-density basis not confirmed with the lab — the coarse-fragment correction may be wrong or doubled. ","")&amp;IF(AND(ISNUMBER($M481),OR($M481&lt;QC_BD_MIN,$M481&gt;QC_BD_MAX)),"Bulk density outside the plausible range for a mineral grassland soil. ","")&amp;IF(AND(ISNUMBER($N481),$N481&gt;QC_CARBON_PCT_MAX),"Organic carbon above the QC ceiling — check units, and whether this is an organic horizon. ","")&amp;IF(AND(ISNUMBER($J481),$J481&lt;QC_RECOVERY_MIN),"Recovered less than the QC minimum of the depth driven — the increments may not sit where you think. Do NOT stretch them back out. ","")&amp;IF(AND(ISNUMBER($K481),$K481&gt;0,$L481="Fine earth / total volume"),"Coarse fragments recorded and the lab basis already accounts for them — no further correction applied, which is correct. ",""))</f>
        <v/>
      </c>
      <c r="T481" s="6" t="n"/>
      <c r="U481" s="9">
        <f>IF($B481="",0,IF(COUNTIFS($B$5:$B481,$B481)=1,1,0))</f>
        <v/>
      </c>
    </row>
    <row r="482">
      <c r="A482" s="6" t="n"/>
      <c r="B482" s="6" t="n"/>
      <c r="C482" s="6" t="n"/>
      <c r="D482" s="6" t="n"/>
      <c r="E482" s="6" t="n"/>
      <c r="F482" s="9">
        <f>IF(OR($D482="",$E482=""),"",$E482-$D482)</f>
        <v/>
      </c>
      <c r="G482" s="6" t="n"/>
      <c r="H482" s="6" t="n"/>
      <c r="I482" s="6" t="n"/>
      <c r="J482" s="9">
        <f>IF(OR(NOT(ISNUMBER($H482)),NOT(ISNUMBER($I482)),$H482=0),"",$I482/$H482)</f>
        <v/>
      </c>
      <c r="K482" s="6" t="n"/>
      <c r="L482" s="8" t="n"/>
      <c r="M482" s="7" t="n"/>
      <c r="N482" s="7" t="n"/>
      <c r="O482" s="9">
        <f>IF(NOT(ISNUMBER($M482)),"",IF($L482="Fine earth / fine-earth volume",$M482*(1-IF(ISNUMBER($K482),$K482,0)/100),$M482))</f>
        <v/>
      </c>
      <c r="P482" s="9">
        <f>IF(OR(NOT(ISNUMBER($O482)),NOT(ISNUMBER($N482)),NOT(ISNUMBER($F482))),"",$O482*($N482/100)*$F482*10)</f>
        <v/>
      </c>
      <c r="Q482" s="9">
        <f>IF(OR(NOT(ISNUMBER($D482)),NOT(ISNUMBER($E482))),"",MAX(0,MIN($E482,SOIL_REPORTING_DEPTH_CM)-MIN($D482,SOIL_REPORTING_DEPTH_CM)))</f>
        <v/>
      </c>
      <c r="R482" s="9">
        <f>IF(OR(NOT(ISNUMBER($O482)),NOT(ISNUMBER($N482)),NOT(ISNUMBER($Q482))),"",$O482*($N482/100)*$Q482*10)</f>
        <v/>
      </c>
      <c r="S482" s="11">
        <f>IF(AND($A482="",$B482="",$D482=""),"",IF(AND($A482&lt;&gt;"",COUNTIF('1. Plot &amp; Site Log'!$A$5:$A$64,$A482)=0),"Plot ID not in the Plot &amp; Site Log. ","")&amp;IF(AND(ISNUMBER($D482),ISNUMBER($E482),$E482&lt;=$D482),"Bottom depth is not below top depth. ","")&amp;IF($L482="Not confirmed","Bulk-density basis not confirmed with the lab — the coarse-fragment correction may be wrong or doubled. ","")&amp;IF(AND(ISNUMBER($M482),OR($M482&lt;QC_BD_MIN,$M482&gt;QC_BD_MAX)),"Bulk density outside the plausible range for a mineral grassland soil. ","")&amp;IF(AND(ISNUMBER($N482),$N482&gt;QC_CARBON_PCT_MAX),"Organic carbon above the QC ceiling — check units, and whether this is an organic horizon. ","")&amp;IF(AND(ISNUMBER($J482),$J482&lt;QC_RECOVERY_MIN),"Recovered less than the QC minimum of the depth driven — the increments may not sit where you think. Do NOT stretch them back out. ","")&amp;IF(AND(ISNUMBER($K482),$K482&gt;0,$L482="Fine earth / total volume"),"Coarse fragments recorded and the lab basis already accounts for them — no further correction applied, which is correct. ",""))</f>
        <v/>
      </c>
      <c r="T482" s="6" t="n"/>
      <c r="U482" s="9">
        <f>IF($B482="",0,IF(COUNTIFS($B$5:$B482,$B482)=1,1,0))</f>
        <v/>
      </c>
    </row>
    <row r="483">
      <c r="A483" s="6" t="n"/>
      <c r="B483" s="6" t="n"/>
      <c r="C483" s="6" t="n"/>
      <c r="D483" s="6" t="n"/>
      <c r="E483" s="6" t="n"/>
      <c r="F483" s="9">
        <f>IF(OR($D483="",$E483=""),"",$E483-$D483)</f>
        <v/>
      </c>
      <c r="G483" s="6" t="n"/>
      <c r="H483" s="6" t="n"/>
      <c r="I483" s="6" t="n"/>
      <c r="J483" s="9">
        <f>IF(OR(NOT(ISNUMBER($H483)),NOT(ISNUMBER($I483)),$H483=0),"",$I483/$H483)</f>
        <v/>
      </c>
      <c r="K483" s="6" t="n"/>
      <c r="L483" s="8" t="n"/>
      <c r="M483" s="7" t="n"/>
      <c r="N483" s="7" t="n"/>
      <c r="O483" s="9">
        <f>IF(NOT(ISNUMBER($M483)),"",IF($L483="Fine earth / fine-earth volume",$M483*(1-IF(ISNUMBER($K483),$K483,0)/100),$M483))</f>
        <v/>
      </c>
      <c r="P483" s="9">
        <f>IF(OR(NOT(ISNUMBER($O483)),NOT(ISNUMBER($N483)),NOT(ISNUMBER($F483))),"",$O483*($N483/100)*$F483*10)</f>
        <v/>
      </c>
      <c r="Q483" s="9">
        <f>IF(OR(NOT(ISNUMBER($D483)),NOT(ISNUMBER($E483))),"",MAX(0,MIN($E483,SOIL_REPORTING_DEPTH_CM)-MIN($D483,SOIL_REPORTING_DEPTH_CM)))</f>
        <v/>
      </c>
      <c r="R483" s="9">
        <f>IF(OR(NOT(ISNUMBER($O483)),NOT(ISNUMBER($N483)),NOT(ISNUMBER($Q483))),"",$O483*($N483/100)*$Q483*10)</f>
        <v/>
      </c>
      <c r="S483" s="11">
        <f>IF(AND($A483="",$B483="",$D483=""),"",IF(AND($A483&lt;&gt;"",COUNTIF('1. Plot &amp; Site Log'!$A$5:$A$64,$A483)=0),"Plot ID not in the Plot &amp; Site Log. ","")&amp;IF(AND(ISNUMBER($D483),ISNUMBER($E483),$E483&lt;=$D483),"Bottom depth is not below top depth. ","")&amp;IF($L483="Not confirmed","Bulk-density basis not confirmed with the lab — the coarse-fragment correction may be wrong or doubled. ","")&amp;IF(AND(ISNUMBER($M483),OR($M483&lt;QC_BD_MIN,$M483&gt;QC_BD_MAX)),"Bulk density outside the plausible range for a mineral grassland soil. ","")&amp;IF(AND(ISNUMBER($N483),$N483&gt;QC_CARBON_PCT_MAX),"Organic carbon above the QC ceiling — check units, and whether this is an organic horizon. ","")&amp;IF(AND(ISNUMBER($J483),$J483&lt;QC_RECOVERY_MIN),"Recovered less than the QC minimum of the depth driven — the increments may not sit where you think. Do NOT stretch them back out. ","")&amp;IF(AND(ISNUMBER($K483),$K483&gt;0,$L483="Fine earth / total volume"),"Coarse fragments recorded and the lab basis already accounts for them — no further correction applied, which is correct. ",""))</f>
        <v/>
      </c>
      <c r="T483" s="6" t="n"/>
      <c r="U483" s="9">
        <f>IF($B483="",0,IF(COUNTIFS($B$5:$B483,$B483)=1,1,0))</f>
        <v/>
      </c>
    </row>
    <row r="484">
      <c r="A484" s="6" t="n"/>
      <c r="B484" s="6" t="n"/>
      <c r="C484" s="6" t="n"/>
      <c r="D484" s="6" t="n"/>
      <c r="E484" s="6" t="n"/>
      <c r="F484" s="9">
        <f>IF(OR($D484="",$E484=""),"",$E484-$D484)</f>
        <v/>
      </c>
      <c r="G484" s="6" t="n"/>
      <c r="H484" s="6" t="n"/>
      <c r="I484" s="6" t="n"/>
      <c r="J484" s="9">
        <f>IF(OR(NOT(ISNUMBER($H484)),NOT(ISNUMBER($I484)),$H484=0),"",$I484/$H484)</f>
        <v/>
      </c>
      <c r="K484" s="6" t="n"/>
      <c r="L484" s="8" t="n"/>
      <c r="M484" s="7" t="n"/>
      <c r="N484" s="7" t="n"/>
      <c r="O484" s="9">
        <f>IF(NOT(ISNUMBER($M484)),"",IF($L484="Fine earth / fine-earth volume",$M484*(1-IF(ISNUMBER($K484),$K484,0)/100),$M484))</f>
        <v/>
      </c>
      <c r="P484" s="9">
        <f>IF(OR(NOT(ISNUMBER($O484)),NOT(ISNUMBER($N484)),NOT(ISNUMBER($F484))),"",$O484*($N484/100)*$F484*10)</f>
        <v/>
      </c>
      <c r="Q484" s="9">
        <f>IF(OR(NOT(ISNUMBER($D484)),NOT(ISNUMBER($E484))),"",MAX(0,MIN($E484,SOIL_REPORTING_DEPTH_CM)-MIN($D484,SOIL_REPORTING_DEPTH_CM)))</f>
        <v/>
      </c>
      <c r="R484" s="9">
        <f>IF(OR(NOT(ISNUMBER($O484)),NOT(ISNUMBER($N484)),NOT(ISNUMBER($Q484))),"",$O484*($N484/100)*$Q484*10)</f>
        <v/>
      </c>
      <c r="S484" s="11">
        <f>IF(AND($A484="",$B484="",$D484=""),"",IF(AND($A484&lt;&gt;"",COUNTIF('1. Plot &amp; Site Log'!$A$5:$A$64,$A484)=0),"Plot ID not in the Plot &amp; Site Log. ","")&amp;IF(AND(ISNUMBER($D484),ISNUMBER($E484),$E484&lt;=$D484),"Bottom depth is not below top depth. ","")&amp;IF($L484="Not confirmed","Bulk-density basis not confirmed with the lab — the coarse-fragment correction may be wrong or doubled. ","")&amp;IF(AND(ISNUMBER($M484),OR($M484&lt;QC_BD_MIN,$M484&gt;QC_BD_MAX)),"Bulk density outside the plausible range for a mineral grassland soil. ","")&amp;IF(AND(ISNUMBER($N484),$N484&gt;QC_CARBON_PCT_MAX),"Organic carbon above the QC ceiling — check units, and whether this is an organic horizon. ","")&amp;IF(AND(ISNUMBER($J484),$J484&lt;QC_RECOVERY_MIN),"Recovered less than the QC minimum of the depth driven — the increments may not sit where you think. Do NOT stretch them back out. ","")&amp;IF(AND(ISNUMBER($K484),$K484&gt;0,$L484="Fine earth / total volume"),"Coarse fragments recorded and the lab basis already accounts for them — no further correction applied, which is correct. ",""))</f>
        <v/>
      </c>
      <c r="T484" s="6" t="n"/>
      <c r="U484" s="9">
        <f>IF($B484="",0,IF(COUNTIFS($B$5:$B484,$B484)=1,1,0))</f>
        <v/>
      </c>
    </row>
    <row r="485">
      <c r="A485" s="6" t="n"/>
      <c r="B485" s="6" t="n"/>
      <c r="C485" s="6" t="n"/>
      <c r="D485" s="6" t="n"/>
      <c r="E485" s="6" t="n"/>
      <c r="F485" s="9">
        <f>IF(OR($D485="",$E485=""),"",$E485-$D485)</f>
        <v/>
      </c>
      <c r="G485" s="6" t="n"/>
      <c r="H485" s="6" t="n"/>
      <c r="I485" s="6" t="n"/>
      <c r="J485" s="9">
        <f>IF(OR(NOT(ISNUMBER($H485)),NOT(ISNUMBER($I485)),$H485=0),"",$I485/$H485)</f>
        <v/>
      </c>
      <c r="K485" s="6" t="n"/>
      <c r="L485" s="8" t="n"/>
      <c r="M485" s="7" t="n"/>
      <c r="N485" s="7" t="n"/>
      <c r="O485" s="9">
        <f>IF(NOT(ISNUMBER($M485)),"",IF($L485="Fine earth / fine-earth volume",$M485*(1-IF(ISNUMBER($K485),$K485,0)/100),$M485))</f>
        <v/>
      </c>
      <c r="P485" s="9">
        <f>IF(OR(NOT(ISNUMBER($O485)),NOT(ISNUMBER($N485)),NOT(ISNUMBER($F485))),"",$O485*($N485/100)*$F485*10)</f>
        <v/>
      </c>
      <c r="Q485" s="9">
        <f>IF(OR(NOT(ISNUMBER($D485)),NOT(ISNUMBER($E485))),"",MAX(0,MIN($E485,SOIL_REPORTING_DEPTH_CM)-MIN($D485,SOIL_REPORTING_DEPTH_CM)))</f>
        <v/>
      </c>
      <c r="R485" s="9">
        <f>IF(OR(NOT(ISNUMBER($O485)),NOT(ISNUMBER($N485)),NOT(ISNUMBER($Q485))),"",$O485*($N485/100)*$Q485*10)</f>
        <v/>
      </c>
      <c r="S485" s="11">
        <f>IF(AND($A485="",$B485="",$D485=""),"",IF(AND($A485&lt;&gt;"",COUNTIF('1. Plot &amp; Site Log'!$A$5:$A$64,$A485)=0),"Plot ID not in the Plot &amp; Site Log. ","")&amp;IF(AND(ISNUMBER($D485),ISNUMBER($E485),$E485&lt;=$D485),"Bottom depth is not below top depth. ","")&amp;IF($L485="Not confirmed","Bulk-density basis not confirmed with the lab — the coarse-fragment correction may be wrong or doubled. ","")&amp;IF(AND(ISNUMBER($M485),OR($M485&lt;QC_BD_MIN,$M485&gt;QC_BD_MAX)),"Bulk density outside the plausible range for a mineral grassland soil. ","")&amp;IF(AND(ISNUMBER($N485),$N485&gt;QC_CARBON_PCT_MAX),"Organic carbon above the QC ceiling — check units, and whether this is an organic horizon. ","")&amp;IF(AND(ISNUMBER($J485),$J485&lt;QC_RECOVERY_MIN),"Recovered less than the QC minimum of the depth driven — the increments may not sit where you think. Do NOT stretch them back out. ","")&amp;IF(AND(ISNUMBER($K485),$K485&gt;0,$L485="Fine earth / total volume"),"Coarse fragments recorded and the lab basis already accounts for them — no further correction applied, which is correct. ",""))</f>
        <v/>
      </c>
      <c r="T485" s="6" t="n"/>
      <c r="U485" s="9">
        <f>IF($B485="",0,IF(COUNTIFS($B$5:$B485,$B485)=1,1,0))</f>
        <v/>
      </c>
    </row>
    <row r="486">
      <c r="A486" s="6" t="n"/>
      <c r="B486" s="6" t="n"/>
      <c r="C486" s="6" t="n"/>
      <c r="D486" s="6" t="n"/>
      <c r="E486" s="6" t="n"/>
      <c r="F486" s="9">
        <f>IF(OR($D486="",$E486=""),"",$E486-$D486)</f>
        <v/>
      </c>
      <c r="G486" s="6" t="n"/>
      <c r="H486" s="6" t="n"/>
      <c r="I486" s="6" t="n"/>
      <c r="J486" s="9">
        <f>IF(OR(NOT(ISNUMBER($H486)),NOT(ISNUMBER($I486)),$H486=0),"",$I486/$H486)</f>
        <v/>
      </c>
      <c r="K486" s="6" t="n"/>
      <c r="L486" s="8" t="n"/>
      <c r="M486" s="7" t="n"/>
      <c r="N486" s="7" t="n"/>
      <c r="O486" s="9">
        <f>IF(NOT(ISNUMBER($M486)),"",IF($L486="Fine earth / fine-earth volume",$M486*(1-IF(ISNUMBER($K486),$K486,0)/100),$M486))</f>
        <v/>
      </c>
      <c r="P486" s="9">
        <f>IF(OR(NOT(ISNUMBER($O486)),NOT(ISNUMBER($N486)),NOT(ISNUMBER($F486))),"",$O486*($N486/100)*$F486*10)</f>
        <v/>
      </c>
      <c r="Q486" s="9">
        <f>IF(OR(NOT(ISNUMBER($D486)),NOT(ISNUMBER($E486))),"",MAX(0,MIN($E486,SOIL_REPORTING_DEPTH_CM)-MIN($D486,SOIL_REPORTING_DEPTH_CM)))</f>
        <v/>
      </c>
      <c r="R486" s="9">
        <f>IF(OR(NOT(ISNUMBER($O486)),NOT(ISNUMBER($N486)),NOT(ISNUMBER($Q486))),"",$O486*($N486/100)*$Q486*10)</f>
        <v/>
      </c>
      <c r="S486" s="11">
        <f>IF(AND($A486="",$B486="",$D486=""),"",IF(AND($A486&lt;&gt;"",COUNTIF('1. Plot &amp; Site Log'!$A$5:$A$64,$A486)=0),"Plot ID not in the Plot &amp; Site Log. ","")&amp;IF(AND(ISNUMBER($D486),ISNUMBER($E486),$E486&lt;=$D486),"Bottom depth is not below top depth. ","")&amp;IF($L486="Not confirmed","Bulk-density basis not confirmed with the lab — the coarse-fragment correction may be wrong or doubled. ","")&amp;IF(AND(ISNUMBER($M486),OR($M486&lt;QC_BD_MIN,$M486&gt;QC_BD_MAX)),"Bulk density outside the plausible range for a mineral grassland soil. ","")&amp;IF(AND(ISNUMBER($N486),$N486&gt;QC_CARBON_PCT_MAX),"Organic carbon above the QC ceiling — check units, and whether this is an organic horizon. ","")&amp;IF(AND(ISNUMBER($J486),$J486&lt;QC_RECOVERY_MIN),"Recovered less than the QC minimum of the depth driven — the increments may not sit where you think. Do NOT stretch them back out. ","")&amp;IF(AND(ISNUMBER($K486),$K486&gt;0,$L486="Fine earth / total volume"),"Coarse fragments recorded and the lab basis already accounts for them — no further correction applied, which is correct. ",""))</f>
        <v/>
      </c>
      <c r="T486" s="6" t="n"/>
      <c r="U486" s="9">
        <f>IF($B486="",0,IF(COUNTIFS($B$5:$B486,$B486)=1,1,0))</f>
        <v/>
      </c>
    </row>
    <row r="487">
      <c r="A487" s="6" t="n"/>
      <c r="B487" s="6" t="n"/>
      <c r="C487" s="6" t="n"/>
      <c r="D487" s="6" t="n"/>
      <c r="E487" s="6" t="n"/>
      <c r="F487" s="9">
        <f>IF(OR($D487="",$E487=""),"",$E487-$D487)</f>
        <v/>
      </c>
      <c r="G487" s="6" t="n"/>
      <c r="H487" s="6" t="n"/>
      <c r="I487" s="6" t="n"/>
      <c r="J487" s="9">
        <f>IF(OR(NOT(ISNUMBER($H487)),NOT(ISNUMBER($I487)),$H487=0),"",$I487/$H487)</f>
        <v/>
      </c>
      <c r="K487" s="6" t="n"/>
      <c r="L487" s="8" t="n"/>
      <c r="M487" s="7" t="n"/>
      <c r="N487" s="7" t="n"/>
      <c r="O487" s="9">
        <f>IF(NOT(ISNUMBER($M487)),"",IF($L487="Fine earth / fine-earth volume",$M487*(1-IF(ISNUMBER($K487),$K487,0)/100),$M487))</f>
        <v/>
      </c>
      <c r="P487" s="9">
        <f>IF(OR(NOT(ISNUMBER($O487)),NOT(ISNUMBER($N487)),NOT(ISNUMBER($F487))),"",$O487*($N487/100)*$F487*10)</f>
        <v/>
      </c>
      <c r="Q487" s="9">
        <f>IF(OR(NOT(ISNUMBER($D487)),NOT(ISNUMBER($E487))),"",MAX(0,MIN($E487,SOIL_REPORTING_DEPTH_CM)-MIN($D487,SOIL_REPORTING_DEPTH_CM)))</f>
        <v/>
      </c>
      <c r="R487" s="9">
        <f>IF(OR(NOT(ISNUMBER($O487)),NOT(ISNUMBER($N487)),NOT(ISNUMBER($Q487))),"",$O487*($N487/100)*$Q487*10)</f>
        <v/>
      </c>
      <c r="S487" s="11">
        <f>IF(AND($A487="",$B487="",$D487=""),"",IF(AND($A487&lt;&gt;"",COUNTIF('1. Plot &amp; Site Log'!$A$5:$A$64,$A487)=0),"Plot ID not in the Plot &amp; Site Log. ","")&amp;IF(AND(ISNUMBER($D487),ISNUMBER($E487),$E487&lt;=$D487),"Bottom depth is not below top depth. ","")&amp;IF($L487="Not confirmed","Bulk-density basis not confirmed with the lab — the coarse-fragment correction may be wrong or doubled. ","")&amp;IF(AND(ISNUMBER($M487),OR($M487&lt;QC_BD_MIN,$M487&gt;QC_BD_MAX)),"Bulk density outside the plausible range for a mineral grassland soil. ","")&amp;IF(AND(ISNUMBER($N487),$N487&gt;QC_CARBON_PCT_MAX),"Organic carbon above the QC ceiling — check units, and whether this is an organic horizon. ","")&amp;IF(AND(ISNUMBER($J487),$J487&lt;QC_RECOVERY_MIN),"Recovered less than the QC minimum of the depth driven — the increments may not sit where you think. Do NOT stretch them back out. ","")&amp;IF(AND(ISNUMBER($K487),$K487&gt;0,$L487="Fine earth / total volume"),"Coarse fragments recorded and the lab basis already accounts for them — no further correction applied, which is correct. ",""))</f>
        <v/>
      </c>
      <c r="T487" s="6" t="n"/>
      <c r="U487" s="9">
        <f>IF($B487="",0,IF(COUNTIFS($B$5:$B487,$B487)=1,1,0))</f>
        <v/>
      </c>
    </row>
    <row r="488">
      <c r="A488" s="6" t="n"/>
      <c r="B488" s="6" t="n"/>
      <c r="C488" s="6" t="n"/>
      <c r="D488" s="6" t="n"/>
      <c r="E488" s="6" t="n"/>
      <c r="F488" s="9">
        <f>IF(OR($D488="",$E488=""),"",$E488-$D488)</f>
        <v/>
      </c>
      <c r="G488" s="6" t="n"/>
      <c r="H488" s="6" t="n"/>
      <c r="I488" s="6" t="n"/>
      <c r="J488" s="9">
        <f>IF(OR(NOT(ISNUMBER($H488)),NOT(ISNUMBER($I488)),$H488=0),"",$I488/$H488)</f>
        <v/>
      </c>
      <c r="K488" s="6" t="n"/>
      <c r="L488" s="8" t="n"/>
      <c r="M488" s="7" t="n"/>
      <c r="N488" s="7" t="n"/>
      <c r="O488" s="9">
        <f>IF(NOT(ISNUMBER($M488)),"",IF($L488="Fine earth / fine-earth volume",$M488*(1-IF(ISNUMBER($K488),$K488,0)/100),$M488))</f>
        <v/>
      </c>
      <c r="P488" s="9">
        <f>IF(OR(NOT(ISNUMBER($O488)),NOT(ISNUMBER($N488)),NOT(ISNUMBER($F488))),"",$O488*($N488/100)*$F488*10)</f>
        <v/>
      </c>
      <c r="Q488" s="9">
        <f>IF(OR(NOT(ISNUMBER($D488)),NOT(ISNUMBER($E488))),"",MAX(0,MIN($E488,SOIL_REPORTING_DEPTH_CM)-MIN($D488,SOIL_REPORTING_DEPTH_CM)))</f>
        <v/>
      </c>
      <c r="R488" s="9">
        <f>IF(OR(NOT(ISNUMBER($O488)),NOT(ISNUMBER($N488)),NOT(ISNUMBER($Q488))),"",$O488*($N488/100)*$Q488*10)</f>
        <v/>
      </c>
      <c r="S488" s="11">
        <f>IF(AND($A488="",$B488="",$D488=""),"",IF(AND($A488&lt;&gt;"",COUNTIF('1. Plot &amp; Site Log'!$A$5:$A$64,$A488)=0),"Plot ID not in the Plot &amp; Site Log. ","")&amp;IF(AND(ISNUMBER($D488),ISNUMBER($E488),$E488&lt;=$D488),"Bottom depth is not below top depth. ","")&amp;IF($L488="Not confirmed","Bulk-density basis not confirmed with the lab — the coarse-fragment correction may be wrong or doubled. ","")&amp;IF(AND(ISNUMBER($M488),OR($M488&lt;QC_BD_MIN,$M488&gt;QC_BD_MAX)),"Bulk density outside the plausible range for a mineral grassland soil. ","")&amp;IF(AND(ISNUMBER($N488),$N488&gt;QC_CARBON_PCT_MAX),"Organic carbon above the QC ceiling — check units, and whether this is an organic horizon. ","")&amp;IF(AND(ISNUMBER($J488),$J488&lt;QC_RECOVERY_MIN),"Recovered less than the QC minimum of the depth driven — the increments may not sit where you think. Do NOT stretch them back out. ","")&amp;IF(AND(ISNUMBER($K488),$K488&gt;0,$L488="Fine earth / total volume"),"Coarse fragments recorded and the lab basis already accounts for them — no further correction applied, which is correct. ",""))</f>
        <v/>
      </c>
      <c r="T488" s="6" t="n"/>
      <c r="U488" s="9">
        <f>IF($B488="",0,IF(COUNTIFS($B$5:$B488,$B488)=1,1,0))</f>
        <v/>
      </c>
    </row>
    <row r="489">
      <c r="A489" s="6" t="n"/>
      <c r="B489" s="6" t="n"/>
      <c r="C489" s="6" t="n"/>
      <c r="D489" s="6" t="n"/>
      <c r="E489" s="6" t="n"/>
      <c r="F489" s="9">
        <f>IF(OR($D489="",$E489=""),"",$E489-$D489)</f>
        <v/>
      </c>
      <c r="G489" s="6" t="n"/>
      <c r="H489" s="6" t="n"/>
      <c r="I489" s="6" t="n"/>
      <c r="J489" s="9">
        <f>IF(OR(NOT(ISNUMBER($H489)),NOT(ISNUMBER($I489)),$H489=0),"",$I489/$H489)</f>
        <v/>
      </c>
      <c r="K489" s="6" t="n"/>
      <c r="L489" s="8" t="n"/>
      <c r="M489" s="7" t="n"/>
      <c r="N489" s="7" t="n"/>
      <c r="O489" s="9">
        <f>IF(NOT(ISNUMBER($M489)),"",IF($L489="Fine earth / fine-earth volume",$M489*(1-IF(ISNUMBER($K489),$K489,0)/100),$M489))</f>
        <v/>
      </c>
      <c r="P489" s="9">
        <f>IF(OR(NOT(ISNUMBER($O489)),NOT(ISNUMBER($N489)),NOT(ISNUMBER($F489))),"",$O489*($N489/100)*$F489*10)</f>
        <v/>
      </c>
      <c r="Q489" s="9">
        <f>IF(OR(NOT(ISNUMBER($D489)),NOT(ISNUMBER($E489))),"",MAX(0,MIN($E489,SOIL_REPORTING_DEPTH_CM)-MIN($D489,SOIL_REPORTING_DEPTH_CM)))</f>
        <v/>
      </c>
      <c r="R489" s="9">
        <f>IF(OR(NOT(ISNUMBER($O489)),NOT(ISNUMBER($N489)),NOT(ISNUMBER($Q489))),"",$O489*($N489/100)*$Q489*10)</f>
        <v/>
      </c>
      <c r="S489" s="11">
        <f>IF(AND($A489="",$B489="",$D489=""),"",IF(AND($A489&lt;&gt;"",COUNTIF('1. Plot &amp; Site Log'!$A$5:$A$64,$A489)=0),"Plot ID not in the Plot &amp; Site Log. ","")&amp;IF(AND(ISNUMBER($D489),ISNUMBER($E489),$E489&lt;=$D489),"Bottom depth is not below top depth. ","")&amp;IF($L489="Not confirmed","Bulk-density basis not confirmed with the lab — the coarse-fragment correction may be wrong or doubled. ","")&amp;IF(AND(ISNUMBER($M489),OR($M489&lt;QC_BD_MIN,$M489&gt;QC_BD_MAX)),"Bulk density outside the plausible range for a mineral grassland soil. ","")&amp;IF(AND(ISNUMBER($N489),$N489&gt;QC_CARBON_PCT_MAX),"Organic carbon above the QC ceiling — check units, and whether this is an organic horizon. ","")&amp;IF(AND(ISNUMBER($J489),$J489&lt;QC_RECOVERY_MIN),"Recovered less than the QC minimum of the depth driven — the increments may not sit where you think. Do NOT stretch them back out. ","")&amp;IF(AND(ISNUMBER($K489),$K489&gt;0,$L489="Fine earth / total volume"),"Coarse fragments recorded and the lab basis already accounts for them — no further correction applied, which is correct. ",""))</f>
        <v/>
      </c>
      <c r="T489" s="6" t="n"/>
      <c r="U489" s="9">
        <f>IF($B489="",0,IF(COUNTIFS($B$5:$B489,$B489)=1,1,0))</f>
        <v/>
      </c>
    </row>
    <row r="490">
      <c r="A490" s="6" t="n"/>
      <c r="B490" s="6" t="n"/>
      <c r="C490" s="6" t="n"/>
      <c r="D490" s="6" t="n"/>
      <c r="E490" s="6" t="n"/>
      <c r="F490" s="9">
        <f>IF(OR($D490="",$E490=""),"",$E490-$D490)</f>
        <v/>
      </c>
      <c r="G490" s="6" t="n"/>
      <c r="H490" s="6" t="n"/>
      <c r="I490" s="6" t="n"/>
      <c r="J490" s="9">
        <f>IF(OR(NOT(ISNUMBER($H490)),NOT(ISNUMBER($I490)),$H490=0),"",$I490/$H490)</f>
        <v/>
      </c>
      <c r="K490" s="6" t="n"/>
      <c r="L490" s="8" t="n"/>
      <c r="M490" s="7" t="n"/>
      <c r="N490" s="7" t="n"/>
      <c r="O490" s="9">
        <f>IF(NOT(ISNUMBER($M490)),"",IF($L490="Fine earth / fine-earth volume",$M490*(1-IF(ISNUMBER($K490),$K490,0)/100),$M490))</f>
        <v/>
      </c>
      <c r="P490" s="9">
        <f>IF(OR(NOT(ISNUMBER($O490)),NOT(ISNUMBER($N490)),NOT(ISNUMBER($F490))),"",$O490*($N490/100)*$F490*10)</f>
        <v/>
      </c>
      <c r="Q490" s="9">
        <f>IF(OR(NOT(ISNUMBER($D490)),NOT(ISNUMBER($E490))),"",MAX(0,MIN($E490,SOIL_REPORTING_DEPTH_CM)-MIN($D490,SOIL_REPORTING_DEPTH_CM)))</f>
        <v/>
      </c>
      <c r="R490" s="9">
        <f>IF(OR(NOT(ISNUMBER($O490)),NOT(ISNUMBER($N490)),NOT(ISNUMBER($Q490))),"",$O490*($N490/100)*$Q490*10)</f>
        <v/>
      </c>
      <c r="S490" s="11">
        <f>IF(AND($A490="",$B490="",$D490=""),"",IF(AND($A490&lt;&gt;"",COUNTIF('1. Plot &amp; Site Log'!$A$5:$A$64,$A490)=0),"Plot ID not in the Plot &amp; Site Log. ","")&amp;IF(AND(ISNUMBER($D490),ISNUMBER($E490),$E490&lt;=$D490),"Bottom depth is not below top depth. ","")&amp;IF($L490="Not confirmed","Bulk-density basis not confirmed with the lab — the coarse-fragment correction may be wrong or doubled. ","")&amp;IF(AND(ISNUMBER($M490),OR($M490&lt;QC_BD_MIN,$M490&gt;QC_BD_MAX)),"Bulk density outside the plausible range for a mineral grassland soil. ","")&amp;IF(AND(ISNUMBER($N490),$N490&gt;QC_CARBON_PCT_MAX),"Organic carbon above the QC ceiling — check units, and whether this is an organic horizon. ","")&amp;IF(AND(ISNUMBER($J490),$J490&lt;QC_RECOVERY_MIN),"Recovered less than the QC minimum of the depth driven — the increments may not sit where you think. Do NOT stretch them back out. ","")&amp;IF(AND(ISNUMBER($K490),$K490&gt;0,$L490="Fine earth / total volume"),"Coarse fragments recorded and the lab basis already accounts for them — no further correction applied, which is correct. ",""))</f>
        <v/>
      </c>
      <c r="T490" s="6" t="n"/>
      <c r="U490" s="9">
        <f>IF($B490="",0,IF(COUNTIFS($B$5:$B490,$B490)=1,1,0))</f>
        <v/>
      </c>
    </row>
    <row r="491">
      <c r="A491" s="6" t="n"/>
      <c r="B491" s="6" t="n"/>
      <c r="C491" s="6" t="n"/>
      <c r="D491" s="6" t="n"/>
      <c r="E491" s="6" t="n"/>
      <c r="F491" s="9">
        <f>IF(OR($D491="",$E491=""),"",$E491-$D491)</f>
        <v/>
      </c>
      <c r="G491" s="6" t="n"/>
      <c r="H491" s="6" t="n"/>
      <c r="I491" s="6" t="n"/>
      <c r="J491" s="9">
        <f>IF(OR(NOT(ISNUMBER($H491)),NOT(ISNUMBER($I491)),$H491=0),"",$I491/$H491)</f>
        <v/>
      </c>
      <c r="K491" s="6" t="n"/>
      <c r="L491" s="8" t="n"/>
      <c r="M491" s="7" t="n"/>
      <c r="N491" s="7" t="n"/>
      <c r="O491" s="9">
        <f>IF(NOT(ISNUMBER($M491)),"",IF($L491="Fine earth / fine-earth volume",$M491*(1-IF(ISNUMBER($K491),$K491,0)/100),$M491))</f>
        <v/>
      </c>
      <c r="P491" s="9">
        <f>IF(OR(NOT(ISNUMBER($O491)),NOT(ISNUMBER($N491)),NOT(ISNUMBER($F491))),"",$O491*($N491/100)*$F491*10)</f>
        <v/>
      </c>
      <c r="Q491" s="9">
        <f>IF(OR(NOT(ISNUMBER($D491)),NOT(ISNUMBER($E491))),"",MAX(0,MIN($E491,SOIL_REPORTING_DEPTH_CM)-MIN($D491,SOIL_REPORTING_DEPTH_CM)))</f>
        <v/>
      </c>
      <c r="R491" s="9">
        <f>IF(OR(NOT(ISNUMBER($O491)),NOT(ISNUMBER($N491)),NOT(ISNUMBER($Q491))),"",$O491*($N491/100)*$Q491*10)</f>
        <v/>
      </c>
      <c r="S491" s="11">
        <f>IF(AND($A491="",$B491="",$D491=""),"",IF(AND($A491&lt;&gt;"",COUNTIF('1. Plot &amp; Site Log'!$A$5:$A$64,$A491)=0),"Plot ID not in the Plot &amp; Site Log. ","")&amp;IF(AND(ISNUMBER($D491),ISNUMBER($E491),$E491&lt;=$D491),"Bottom depth is not below top depth. ","")&amp;IF($L491="Not confirmed","Bulk-density basis not confirmed with the lab — the coarse-fragment correction may be wrong or doubled. ","")&amp;IF(AND(ISNUMBER($M491),OR($M491&lt;QC_BD_MIN,$M491&gt;QC_BD_MAX)),"Bulk density outside the plausible range for a mineral grassland soil. ","")&amp;IF(AND(ISNUMBER($N491),$N491&gt;QC_CARBON_PCT_MAX),"Organic carbon above the QC ceiling — check units, and whether this is an organic horizon. ","")&amp;IF(AND(ISNUMBER($J491),$J491&lt;QC_RECOVERY_MIN),"Recovered less than the QC minimum of the depth driven — the increments may not sit where you think. Do NOT stretch them back out. ","")&amp;IF(AND(ISNUMBER($K491),$K491&gt;0,$L491="Fine earth / total volume"),"Coarse fragments recorded and the lab basis already accounts for them — no further correction applied, which is correct. ",""))</f>
        <v/>
      </c>
      <c r="T491" s="6" t="n"/>
      <c r="U491" s="9">
        <f>IF($B491="",0,IF(COUNTIFS($B$5:$B491,$B491)=1,1,0))</f>
        <v/>
      </c>
    </row>
    <row r="492">
      <c r="A492" s="6" t="n"/>
      <c r="B492" s="6" t="n"/>
      <c r="C492" s="6" t="n"/>
      <c r="D492" s="6" t="n"/>
      <c r="E492" s="6" t="n"/>
      <c r="F492" s="9">
        <f>IF(OR($D492="",$E492=""),"",$E492-$D492)</f>
        <v/>
      </c>
      <c r="G492" s="6" t="n"/>
      <c r="H492" s="6" t="n"/>
      <c r="I492" s="6" t="n"/>
      <c r="J492" s="9">
        <f>IF(OR(NOT(ISNUMBER($H492)),NOT(ISNUMBER($I492)),$H492=0),"",$I492/$H492)</f>
        <v/>
      </c>
      <c r="K492" s="6" t="n"/>
      <c r="L492" s="8" t="n"/>
      <c r="M492" s="7" t="n"/>
      <c r="N492" s="7" t="n"/>
      <c r="O492" s="9">
        <f>IF(NOT(ISNUMBER($M492)),"",IF($L492="Fine earth / fine-earth volume",$M492*(1-IF(ISNUMBER($K492),$K492,0)/100),$M492))</f>
        <v/>
      </c>
      <c r="P492" s="9">
        <f>IF(OR(NOT(ISNUMBER($O492)),NOT(ISNUMBER($N492)),NOT(ISNUMBER($F492))),"",$O492*($N492/100)*$F492*10)</f>
        <v/>
      </c>
      <c r="Q492" s="9">
        <f>IF(OR(NOT(ISNUMBER($D492)),NOT(ISNUMBER($E492))),"",MAX(0,MIN($E492,SOIL_REPORTING_DEPTH_CM)-MIN($D492,SOIL_REPORTING_DEPTH_CM)))</f>
        <v/>
      </c>
      <c r="R492" s="9">
        <f>IF(OR(NOT(ISNUMBER($O492)),NOT(ISNUMBER($N492)),NOT(ISNUMBER($Q492))),"",$O492*($N492/100)*$Q492*10)</f>
        <v/>
      </c>
      <c r="S492" s="11">
        <f>IF(AND($A492="",$B492="",$D492=""),"",IF(AND($A492&lt;&gt;"",COUNTIF('1. Plot &amp; Site Log'!$A$5:$A$64,$A492)=0),"Plot ID not in the Plot &amp; Site Log. ","")&amp;IF(AND(ISNUMBER($D492),ISNUMBER($E492),$E492&lt;=$D492),"Bottom depth is not below top depth. ","")&amp;IF($L492="Not confirmed","Bulk-density basis not confirmed with the lab — the coarse-fragment correction may be wrong or doubled. ","")&amp;IF(AND(ISNUMBER($M492),OR($M492&lt;QC_BD_MIN,$M492&gt;QC_BD_MAX)),"Bulk density outside the plausible range for a mineral grassland soil. ","")&amp;IF(AND(ISNUMBER($N492),$N492&gt;QC_CARBON_PCT_MAX),"Organic carbon above the QC ceiling — check units, and whether this is an organic horizon. ","")&amp;IF(AND(ISNUMBER($J492),$J492&lt;QC_RECOVERY_MIN),"Recovered less than the QC minimum of the depth driven — the increments may not sit where you think. Do NOT stretch them back out. ","")&amp;IF(AND(ISNUMBER($K492),$K492&gt;0,$L492="Fine earth / total volume"),"Coarse fragments recorded and the lab basis already accounts for them — no further correction applied, which is correct. ",""))</f>
        <v/>
      </c>
      <c r="T492" s="6" t="n"/>
      <c r="U492" s="9">
        <f>IF($B492="",0,IF(COUNTIFS($B$5:$B492,$B492)=1,1,0))</f>
        <v/>
      </c>
    </row>
    <row r="493">
      <c r="A493" s="6" t="n"/>
      <c r="B493" s="6" t="n"/>
      <c r="C493" s="6" t="n"/>
      <c r="D493" s="6" t="n"/>
      <c r="E493" s="6" t="n"/>
      <c r="F493" s="9">
        <f>IF(OR($D493="",$E493=""),"",$E493-$D493)</f>
        <v/>
      </c>
      <c r="G493" s="6" t="n"/>
      <c r="H493" s="6" t="n"/>
      <c r="I493" s="6" t="n"/>
      <c r="J493" s="9">
        <f>IF(OR(NOT(ISNUMBER($H493)),NOT(ISNUMBER($I493)),$H493=0),"",$I493/$H493)</f>
        <v/>
      </c>
      <c r="K493" s="6" t="n"/>
      <c r="L493" s="8" t="n"/>
      <c r="M493" s="7" t="n"/>
      <c r="N493" s="7" t="n"/>
      <c r="O493" s="9">
        <f>IF(NOT(ISNUMBER($M493)),"",IF($L493="Fine earth / fine-earth volume",$M493*(1-IF(ISNUMBER($K493),$K493,0)/100),$M493))</f>
        <v/>
      </c>
      <c r="P493" s="9">
        <f>IF(OR(NOT(ISNUMBER($O493)),NOT(ISNUMBER($N493)),NOT(ISNUMBER($F493))),"",$O493*($N493/100)*$F493*10)</f>
        <v/>
      </c>
      <c r="Q493" s="9">
        <f>IF(OR(NOT(ISNUMBER($D493)),NOT(ISNUMBER($E493))),"",MAX(0,MIN($E493,SOIL_REPORTING_DEPTH_CM)-MIN($D493,SOIL_REPORTING_DEPTH_CM)))</f>
        <v/>
      </c>
      <c r="R493" s="9">
        <f>IF(OR(NOT(ISNUMBER($O493)),NOT(ISNUMBER($N493)),NOT(ISNUMBER($Q493))),"",$O493*($N493/100)*$Q493*10)</f>
        <v/>
      </c>
      <c r="S493" s="11">
        <f>IF(AND($A493="",$B493="",$D493=""),"",IF(AND($A493&lt;&gt;"",COUNTIF('1. Plot &amp; Site Log'!$A$5:$A$64,$A493)=0),"Plot ID not in the Plot &amp; Site Log. ","")&amp;IF(AND(ISNUMBER($D493),ISNUMBER($E493),$E493&lt;=$D493),"Bottom depth is not below top depth. ","")&amp;IF($L493="Not confirmed","Bulk-density basis not confirmed with the lab — the coarse-fragment correction may be wrong or doubled. ","")&amp;IF(AND(ISNUMBER($M493),OR($M493&lt;QC_BD_MIN,$M493&gt;QC_BD_MAX)),"Bulk density outside the plausible range for a mineral grassland soil. ","")&amp;IF(AND(ISNUMBER($N493),$N493&gt;QC_CARBON_PCT_MAX),"Organic carbon above the QC ceiling — check units, and whether this is an organic horizon. ","")&amp;IF(AND(ISNUMBER($J493),$J493&lt;QC_RECOVERY_MIN),"Recovered less than the QC minimum of the depth driven — the increments may not sit where you think. Do NOT stretch them back out. ","")&amp;IF(AND(ISNUMBER($K493),$K493&gt;0,$L493="Fine earth / total volume"),"Coarse fragments recorded and the lab basis already accounts for them — no further correction applied, which is correct. ",""))</f>
        <v/>
      </c>
      <c r="T493" s="6" t="n"/>
      <c r="U493" s="9">
        <f>IF($B493="",0,IF(COUNTIFS($B$5:$B493,$B493)=1,1,0))</f>
        <v/>
      </c>
    </row>
    <row r="494">
      <c r="A494" s="6" t="n"/>
      <c r="B494" s="6" t="n"/>
      <c r="C494" s="6" t="n"/>
      <c r="D494" s="6" t="n"/>
      <c r="E494" s="6" t="n"/>
      <c r="F494" s="9">
        <f>IF(OR($D494="",$E494=""),"",$E494-$D494)</f>
        <v/>
      </c>
      <c r="G494" s="6" t="n"/>
      <c r="H494" s="6" t="n"/>
      <c r="I494" s="6" t="n"/>
      <c r="J494" s="9">
        <f>IF(OR(NOT(ISNUMBER($H494)),NOT(ISNUMBER($I494)),$H494=0),"",$I494/$H494)</f>
        <v/>
      </c>
      <c r="K494" s="6" t="n"/>
      <c r="L494" s="8" t="n"/>
      <c r="M494" s="7" t="n"/>
      <c r="N494" s="7" t="n"/>
      <c r="O494" s="9">
        <f>IF(NOT(ISNUMBER($M494)),"",IF($L494="Fine earth / fine-earth volume",$M494*(1-IF(ISNUMBER($K494),$K494,0)/100),$M494))</f>
        <v/>
      </c>
      <c r="P494" s="9">
        <f>IF(OR(NOT(ISNUMBER($O494)),NOT(ISNUMBER($N494)),NOT(ISNUMBER($F494))),"",$O494*($N494/100)*$F494*10)</f>
        <v/>
      </c>
      <c r="Q494" s="9">
        <f>IF(OR(NOT(ISNUMBER($D494)),NOT(ISNUMBER($E494))),"",MAX(0,MIN($E494,SOIL_REPORTING_DEPTH_CM)-MIN($D494,SOIL_REPORTING_DEPTH_CM)))</f>
        <v/>
      </c>
      <c r="R494" s="9">
        <f>IF(OR(NOT(ISNUMBER($O494)),NOT(ISNUMBER($N494)),NOT(ISNUMBER($Q494))),"",$O494*($N494/100)*$Q494*10)</f>
        <v/>
      </c>
      <c r="S494" s="11">
        <f>IF(AND($A494="",$B494="",$D494=""),"",IF(AND($A494&lt;&gt;"",COUNTIF('1. Plot &amp; Site Log'!$A$5:$A$64,$A494)=0),"Plot ID not in the Plot &amp; Site Log. ","")&amp;IF(AND(ISNUMBER($D494),ISNUMBER($E494),$E494&lt;=$D494),"Bottom depth is not below top depth. ","")&amp;IF($L494="Not confirmed","Bulk-density basis not confirmed with the lab — the coarse-fragment correction may be wrong or doubled. ","")&amp;IF(AND(ISNUMBER($M494),OR($M494&lt;QC_BD_MIN,$M494&gt;QC_BD_MAX)),"Bulk density outside the plausible range for a mineral grassland soil. ","")&amp;IF(AND(ISNUMBER($N494),$N494&gt;QC_CARBON_PCT_MAX),"Organic carbon above the QC ceiling — check units, and whether this is an organic horizon. ","")&amp;IF(AND(ISNUMBER($J494),$J494&lt;QC_RECOVERY_MIN),"Recovered less than the QC minimum of the depth driven — the increments may not sit where you think. Do NOT stretch them back out. ","")&amp;IF(AND(ISNUMBER($K494),$K494&gt;0,$L494="Fine earth / total volume"),"Coarse fragments recorded and the lab basis already accounts for them — no further correction applied, which is correct. ",""))</f>
        <v/>
      </c>
      <c r="T494" s="6" t="n"/>
      <c r="U494" s="9">
        <f>IF($B494="",0,IF(COUNTIFS($B$5:$B494,$B494)=1,1,0))</f>
        <v/>
      </c>
    </row>
    <row r="495">
      <c r="A495" s="6" t="n"/>
      <c r="B495" s="6" t="n"/>
      <c r="C495" s="6" t="n"/>
      <c r="D495" s="6" t="n"/>
      <c r="E495" s="6" t="n"/>
      <c r="F495" s="9">
        <f>IF(OR($D495="",$E495=""),"",$E495-$D495)</f>
        <v/>
      </c>
      <c r="G495" s="6" t="n"/>
      <c r="H495" s="6" t="n"/>
      <c r="I495" s="6" t="n"/>
      <c r="J495" s="9">
        <f>IF(OR(NOT(ISNUMBER($H495)),NOT(ISNUMBER($I495)),$H495=0),"",$I495/$H495)</f>
        <v/>
      </c>
      <c r="K495" s="6" t="n"/>
      <c r="L495" s="8" t="n"/>
      <c r="M495" s="7" t="n"/>
      <c r="N495" s="7" t="n"/>
      <c r="O495" s="9">
        <f>IF(NOT(ISNUMBER($M495)),"",IF($L495="Fine earth / fine-earth volume",$M495*(1-IF(ISNUMBER($K495),$K495,0)/100),$M495))</f>
        <v/>
      </c>
      <c r="P495" s="9">
        <f>IF(OR(NOT(ISNUMBER($O495)),NOT(ISNUMBER($N495)),NOT(ISNUMBER($F495))),"",$O495*($N495/100)*$F495*10)</f>
        <v/>
      </c>
      <c r="Q495" s="9">
        <f>IF(OR(NOT(ISNUMBER($D495)),NOT(ISNUMBER($E495))),"",MAX(0,MIN($E495,SOIL_REPORTING_DEPTH_CM)-MIN($D495,SOIL_REPORTING_DEPTH_CM)))</f>
        <v/>
      </c>
      <c r="R495" s="9">
        <f>IF(OR(NOT(ISNUMBER($O495)),NOT(ISNUMBER($N495)),NOT(ISNUMBER($Q495))),"",$O495*($N495/100)*$Q495*10)</f>
        <v/>
      </c>
      <c r="S495" s="11">
        <f>IF(AND($A495="",$B495="",$D495=""),"",IF(AND($A495&lt;&gt;"",COUNTIF('1. Plot &amp; Site Log'!$A$5:$A$64,$A495)=0),"Plot ID not in the Plot &amp; Site Log. ","")&amp;IF(AND(ISNUMBER($D495),ISNUMBER($E495),$E495&lt;=$D495),"Bottom depth is not below top depth. ","")&amp;IF($L495="Not confirmed","Bulk-density basis not confirmed with the lab — the coarse-fragment correction may be wrong or doubled. ","")&amp;IF(AND(ISNUMBER($M495),OR($M495&lt;QC_BD_MIN,$M495&gt;QC_BD_MAX)),"Bulk density outside the plausible range for a mineral grassland soil. ","")&amp;IF(AND(ISNUMBER($N495),$N495&gt;QC_CARBON_PCT_MAX),"Organic carbon above the QC ceiling — check units, and whether this is an organic horizon. ","")&amp;IF(AND(ISNUMBER($J495),$J495&lt;QC_RECOVERY_MIN),"Recovered less than the QC minimum of the depth driven — the increments may not sit where you think. Do NOT stretch them back out. ","")&amp;IF(AND(ISNUMBER($K495),$K495&gt;0,$L495="Fine earth / total volume"),"Coarse fragments recorded and the lab basis already accounts for them — no further correction applied, which is correct. ",""))</f>
        <v/>
      </c>
      <c r="T495" s="6" t="n"/>
      <c r="U495" s="9">
        <f>IF($B495="",0,IF(COUNTIFS($B$5:$B495,$B495)=1,1,0))</f>
        <v/>
      </c>
    </row>
    <row r="496">
      <c r="A496" s="6" t="n"/>
      <c r="B496" s="6" t="n"/>
      <c r="C496" s="6" t="n"/>
      <c r="D496" s="6" t="n"/>
      <c r="E496" s="6" t="n"/>
      <c r="F496" s="9">
        <f>IF(OR($D496="",$E496=""),"",$E496-$D496)</f>
        <v/>
      </c>
      <c r="G496" s="6" t="n"/>
      <c r="H496" s="6" t="n"/>
      <c r="I496" s="6" t="n"/>
      <c r="J496" s="9">
        <f>IF(OR(NOT(ISNUMBER($H496)),NOT(ISNUMBER($I496)),$H496=0),"",$I496/$H496)</f>
        <v/>
      </c>
      <c r="K496" s="6" t="n"/>
      <c r="L496" s="8" t="n"/>
      <c r="M496" s="7" t="n"/>
      <c r="N496" s="7" t="n"/>
      <c r="O496" s="9">
        <f>IF(NOT(ISNUMBER($M496)),"",IF($L496="Fine earth / fine-earth volume",$M496*(1-IF(ISNUMBER($K496),$K496,0)/100),$M496))</f>
        <v/>
      </c>
      <c r="P496" s="9">
        <f>IF(OR(NOT(ISNUMBER($O496)),NOT(ISNUMBER($N496)),NOT(ISNUMBER($F496))),"",$O496*($N496/100)*$F496*10)</f>
        <v/>
      </c>
      <c r="Q496" s="9">
        <f>IF(OR(NOT(ISNUMBER($D496)),NOT(ISNUMBER($E496))),"",MAX(0,MIN($E496,SOIL_REPORTING_DEPTH_CM)-MIN($D496,SOIL_REPORTING_DEPTH_CM)))</f>
        <v/>
      </c>
      <c r="R496" s="9">
        <f>IF(OR(NOT(ISNUMBER($O496)),NOT(ISNUMBER($N496)),NOT(ISNUMBER($Q496))),"",$O496*($N496/100)*$Q496*10)</f>
        <v/>
      </c>
      <c r="S496" s="11">
        <f>IF(AND($A496="",$B496="",$D496=""),"",IF(AND($A496&lt;&gt;"",COUNTIF('1. Plot &amp; Site Log'!$A$5:$A$64,$A496)=0),"Plot ID not in the Plot &amp; Site Log. ","")&amp;IF(AND(ISNUMBER($D496),ISNUMBER($E496),$E496&lt;=$D496),"Bottom depth is not below top depth. ","")&amp;IF($L496="Not confirmed","Bulk-density basis not confirmed with the lab — the coarse-fragment correction may be wrong or doubled. ","")&amp;IF(AND(ISNUMBER($M496),OR($M496&lt;QC_BD_MIN,$M496&gt;QC_BD_MAX)),"Bulk density outside the plausible range for a mineral grassland soil. ","")&amp;IF(AND(ISNUMBER($N496),$N496&gt;QC_CARBON_PCT_MAX),"Organic carbon above the QC ceiling — check units, and whether this is an organic horizon. ","")&amp;IF(AND(ISNUMBER($J496),$J496&lt;QC_RECOVERY_MIN),"Recovered less than the QC minimum of the depth driven — the increments may not sit where you think. Do NOT stretch them back out. ","")&amp;IF(AND(ISNUMBER($K496),$K496&gt;0,$L496="Fine earth / total volume"),"Coarse fragments recorded and the lab basis already accounts for them — no further correction applied, which is correct. ",""))</f>
        <v/>
      </c>
      <c r="T496" s="6" t="n"/>
      <c r="U496" s="9">
        <f>IF($B496="",0,IF(COUNTIFS($B$5:$B496,$B496)=1,1,0))</f>
        <v/>
      </c>
    </row>
    <row r="497">
      <c r="A497" s="6" t="n"/>
      <c r="B497" s="6" t="n"/>
      <c r="C497" s="6" t="n"/>
      <c r="D497" s="6" t="n"/>
      <c r="E497" s="6" t="n"/>
      <c r="F497" s="9">
        <f>IF(OR($D497="",$E497=""),"",$E497-$D497)</f>
        <v/>
      </c>
      <c r="G497" s="6" t="n"/>
      <c r="H497" s="6" t="n"/>
      <c r="I497" s="6" t="n"/>
      <c r="J497" s="9">
        <f>IF(OR(NOT(ISNUMBER($H497)),NOT(ISNUMBER($I497)),$H497=0),"",$I497/$H497)</f>
        <v/>
      </c>
      <c r="K497" s="6" t="n"/>
      <c r="L497" s="8" t="n"/>
      <c r="M497" s="7" t="n"/>
      <c r="N497" s="7" t="n"/>
      <c r="O497" s="9">
        <f>IF(NOT(ISNUMBER($M497)),"",IF($L497="Fine earth / fine-earth volume",$M497*(1-IF(ISNUMBER($K497),$K497,0)/100),$M497))</f>
        <v/>
      </c>
      <c r="P497" s="9">
        <f>IF(OR(NOT(ISNUMBER($O497)),NOT(ISNUMBER($N497)),NOT(ISNUMBER($F497))),"",$O497*($N497/100)*$F497*10)</f>
        <v/>
      </c>
      <c r="Q497" s="9">
        <f>IF(OR(NOT(ISNUMBER($D497)),NOT(ISNUMBER($E497))),"",MAX(0,MIN($E497,SOIL_REPORTING_DEPTH_CM)-MIN($D497,SOIL_REPORTING_DEPTH_CM)))</f>
        <v/>
      </c>
      <c r="R497" s="9">
        <f>IF(OR(NOT(ISNUMBER($O497)),NOT(ISNUMBER($N497)),NOT(ISNUMBER($Q497))),"",$O497*($N497/100)*$Q497*10)</f>
        <v/>
      </c>
      <c r="S497" s="11">
        <f>IF(AND($A497="",$B497="",$D497=""),"",IF(AND($A497&lt;&gt;"",COUNTIF('1. Plot &amp; Site Log'!$A$5:$A$64,$A497)=0),"Plot ID not in the Plot &amp; Site Log. ","")&amp;IF(AND(ISNUMBER($D497),ISNUMBER($E497),$E497&lt;=$D497),"Bottom depth is not below top depth. ","")&amp;IF($L497="Not confirmed","Bulk-density basis not confirmed with the lab — the coarse-fragment correction may be wrong or doubled. ","")&amp;IF(AND(ISNUMBER($M497),OR($M497&lt;QC_BD_MIN,$M497&gt;QC_BD_MAX)),"Bulk density outside the plausible range for a mineral grassland soil. ","")&amp;IF(AND(ISNUMBER($N497),$N497&gt;QC_CARBON_PCT_MAX),"Organic carbon above the QC ceiling — check units, and whether this is an organic horizon. ","")&amp;IF(AND(ISNUMBER($J497),$J497&lt;QC_RECOVERY_MIN),"Recovered less than the QC minimum of the depth driven — the increments may not sit where you think. Do NOT stretch them back out. ","")&amp;IF(AND(ISNUMBER($K497),$K497&gt;0,$L497="Fine earth / total volume"),"Coarse fragments recorded and the lab basis already accounts for them — no further correction applied, which is correct. ",""))</f>
        <v/>
      </c>
      <c r="T497" s="6" t="n"/>
      <c r="U497" s="9">
        <f>IF($B497="",0,IF(COUNTIFS($B$5:$B497,$B497)=1,1,0))</f>
        <v/>
      </c>
    </row>
    <row r="498">
      <c r="A498" s="6" t="n"/>
      <c r="B498" s="6" t="n"/>
      <c r="C498" s="6" t="n"/>
      <c r="D498" s="6" t="n"/>
      <c r="E498" s="6" t="n"/>
      <c r="F498" s="9">
        <f>IF(OR($D498="",$E498=""),"",$E498-$D498)</f>
        <v/>
      </c>
      <c r="G498" s="6" t="n"/>
      <c r="H498" s="6" t="n"/>
      <c r="I498" s="6" t="n"/>
      <c r="J498" s="9">
        <f>IF(OR(NOT(ISNUMBER($H498)),NOT(ISNUMBER($I498)),$H498=0),"",$I498/$H498)</f>
        <v/>
      </c>
      <c r="K498" s="6" t="n"/>
      <c r="L498" s="8" t="n"/>
      <c r="M498" s="7" t="n"/>
      <c r="N498" s="7" t="n"/>
      <c r="O498" s="9">
        <f>IF(NOT(ISNUMBER($M498)),"",IF($L498="Fine earth / fine-earth volume",$M498*(1-IF(ISNUMBER($K498),$K498,0)/100),$M498))</f>
        <v/>
      </c>
      <c r="P498" s="9">
        <f>IF(OR(NOT(ISNUMBER($O498)),NOT(ISNUMBER($N498)),NOT(ISNUMBER($F498))),"",$O498*($N498/100)*$F498*10)</f>
        <v/>
      </c>
      <c r="Q498" s="9">
        <f>IF(OR(NOT(ISNUMBER($D498)),NOT(ISNUMBER($E498))),"",MAX(0,MIN($E498,SOIL_REPORTING_DEPTH_CM)-MIN($D498,SOIL_REPORTING_DEPTH_CM)))</f>
        <v/>
      </c>
      <c r="R498" s="9">
        <f>IF(OR(NOT(ISNUMBER($O498)),NOT(ISNUMBER($N498)),NOT(ISNUMBER($Q498))),"",$O498*($N498/100)*$Q498*10)</f>
        <v/>
      </c>
      <c r="S498" s="11">
        <f>IF(AND($A498="",$B498="",$D498=""),"",IF(AND($A498&lt;&gt;"",COUNTIF('1. Plot &amp; Site Log'!$A$5:$A$64,$A498)=0),"Plot ID not in the Plot &amp; Site Log. ","")&amp;IF(AND(ISNUMBER($D498),ISNUMBER($E498),$E498&lt;=$D498),"Bottom depth is not below top depth. ","")&amp;IF($L498="Not confirmed","Bulk-density basis not confirmed with the lab — the coarse-fragment correction may be wrong or doubled. ","")&amp;IF(AND(ISNUMBER($M498),OR($M498&lt;QC_BD_MIN,$M498&gt;QC_BD_MAX)),"Bulk density outside the plausible range for a mineral grassland soil. ","")&amp;IF(AND(ISNUMBER($N498),$N498&gt;QC_CARBON_PCT_MAX),"Organic carbon above the QC ceiling — check units, and whether this is an organic horizon. ","")&amp;IF(AND(ISNUMBER($J498),$J498&lt;QC_RECOVERY_MIN),"Recovered less than the QC minimum of the depth driven — the increments may not sit where you think. Do NOT stretch them back out. ","")&amp;IF(AND(ISNUMBER($K498),$K498&gt;0,$L498="Fine earth / total volume"),"Coarse fragments recorded and the lab basis already accounts for them — no further correction applied, which is correct. ",""))</f>
        <v/>
      </c>
      <c r="T498" s="6" t="n"/>
      <c r="U498" s="9">
        <f>IF($B498="",0,IF(COUNTIFS($B$5:$B498,$B498)=1,1,0))</f>
        <v/>
      </c>
    </row>
    <row r="499">
      <c r="A499" s="6" t="n"/>
      <c r="B499" s="6" t="n"/>
      <c r="C499" s="6" t="n"/>
      <c r="D499" s="6" t="n"/>
      <c r="E499" s="6" t="n"/>
      <c r="F499" s="9">
        <f>IF(OR($D499="",$E499=""),"",$E499-$D499)</f>
        <v/>
      </c>
      <c r="G499" s="6" t="n"/>
      <c r="H499" s="6" t="n"/>
      <c r="I499" s="6" t="n"/>
      <c r="J499" s="9">
        <f>IF(OR(NOT(ISNUMBER($H499)),NOT(ISNUMBER($I499)),$H499=0),"",$I499/$H499)</f>
        <v/>
      </c>
      <c r="K499" s="6" t="n"/>
      <c r="L499" s="8" t="n"/>
      <c r="M499" s="7" t="n"/>
      <c r="N499" s="7" t="n"/>
      <c r="O499" s="9">
        <f>IF(NOT(ISNUMBER($M499)),"",IF($L499="Fine earth / fine-earth volume",$M499*(1-IF(ISNUMBER($K499),$K499,0)/100),$M499))</f>
        <v/>
      </c>
      <c r="P499" s="9">
        <f>IF(OR(NOT(ISNUMBER($O499)),NOT(ISNUMBER($N499)),NOT(ISNUMBER($F499))),"",$O499*($N499/100)*$F499*10)</f>
        <v/>
      </c>
      <c r="Q499" s="9">
        <f>IF(OR(NOT(ISNUMBER($D499)),NOT(ISNUMBER($E499))),"",MAX(0,MIN($E499,SOIL_REPORTING_DEPTH_CM)-MIN($D499,SOIL_REPORTING_DEPTH_CM)))</f>
        <v/>
      </c>
      <c r="R499" s="9">
        <f>IF(OR(NOT(ISNUMBER($O499)),NOT(ISNUMBER($N499)),NOT(ISNUMBER($Q499))),"",$O499*($N499/100)*$Q499*10)</f>
        <v/>
      </c>
      <c r="S499" s="11">
        <f>IF(AND($A499="",$B499="",$D499=""),"",IF(AND($A499&lt;&gt;"",COUNTIF('1. Plot &amp; Site Log'!$A$5:$A$64,$A499)=0),"Plot ID not in the Plot &amp; Site Log. ","")&amp;IF(AND(ISNUMBER($D499),ISNUMBER($E499),$E499&lt;=$D499),"Bottom depth is not below top depth. ","")&amp;IF($L499="Not confirmed","Bulk-density basis not confirmed with the lab — the coarse-fragment correction may be wrong or doubled. ","")&amp;IF(AND(ISNUMBER($M499),OR($M499&lt;QC_BD_MIN,$M499&gt;QC_BD_MAX)),"Bulk density outside the plausible range for a mineral grassland soil. ","")&amp;IF(AND(ISNUMBER($N499),$N499&gt;QC_CARBON_PCT_MAX),"Organic carbon above the QC ceiling — check units, and whether this is an organic horizon. ","")&amp;IF(AND(ISNUMBER($J499),$J499&lt;QC_RECOVERY_MIN),"Recovered less than the QC minimum of the depth driven — the increments may not sit where you think. Do NOT stretch them back out. ","")&amp;IF(AND(ISNUMBER($K499),$K499&gt;0,$L499="Fine earth / total volume"),"Coarse fragments recorded and the lab basis already accounts for them — no further correction applied, which is correct. ",""))</f>
        <v/>
      </c>
      <c r="T499" s="6" t="n"/>
      <c r="U499" s="9">
        <f>IF($B499="",0,IF(COUNTIFS($B$5:$B499,$B499)=1,1,0))</f>
        <v/>
      </c>
    </row>
    <row r="500">
      <c r="A500" s="6" t="n"/>
      <c r="B500" s="6" t="n"/>
      <c r="C500" s="6" t="n"/>
      <c r="D500" s="6" t="n"/>
      <c r="E500" s="6" t="n"/>
      <c r="F500" s="9">
        <f>IF(OR($D500="",$E500=""),"",$E500-$D500)</f>
        <v/>
      </c>
      <c r="G500" s="6" t="n"/>
      <c r="H500" s="6" t="n"/>
      <c r="I500" s="6" t="n"/>
      <c r="J500" s="9">
        <f>IF(OR(NOT(ISNUMBER($H500)),NOT(ISNUMBER($I500)),$H500=0),"",$I500/$H500)</f>
        <v/>
      </c>
      <c r="K500" s="6" t="n"/>
      <c r="L500" s="8" t="n"/>
      <c r="M500" s="7" t="n"/>
      <c r="N500" s="7" t="n"/>
      <c r="O500" s="9">
        <f>IF(NOT(ISNUMBER($M500)),"",IF($L500="Fine earth / fine-earth volume",$M500*(1-IF(ISNUMBER($K500),$K500,0)/100),$M500))</f>
        <v/>
      </c>
      <c r="P500" s="9">
        <f>IF(OR(NOT(ISNUMBER($O500)),NOT(ISNUMBER($N500)),NOT(ISNUMBER($F500))),"",$O500*($N500/100)*$F500*10)</f>
        <v/>
      </c>
      <c r="Q500" s="9">
        <f>IF(OR(NOT(ISNUMBER($D500)),NOT(ISNUMBER($E500))),"",MAX(0,MIN($E500,SOIL_REPORTING_DEPTH_CM)-MIN($D500,SOIL_REPORTING_DEPTH_CM)))</f>
        <v/>
      </c>
      <c r="R500" s="9">
        <f>IF(OR(NOT(ISNUMBER($O500)),NOT(ISNUMBER($N500)),NOT(ISNUMBER($Q500))),"",$O500*($N500/100)*$Q500*10)</f>
        <v/>
      </c>
      <c r="S500" s="11">
        <f>IF(AND($A500="",$B500="",$D500=""),"",IF(AND($A500&lt;&gt;"",COUNTIF('1. Plot &amp; Site Log'!$A$5:$A$64,$A500)=0),"Plot ID not in the Plot &amp; Site Log. ","")&amp;IF(AND(ISNUMBER($D500),ISNUMBER($E500),$E500&lt;=$D500),"Bottom depth is not below top depth. ","")&amp;IF($L500="Not confirmed","Bulk-density basis not confirmed with the lab — the coarse-fragment correction may be wrong or doubled. ","")&amp;IF(AND(ISNUMBER($M500),OR($M500&lt;QC_BD_MIN,$M500&gt;QC_BD_MAX)),"Bulk density outside the plausible range for a mineral grassland soil. ","")&amp;IF(AND(ISNUMBER($N500),$N500&gt;QC_CARBON_PCT_MAX),"Organic carbon above the QC ceiling — check units, and whether this is an organic horizon. ","")&amp;IF(AND(ISNUMBER($J500),$J500&lt;QC_RECOVERY_MIN),"Recovered less than the QC minimum of the depth driven — the increments may not sit where you think. Do NOT stretch them back out. ","")&amp;IF(AND(ISNUMBER($K500),$K500&gt;0,$L500="Fine earth / total volume"),"Coarse fragments recorded and the lab basis already accounts for them — no further correction applied, which is correct. ",""))</f>
        <v/>
      </c>
      <c r="T500" s="6" t="n"/>
      <c r="U500" s="9">
        <f>IF($B500="",0,IF(COUNTIFS($B$5:$B500,$B500)=1,1,0))</f>
        <v/>
      </c>
    </row>
    <row r="501">
      <c r="A501" s="6" t="n"/>
      <c r="B501" s="6" t="n"/>
      <c r="C501" s="6" t="n"/>
      <c r="D501" s="6" t="n"/>
      <c r="E501" s="6" t="n"/>
      <c r="F501" s="9">
        <f>IF(OR($D501="",$E501=""),"",$E501-$D501)</f>
        <v/>
      </c>
      <c r="G501" s="6" t="n"/>
      <c r="H501" s="6" t="n"/>
      <c r="I501" s="6" t="n"/>
      <c r="J501" s="9">
        <f>IF(OR(NOT(ISNUMBER($H501)),NOT(ISNUMBER($I501)),$H501=0),"",$I501/$H501)</f>
        <v/>
      </c>
      <c r="K501" s="6" t="n"/>
      <c r="L501" s="8" t="n"/>
      <c r="M501" s="7" t="n"/>
      <c r="N501" s="7" t="n"/>
      <c r="O501" s="9">
        <f>IF(NOT(ISNUMBER($M501)),"",IF($L501="Fine earth / fine-earth volume",$M501*(1-IF(ISNUMBER($K501),$K501,0)/100),$M501))</f>
        <v/>
      </c>
      <c r="P501" s="9">
        <f>IF(OR(NOT(ISNUMBER($O501)),NOT(ISNUMBER($N501)),NOT(ISNUMBER($F501))),"",$O501*($N501/100)*$F501*10)</f>
        <v/>
      </c>
      <c r="Q501" s="9">
        <f>IF(OR(NOT(ISNUMBER($D501)),NOT(ISNUMBER($E501))),"",MAX(0,MIN($E501,SOIL_REPORTING_DEPTH_CM)-MIN($D501,SOIL_REPORTING_DEPTH_CM)))</f>
        <v/>
      </c>
      <c r="R501" s="9">
        <f>IF(OR(NOT(ISNUMBER($O501)),NOT(ISNUMBER($N501)),NOT(ISNUMBER($Q501))),"",$O501*($N501/100)*$Q501*10)</f>
        <v/>
      </c>
      <c r="S501" s="11">
        <f>IF(AND($A501="",$B501="",$D501=""),"",IF(AND($A501&lt;&gt;"",COUNTIF('1. Plot &amp; Site Log'!$A$5:$A$64,$A501)=0),"Plot ID not in the Plot &amp; Site Log. ","")&amp;IF(AND(ISNUMBER($D501),ISNUMBER($E501),$E501&lt;=$D501),"Bottom depth is not below top depth. ","")&amp;IF($L501="Not confirmed","Bulk-density basis not confirmed with the lab — the coarse-fragment correction may be wrong or doubled. ","")&amp;IF(AND(ISNUMBER($M501),OR($M501&lt;QC_BD_MIN,$M501&gt;QC_BD_MAX)),"Bulk density outside the plausible range for a mineral grassland soil. ","")&amp;IF(AND(ISNUMBER($N501),$N501&gt;QC_CARBON_PCT_MAX),"Organic carbon above the QC ceiling — check units, and whether this is an organic horizon. ","")&amp;IF(AND(ISNUMBER($J501),$J501&lt;QC_RECOVERY_MIN),"Recovered less than the QC minimum of the depth driven — the increments may not sit where you think. Do NOT stretch them back out. ","")&amp;IF(AND(ISNUMBER($K501),$K501&gt;0,$L501="Fine earth / total volume"),"Coarse fragments recorded and the lab basis already accounts for them — no further correction applied, which is correct. ",""))</f>
        <v/>
      </c>
      <c r="T501" s="6" t="n"/>
      <c r="U501" s="9">
        <f>IF($B501="",0,IF(COUNTIFS($B$5:$B501,$B501)=1,1,0))</f>
        <v/>
      </c>
    </row>
    <row r="502">
      <c r="A502" s="6" t="n"/>
      <c r="B502" s="6" t="n"/>
      <c r="C502" s="6" t="n"/>
      <c r="D502" s="6" t="n"/>
      <c r="E502" s="6" t="n"/>
      <c r="F502" s="9">
        <f>IF(OR($D502="",$E502=""),"",$E502-$D502)</f>
        <v/>
      </c>
      <c r="G502" s="6" t="n"/>
      <c r="H502" s="6" t="n"/>
      <c r="I502" s="6" t="n"/>
      <c r="J502" s="9">
        <f>IF(OR(NOT(ISNUMBER($H502)),NOT(ISNUMBER($I502)),$H502=0),"",$I502/$H502)</f>
        <v/>
      </c>
      <c r="K502" s="6" t="n"/>
      <c r="L502" s="8" t="n"/>
      <c r="M502" s="7" t="n"/>
      <c r="N502" s="7" t="n"/>
      <c r="O502" s="9">
        <f>IF(NOT(ISNUMBER($M502)),"",IF($L502="Fine earth / fine-earth volume",$M502*(1-IF(ISNUMBER($K502),$K502,0)/100),$M502))</f>
        <v/>
      </c>
      <c r="P502" s="9">
        <f>IF(OR(NOT(ISNUMBER($O502)),NOT(ISNUMBER($N502)),NOT(ISNUMBER($F502))),"",$O502*($N502/100)*$F502*10)</f>
        <v/>
      </c>
      <c r="Q502" s="9">
        <f>IF(OR(NOT(ISNUMBER($D502)),NOT(ISNUMBER($E502))),"",MAX(0,MIN($E502,SOIL_REPORTING_DEPTH_CM)-MIN($D502,SOIL_REPORTING_DEPTH_CM)))</f>
        <v/>
      </c>
      <c r="R502" s="9">
        <f>IF(OR(NOT(ISNUMBER($O502)),NOT(ISNUMBER($N502)),NOT(ISNUMBER($Q502))),"",$O502*($N502/100)*$Q502*10)</f>
        <v/>
      </c>
      <c r="S502" s="11">
        <f>IF(AND($A502="",$B502="",$D502=""),"",IF(AND($A502&lt;&gt;"",COUNTIF('1. Plot &amp; Site Log'!$A$5:$A$64,$A502)=0),"Plot ID not in the Plot &amp; Site Log. ","")&amp;IF(AND(ISNUMBER($D502),ISNUMBER($E502),$E502&lt;=$D502),"Bottom depth is not below top depth. ","")&amp;IF($L502="Not confirmed","Bulk-density basis not confirmed with the lab — the coarse-fragment correction may be wrong or doubled. ","")&amp;IF(AND(ISNUMBER($M502),OR($M502&lt;QC_BD_MIN,$M502&gt;QC_BD_MAX)),"Bulk density outside the plausible range for a mineral grassland soil. ","")&amp;IF(AND(ISNUMBER($N502),$N502&gt;QC_CARBON_PCT_MAX),"Organic carbon above the QC ceiling — check units, and whether this is an organic horizon. ","")&amp;IF(AND(ISNUMBER($J502),$J502&lt;QC_RECOVERY_MIN),"Recovered less than the QC minimum of the depth driven — the increments may not sit where you think. Do NOT stretch them back out. ","")&amp;IF(AND(ISNUMBER($K502),$K502&gt;0,$L502="Fine earth / total volume"),"Coarse fragments recorded and the lab basis already accounts for them — no further correction applied, which is correct. ",""))</f>
        <v/>
      </c>
      <c r="T502" s="6" t="n"/>
      <c r="U502" s="9">
        <f>IF($B502="",0,IF(COUNTIFS($B$5:$B502,$B502)=1,1,0))</f>
        <v/>
      </c>
    </row>
    <row r="503">
      <c r="A503" s="6" t="n"/>
      <c r="B503" s="6" t="n"/>
      <c r="C503" s="6" t="n"/>
      <c r="D503" s="6" t="n"/>
      <c r="E503" s="6" t="n"/>
      <c r="F503" s="9">
        <f>IF(OR($D503="",$E503=""),"",$E503-$D503)</f>
        <v/>
      </c>
      <c r="G503" s="6" t="n"/>
      <c r="H503" s="6" t="n"/>
      <c r="I503" s="6" t="n"/>
      <c r="J503" s="9">
        <f>IF(OR(NOT(ISNUMBER($H503)),NOT(ISNUMBER($I503)),$H503=0),"",$I503/$H503)</f>
        <v/>
      </c>
      <c r="K503" s="6" t="n"/>
      <c r="L503" s="8" t="n"/>
      <c r="M503" s="7" t="n"/>
      <c r="N503" s="7" t="n"/>
      <c r="O503" s="9">
        <f>IF(NOT(ISNUMBER($M503)),"",IF($L503="Fine earth / fine-earth volume",$M503*(1-IF(ISNUMBER($K503),$K503,0)/100),$M503))</f>
        <v/>
      </c>
      <c r="P503" s="9">
        <f>IF(OR(NOT(ISNUMBER($O503)),NOT(ISNUMBER($N503)),NOT(ISNUMBER($F503))),"",$O503*($N503/100)*$F503*10)</f>
        <v/>
      </c>
      <c r="Q503" s="9">
        <f>IF(OR(NOT(ISNUMBER($D503)),NOT(ISNUMBER($E503))),"",MAX(0,MIN($E503,SOIL_REPORTING_DEPTH_CM)-MIN($D503,SOIL_REPORTING_DEPTH_CM)))</f>
        <v/>
      </c>
      <c r="R503" s="9">
        <f>IF(OR(NOT(ISNUMBER($O503)),NOT(ISNUMBER($N503)),NOT(ISNUMBER($Q503))),"",$O503*($N503/100)*$Q503*10)</f>
        <v/>
      </c>
      <c r="S503" s="11">
        <f>IF(AND($A503="",$B503="",$D503=""),"",IF(AND($A503&lt;&gt;"",COUNTIF('1. Plot &amp; Site Log'!$A$5:$A$64,$A503)=0),"Plot ID not in the Plot &amp; Site Log. ","")&amp;IF(AND(ISNUMBER($D503),ISNUMBER($E503),$E503&lt;=$D503),"Bottom depth is not below top depth. ","")&amp;IF($L503="Not confirmed","Bulk-density basis not confirmed with the lab — the coarse-fragment correction may be wrong or doubled. ","")&amp;IF(AND(ISNUMBER($M503),OR($M503&lt;QC_BD_MIN,$M503&gt;QC_BD_MAX)),"Bulk density outside the plausible range for a mineral grassland soil. ","")&amp;IF(AND(ISNUMBER($N503),$N503&gt;QC_CARBON_PCT_MAX),"Organic carbon above the QC ceiling — check units, and whether this is an organic horizon. ","")&amp;IF(AND(ISNUMBER($J503),$J503&lt;QC_RECOVERY_MIN),"Recovered less than the QC minimum of the depth driven — the increments may not sit where you think. Do NOT stretch them back out. ","")&amp;IF(AND(ISNUMBER($K503),$K503&gt;0,$L503="Fine earth / total volume"),"Coarse fragments recorded and the lab basis already accounts for them — no further correction applied, which is correct. ",""))</f>
        <v/>
      </c>
      <c r="T503" s="6" t="n"/>
      <c r="U503" s="9">
        <f>IF($B503="",0,IF(COUNTIFS($B$5:$B503,$B503)=1,1,0))</f>
        <v/>
      </c>
    </row>
    <row r="504">
      <c r="A504" s="6" t="n"/>
      <c r="B504" s="6" t="n"/>
      <c r="C504" s="6" t="n"/>
      <c r="D504" s="6" t="n"/>
      <c r="E504" s="6" t="n"/>
      <c r="F504" s="9">
        <f>IF(OR($D504="",$E504=""),"",$E504-$D504)</f>
        <v/>
      </c>
      <c r="G504" s="6" t="n"/>
      <c r="H504" s="6" t="n"/>
      <c r="I504" s="6" t="n"/>
      <c r="J504" s="9">
        <f>IF(OR(NOT(ISNUMBER($H504)),NOT(ISNUMBER($I504)),$H504=0),"",$I504/$H504)</f>
        <v/>
      </c>
      <c r="K504" s="6" t="n"/>
      <c r="L504" s="8" t="n"/>
      <c r="M504" s="7" t="n"/>
      <c r="N504" s="7" t="n"/>
      <c r="O504" s="9">
        <f>IF(NOT(ISNUMBER($M504)),"",IF($L504="Fine earth / fine-earth volume",$M504*(1-IF(ISNUMBER($K504),$K504,0)/100),$M504))</f>
        <v/>
      </c>
      <c r="P504" s="9">
        <f>IF(OR(NOT(ISNUMBER($O504)),NOT(ISNUMBER($N504)),NOT(ISNUMBER($F504))),"",$O504*($N504/100)*$F504*10)</f>
        <v/>
      </c>
      <c r="Q504" s="9">
        <f>IF(OR(NOT(ISNUMBER($D504)),NOT(ISNUMBER($E504))),"",MAX(0,MIN($E504,SOIL_REPORTING_DEPTH_CM)-MIN($D504,SOIL_REPORTING_DEPTH_CM)))</f>
        <v/>
      </c>
      <c r="R504" s="9">
        <f>IF(OR(NOT(ISNUMBER($O504)),NOT(ISNUMBER($N504)),NOT(ISNUMBER($Q504))),"",$O504*($N504/100)*$Q504*10)</f>
        <v/>
      </c>
      <c r="S504" s="11">
        <f>IF(AND($A504="",$B504="",$D504=""),"",IF(AND($A504&lt;&gt;"",COUNTIF('1. Plot &amp; Site Log'!$A$5:$A$64,$A504)=0),"Plot ID not in the Plot &amp; Site Log. ","")&amp;IF(AND(ISNUMBER($D504),ISNUMBER($E504),$E504&lt;=$D504),"Bottom depth is not below top depth. ","")&amp;IF($L504="Not confirmed","Bulk-density basis not confirmed with the lab — the coarse-fragment correction may be wrong or doubled. ","")&amp;IF(AND(ISNUMBER($M504),OR($M504&lt;QC_BD_MIN,$M504&gt;QC_BD_MAX)),"Bulk density outside the plausible range for a mineral grassland soil. ","")&amp;IF(AND(ISNUMBER($N504),$N504&gt;QC_CARBON_PCT_MAX),"Organic carbon above the QC ceiling — check units, and whether this is an organic horizon. ","")&amp;IF(AND(ISNUMBER($J504),$J504&lt;QC_RECOVERY_MIN),"Recovered less than the QC minimum of the depth driven — the increments may not sit where you think. Do NOT stretch them back out. ","")&amp;IF(AND(ISNUMBER($K504),$K504&gt;0,$L504="Fine earth / total volume"),"Coarse fragments recorded and the lab basis already accounts for them — no further correction applied, which is correct. ",""))</f>
        <v/>
      </c>
      <c r="T504" s="6" t="n"/>
      <c r="U504" s="9">
        <f>IF($B504="",0,IF(COUNTIFS($B$5:$B504,$B504)=1,1,0))</f>
        <v/>
      </c>
    </row>
    <row r="505">
      <c r="A505" s="6" t="n"/>
      <c r="B505" s="6" t="n"/>
      <c r="C505" s="6" t="n"/>
      <c r="D505" s="6" t="n"/>
      <c r="E505" s="6" t="n"/>
      <c r="F505" s="9">
        <f>IF(OR($D505="",$E505=""),"",$E505-$D505)</f>
        <v/>
      </c>
      <c r="G505" s="6" t="n"/>
      <c r="H505" s="6" t="n"/>
      <c r="I505" s="6" t="n"/>
      <c r="J505" s="9">
        <f>IF(OR(NOT(ISNUMBER($H505)),NOT(ISNUMBER($I505)),$H505=0),"",$I505/$H505)</f>
        <v/>
      </c>
      <c r="K505" s="6" t="n"/>
      <c r="L505" s="8" t="n"/>
      <c r="M505" s="7" t="n"/>
      <c r="N505" s="7" t="n"/>
      <c r="O505" s="9">
        <f>IF(NOT(ISNUMBER($M505)),"",IF($L505="Fine earth / fine-earth volume",$M505*(1-IF(ISNUMBER($K505),$K505,0)/100),$M505))</f>
        <v/>
      </c>
      <c r="P505" s="9">
        <f>IF(OR(NOT(ISNUMBER($O505)),NOT(ISNUMBER($N505)),NOT(ISNUMBER($F505))),"",$O505*($N505/100)*$F505*10)</f>
        <v/>
      </c>
      <c r="Q505" s="9">
        <f>IF(OR(NOT(ISNUMBER($D505)),NOT(ISNUMBER($E505))),"",MAX(0,MIN($E505,SOIL_REPORTING_DEPTH_CM)-MIN($D505,SOIL_REPORTING_DEPTH_CM)))</f>
        <v/>
      </c>
      <c r="R505" s="9">
        <f>IF(OR(NOT(ISNUMBER($O505)),NOT(ISNUMBER($N505)),NOT(ISNUMBER($Q505))),"",$O505*($N505/100)*$Q505*10)</f>
        <v/>
      </c>
      <c r="S505" s="11">
        <f>IF(AND($A505="",$B505="",$D505=""),"",IF(AND($A505&lt;&gt;"",COUNTIF('1. Plot &amp; Site Log'!$A$5:$A$64,$A505)=0),"Plot ID not in the Plot &amp; Site Log. ","")&amp;IF(AND(ISNUMBER($D505),ISNUMBER($E505),$E505&lt;=$D505),"Bottom depth is not below top depth. ","")&amp;IF($L505="Not confirmed","Bulk-density basis not confirmed with the lab — the coarse-fragment correction may be wrong or doubled. ","")&amp;IF(AND(ISNUMBER($M505),OR($M505&lt;QC_BD_MIN,$M505&gt;QC_BD_MAX)),"Bulk density outside the plausible range for a mineral grassland soil. ","")&amp;IF(AND(ISNUMBER($N505),$N505&gt;QC_CARBON_PCT_MAX),"Organic carbon above the QC ceiling — check units, and whether this is an organic horizon. ","")&amp;IF(AND(ISNUMBER($J505),$J505&lt;QC_RECOVERY_MIN),"Recovered less than the QC minimum of the depth driven — the increments may not sit where you think. Do NOT stretch them back out. ","")&amp;IF(AND(ISNUMBER($K505),$K505&gt;0,$L505="Fine earth / total volume"),"Coarse fragments recorded and the lab basis already accounts for them — no further correction applied, which is correct. ",""))</f>
        <v/>
      </c>
      <c r="T505" s="6" t="n"/>
      <c r="U505" s="9">
        <f>IF($B505="",0,IF(COUNTIFS($B$5:$B505,$B505)=1,1,0))</f>
        <v/>
      </c>
    </row>
    <row r="506">
      <c r="A506" s="6" t="n"/>
      <c r="B506" s="6" t="n"/>
      <c r="C506" s="6" t="n"/>
      <c r="D506" s="6" t="n"/>
      <c r="E506" s="6" t="n"/>
      <c r="F506" s="9">
        <f>IF(OR($D506="",$E506=""),"",$E506-$D506)</f>
        <v/>
      </c>
      <c r="G506" s="6" t="n"/>
      <c r="H506" s="6" t="n"/>
      <c r="I506" s="6" t="n"/>
      <c r="J506" s="9">
        <f>IF(OR(NOT(ISNUMBER($H506)),NOT(ISNUMBER($I506)),$H506=0),"",$I506/$H506)</f>
        <v/>
      </c>
      <c r="K506" s="6" t="n"/>
      <c r="L506" s="8" t="n"/>
      <c r="M506" s="7" t="n"/>
      <c r="N506" s="7" t="n"/>
      <c r="O506" s="9">
        <f>IF(NOT(ISNUMBER($M506)),"",IF($L506="Fine earth / fine-earth volume",$M506*(1-IF(ISNUMBER($K506),$K506,0)/100),$M506))</f>
        <v/>
      </c>
      <c r="P506" s="9">
        <f>IF(OR(NOT(ISNUMBER($O506)),NOT(ISNUMBER($N506)),NOT(ISNUMBER($F506))),"",$O506*($N506/100)*$F506*10)</f>
        <v/>
      </c>
      <c r="Q506" s="9">
        <f>IF(OR(NOT(ISNUMBER($D506)),NOT(ISNUMBER($E506))),"",MAX(0,MIN($E506,SOIL_REPORTING_DEPTH_CM)-MIN($D506,SOIL_REPORTING_DEPTH_CM)))</f>
        <v/>
      </c>
      <c r="R506" s="9">
        <f>IF(OR(NOT(ISNUMBER($O506)),NOT(ISNUMBER($N506)),NOT(ISNUMBER($Q506))),"",$O506*($N506/100)*$Q506*10)</f>
        <v/>
      </c>
      <c r="S506" s="11">
        <f>IF(AND($A506="",$B506="",$D506=""),"",IF(AND($A506&lt;&gt;"",COUNTIF('1. Plot &amp; Site Log'!$A$5:$A$64,$A506)=0),"Plot ID not in the Plot &amp; Site Log. ","")&amp;IF(AND(ISNUMBER($D506),ISNUMBER($E506),$E506&lt;=$D506),"Bottom depth is not below top depth. ","")&amp;IF($L506="Not confirmed","Bulk-density basis not confirmed with the lab — the coarse-fragment correction may be wrong or doubled. ","")&amp;IF(AND(ISNUMBER($M506),OR($M506&lt;QC_BD_MIN,$M506&gt;QC_BD_MAX)),"Bulk density outside the plausible range for a mineral grassland soil. ","")&amp;IF(AND(ISNUMBER($N506),$N506&gt;QC_CARBON_PCT_MAX),"Organic carbon above the QC ceiling — check units, and whether this is an organic horizon. ","")&amp;IF(AND(ISNUMBER($J506),$J506&lt;QC_RECOVERY_MIN),"Recovered less than the QC minimum of the depth driven — the increments may not sit where you think. Do NOT stretch them back out. ","")&amp;IF(AND(ISNUMBER($K506),$K506&gt;0,$L506="Fine earth / total volume"),"Coarse fragments recorded and the lab basis already accounts for them — no further correction applied, which is correct. ",""))</f>
        <v/>
      </c>
      <c r="T506" s="6" t="n"/>
      <c r="U506" s="9">
        <f>IF($B506="",0,IF(COUNTIFS($B$5:$B506,$B506)=1,1,0))</f>
        <v/>
      </c>
    </row>
    <row r="507">
      <c r="A507" s="6" t="n"/>
      <c r="B507" s="6" t="n"/>
      <c r="C507" s="6" t="n"/>
      <c r="D507" s="6" t="n"/>
      <c r="E507" s="6" t="n"/>
      <c r="F507" s="9">
        <f>IF(OR($D507="",$E507=""),"",$E507-$D507)</f>
        <v/>
      </c>
      <c r="G507" s="6" t="n"/>
      <c r="H507" s="6" t="n"/>
      <c r="I507" s="6" t="n"/>
      <c r="J507" s="9">
        <f>IF(OR(NOT(ISNUMBER($H507)),NOT(ISNUMBER($I507)),$H507=0),"",$I507/$H507)</f>
        <v/>
      </c>
      <c r="K507" s="6" t="n"/>
      <c r="L507" s="8" t="n"/>
      <c r="M507" s="7" t="n"/>
      <c r="N507" s="7" t="n"/>
      <c r="O507" s="9">
        <f>IF(NOT(ISNUMBER($M507)),"",IF($L507="Fine earth / fine-earth volume",$M507*(1-IF(ISNUMBER($K507),$K507,0)/100),$M507))</f>
        <v/>
      </c>
      <c r="P507" s="9">
        <f>IF(OR(NOT(ISNUMBER($O507)),NOT(ISNUMBER($N507)),NOT(ISNUMBER($F507))),"",$O507*($N507/100)*$F507*10)</f>
        <v/>
      </c>
      <c r="Q507" s="9">
        <f>IF(OR(NOT(ISNUMBER($D507)),NOT(ISNUMBER($E507))),"",MAX(0,MIN($E507,SOIL_REPORTING_DEPTH_CM)-MIN($D507,SOIL_REPORTING_DEPTH_CM)))</f>
        <v/>
      </c>
      <c r="R507" s="9">
        <f>IF(OR(NOT(ISNUMBER($O507)),NOT(ISNUMBER($N507)),NOT(ISNUMBER($Q507))),"",$O507*($N507/100)*$Q507*10)</f>
        <v/>
      </c>
      <c r="S507" s="11">
        <f>IF(AND($A507="",$B507="",$D507=""),"",IF(AND($A507&lt;&gt;"",COUNTIF('1. Plot &amp; Site Log'!$A$5:$A$64,$A507)=0),"Plot ID not in the Plot &amp; Site Log. ","")&amp;IF(AND(ISNUMBER($D507),ISNUMBER($E507),$E507&lt;=$D507),"Bottom depth is not below top depth. ","")&amp;IF($L507="Not confirmed","Bulk-density basis not confirmed with the lab — the coarse-fragment correction may be wrong or doubled. ","")&amp;IF(AND(ISNUMBER($M507),OR($M507&lt;QC_BD_MIN,$M507&gt;QC_BD_MAX)),"Bulk density outside the plausible range for a mineral grassland soil. ","")&amp;IF(AND(ISNUMBER($N507),$N507&gt;QC_CARBON_PCT_MAX),"Organic carbon above the QC ceiling — check units, and whether this is an organic horizon. ","")&amp;IF(AND(ISNUMBER($J507),$J507&lt;QC_RECOVERY_MIN),"Recovered less than the QC minimum of the depth driven — the increments may not sit where you think. Do NOT stretch them back out. ","")&amp;IF(AND(ISNUMBER($K507),$K507&gt;0,$L507="Fine earth / total volume"),"Coarse fragments recorded and the lab basis already accounts for them — no further correction applied, which is correct. ",""))</f>
        <v/>
      </c>
      <c r="T507" s="6" t="n"/>
      <c r="U507" s="9">
        <f>IF($B507="",0,IF(COUNTIFS($B$5:$B507,$B507)=1,1,0))</f>
        <v/>
      </c>
    </row>
    <row r="508">
      <c r="A508" s="6" t="n"/>
      <c r="B508" s="6" t="n"/>
      <c r="C508" s="6" t="n"/>
      <c r="D508" s="6" t="n"/>
      <c r="E508" s="6" t="n"/>
      <c r="F508" s="9">
        <f>IF(OR($D508="",$E508=""),"",$E508-$D508)</f>
        <v/>
      </c>
      <c r="G508" s="6" t="n"/>
      <c r="H508" s="6" t="n"/>
      <c r="I508" s="6" t="n"/>
      <c r="J508" s="9">
        <f>IF(OR(NOT(ISNUMBER($H508)),NOT(ISNUMBER($I508)),$H508=0),"",$I508/$H508)</f>
        <v/>
      </c>
      <c r="K508" s="6" t="n"/>
      <c r="L508" s="8" t="n"/>
      <c r="M508" s="7" t="n"/>
      <c r="N508" s="7" t="n"/>
      <c r="O508" s="9">
        <f>IF(NOT(ISNUMBER($M508)),"",IF($L508="Fine earth / fine-earth volume",$M508*(1-IF(ISNUMBER($K508),$K508,0)/100),$M508))</f>
        <v/>
      </c>
      <c r="P508" s="9">
        <f>IF(OR(NOT(ISNUMBER($O508)),NOT(ISNUMBER($N508)),NOT(ISNUMBER($F508))),"",$O508*($N508/100)*$F508*10)</f>
        <v/>
      </c>
      <c r="Q508" s="9">
        <f>IF(OR(NOT(ISNUMBER($D508)),NOT(ISNUMBER($E508))),"",MAX(0,MIN($E508,SOIL_REPORTING_DEPTH_CM)-MIN($D508,SOIL_REPORTING_DEPTH_CM)))</f>
        <v/>
      </c>
      <c r="R508" s="9">
        <f>IF(OR(NOT(ISNUMBER($O508)),NOT(ISNUMBER($N508)),NOT(ISNUMBER($Q508))),"",$O508*($N508/100)*$Q508*10)</f>
        <v/>
      </c>
      <c r="S508" s="11">
        <f>IF(AND($A508="",$B508="",$D508=""),"",IF(AND($A508&lt;&gt;"",COUNTIF('1. Plot &amp; Site Log'!$A$5:$A$64,$A508)=0),"Plot ID not in the Plot &amp; Site Log. ","")&amp;IF(AND(ISNUMBER($D508),ISNUMBER($E508),$E508&lt;=$D508),"Bottom depth is not below top depth. ","")&amp;IF($L508="Not confirmed","Bulk-density basis not confirmed with the lab — the coarse-fragment correction may be wrong or doubled. ","")&amp;IF(AND(ISNUMBER($M508),OR($M508&lt;QC_BD_MIN,$M508&gt;QC_BD_MAX)),"Bulk density outside the plausible range for a mineral grassland soil. ","")&amp;IF(AND(ISNUMBER($N508),$N508&gt;QC_CARBON_PCT_MAX),"Organic carbon above the QC ceiling — check units, and whether this is an organic horizon. ","")&amp;IF(AND(ISNUMBER($J508),$J508&lt;QC_RECOVERY_MIN),"Recovered less than the QC minimum of the depth driven — the increments may not sit where you think. Do NOT stretch them back out. ","")&amp;IF(AND(ISNUMBER($K508),$K508&gt;0,$L508="Fine earth / total volume"),"Coarse fragments recorded and the lab basis already accounts for them — no further correction applied, which is correct. ",""))</f>
        <v/>
      </c>
      <c r="T508" s="6" t="n"/>
      <c r="U508" s="9">
        <f>IF($B508="",0,IF(COUNTIFS($B$5:$B508,$B508)=1,1,0))</f>
        <v/>
      </c>
    </row>
    <row r="509">
      <c r="A509" s="6" t="n"/>
      <c r="B509" s="6" t="n"/>
      <c r="C509" s="6" t="n"/>
      <c r="D509" s="6" t="n"/>
      <c r="E509" s="6" t="n"/>
      <c r="F509" s="9">
        <f>IF(OR($D509="",$E509=""),"",$E509-$D509)</f>
        <v/>
      </c>
      <c r="G509" s="6" t="n"/>
      <c r="H509" s="6" t="n"/>
      <c r="I509" s="6" t="n"/>
      <c r="J509" s="9">
        <f>IF(OR(NOT(ISNUMBER($H509)),NOT(ISNUMBER($I509)),$H509=0),"",$I509/$H509)</f>
        <v/>
      </c>
      <c r="K509" s="6" t="n"/>
      <c r="L509" s="8" t="n"/>
      <c r="M509" s="7" t="n"/>
      <c r="N509" s="7" t="n"/>
      <c r="O509" s="9">
        <f>IF(NOT(ISNUMBER($M509)),"",IF($L509="Fine earth / fine-earth volume",$M509*(1-IF(ISNUMBER($K509),$K509,0)/100),$M509))</f>
        <v/>
      </c>
      <c r="P509" s="9">
        <f>IF(OR(NOT(ISNUMBER($O509)),NOT(ISNUMBER($N509)),NOT(ISNUMBER($F509))),"",$O509*($N509/100)*$F509*10)</f>
        <v/>
      </c>
      <c r="Q509" s="9">
        <f>IF(OR(NOT(ISNUMBER($D509)),NOT(ISNUMBER($E509))),"",MAX(0,MIN($E509,SOIL_REPORTING_DEPTH_CM)-MIN($D509,SOIL_REPORTING_DEPTH_CM)))</f>
        <v/>
      </c>
      <c r="R509" s="9">
        <f>IF(OR(NOT(ISNUMBER($O509)),NOT(ISNUMBER($N509)),NOT(ISNUMBER($Q509))),"",$O509*($N509/100)*$Q509*10)</f>
        <v/>
      </c>
      <c r="S509" s="11">
        <f>IF(AND($A509="",$B509="",$D509=""),"",IF(AND($A509&lt;&gt;"",COUNTIF('1. Plot &amp; Site Log'!$A$5:$A$64,$A509)=0),"Plot ID not in the Plot &amp; Site Log. ","")&amp;IF(AND(ISNUMBER($D509),ISNUMBER($E509),$E509&lt;=$D509),"Bottom depth is not below top depth. ","")&amp;IF($L509="Not confirmed","Bulk-density basis not confirmed with the lab — the coarse-fragment correction may be wrong or doubled. ","")&amp;IF(AND(ISNUMBER($M509),OR($M509&lt;QC_BD_MIN,$M509&gt;QC_BD_MAX)),"Bulk density outside the plausible range for a mineral grassland soil. ","")&amp;IF(AND(ISNUMBER($N509),$N509&gt;QC_CARBON_PCT_MAX),"Organic carbon above the QC ceiling — check units, and whether this is an organic horizon. ","")&amp;IF(AND(ISNUMBER($J509),$J509&lt;QC_RECOVERY_MIN),"Recovered less than the QC minimum of the depth driven — the increments may not sit where you think. Do NOT stretch them back out. ","")&amp;IF(AND(ISNUMBER($K509),$K509&gt;0,$L509="Fine earth / total volume"),"Coarse fragments recorded and the lab basis already accounts for them — no further correction applied, which is correct. ",""))</f>
        <v/>
      </c>
      <c r="T509" s="6" t="n"/>
      <c r="U509" s="9">
        <f>IF($B509="",0,IF(COUNTIFS($B$5:$B509,$B509)=1,1,0))</f>
        <v/>
      </c>
    </row>
    <row r="510">
      <c r="A510" s="6" t="n"/>
      <c r="B510" s="6" t="n"/>
      <c r="C510" s="6" t="n"/>
      <c r="D510" s="6" t="n"/>
      <c r="E510" s="6" t="n"/>
      <c r="F510" s="9">
        <f>IF(OR($D510="",$E510=""),"",$E510-$D510)</f>
        <v/>
      </c>
      <c r="G510" s="6" t="n"/>
      <c r="H510" s="6" t="n"/>
      <c r="I510" s="6" t="n"/>
      <c r="J510" s="9">
        <f>IF(OR(NOT(ISNUMBER($H510)),NOT(ISNUMBER($I510)),$H510=0),"",$I510/$H510)</f>
        <v/>
      </c>
      <c r="K510" s="6" t="n"/>
      <c r="L510" s="8" t="n"/>
      <c r="M510" s="7" t="n"/>
      <c r="N510" s="7" t="n"/>
      <c r="O510" s="9">
        <f>IF(NOT(ISNUMBER($M510)),"",IF($L510="Fine earth / fine-earth volume",$M510*(1-IF(ISNUMBER($K510),$K510,0)/100),$M510))</f>
        <v/>
      </c>
      <c r="P510" s="9">
        <f>IF(OR(NOT(ISNUMBER($O510)),NOT(ISNUMBER($N510)),NOT(ISNUMBER($F510))),"",$O510*($N510/100)*$F510*10)</f>
        <v/>
      </c>
      <c r="Q510" s="9">
        <f>IF(OR(NOT(ISNUMBER($D510)),NOT(ISNUMBER($E510))),"",MAX(0,MIN($E510,SOIL_REPORTING_DEPTH_CM)-MIN($D510,SOIL_REPORTING_DEPTH_CM)))</f>
        <v/>
      </c>
      <c r="R510" s="9">
        <f>IF(OR(NOT(ISNUMBER($O510)),NOT(ISNUMBER($N510)),NOT(ISNUMBER($Q510))),"",$O510*($N510/100)*$Q510*10)</f>
        <v/>
      </c>
      <c r="S510" s="11">
        <f>IF(AND($A510="",$B510="",$D510=""),"",IF(AND($A510&lt;&gt;"",COUNTIF('1. Plot &amp; Site Log'!$A$5:$A$64,$A510)=0),"Plot ID not in the Plot &amp; Site Log. ","")&amp;IF(AND(ISNUMBER($D510),ISNUMBER($E510),$E510&lt;=$D510),"Bottom depth is not below top depth. ","")&amp;IF($L510="Not confirmed","Bulk-density basis not confirmed with the lab — the coarse-fragment correction may be wrong or doubled. ","")&amp;IF(AND(ISNUMBER($M510),OR($M510&lt;QC_BD_MIN,$M510&gt;QC_BD_MAX)),"Bulk density outside the plausible range for a mineral grassland soil. ","")&amp;IF(AND(ISNUMBER($N510),$N510&gt;QC_CARBON_PCT_MAX),"Organic carbon above the QC ceiling — check units, and whether this is an organic horizon. ","")&amp;IF(AND(ISNUMBER($J510),$J510&lt;QC_RECOVERY_MIN),"Recovered less than the QC minimum of the depth driven — the increments may not sit where you think. Do NOT stretch them back out. ","")&amp;IF(AND(ISNUMBER($K510),$K510&gt;0,$L510="Fine earth / total volume"),"Coarse fragments recorded and the lab basis already accounts for them — no further correction applied, which is correct. ",""))</f>
        <v/>
      </c>
      <c r="T510" s="6" t="n"/>
      <c r="U510" s="9">
        <f>IF($B510="",0,IF(COUNTIFS($B$5:$B510,$B510)=1,1,0))</f>
        <v/>
      </c>
    </row>
    <row r="511">
      <c r="A511" s="6" t="n"/>
      <c r="B511" s="6" t="n"/>
      <c r="C511" s="6" t="n"/>
      <c r="D511" s="6" t="n"/>
      <c r="E511" s="6" t="n"/>
      <c r="F511" s="9">
        <f>IF(OR($D511="",$E511=""),"",$E511-$D511)</f>
        <v/>
      </c>
      <c r="G511" s="6" t="n"/>
      <c r="H511" s="6" t="n"/>
      <c r="I511" s="6" t="n"/>
      <c r="J511" s="9">
        <f>IF(OR(NOT(ISNUMBER($H511)),NOT(ISNUMBER($I511)),$H511=0),"",$I511/$H511)</f>
        <v/>
      </c>
      <c r="K511" s="6" t="n"/>
      <c r="L511" s="8" t="n"/>
      <c r="M511" s="7" t="n"/>
      <c r="N511" s="7" t="n"/>
      <c r="O511" s="9">
        <f>IF(NOT(ISNUMBER($M511)),"",IF($L511="Fine earth / fine-earth volume",$M511*(1-IF(ISNUMBER($K511),$K511,0)/100),$M511))</f>
        <v/>
      </c>
      <c r="P511" s="9">
        <f>IF(OR(NOT(ISNUMBER($O511)),NOT(ISNUMBER($N511)),NOT(ISNUMBER($F511))),"",$O511*($N511/100)*$F511*10)</f>
        <v/>
      </c>
      <c r="Q511" s="9">
        <f>IF(OR(NOT(ISNUMBER($D511)),NOT(ISNUMBER($E511))),"",MAX(0,MIN($E511,SOIL_REPORTING_DEPTH_CM)-MIN($D511,SOIL_REPORTING_DEPTH_CM)))</f>
        <v/>
      </c>
      <c r="R511" s="9">
        <f>IF(OR(NOT(ISNUMBER($O511)),NOT(ISNUMBER($N511)),NOT(ISNUMBER($Q511))),"",$O511*($N511/100)*$Q511*10)</f>
        <v/>
      </c>
      <c r="S511" s="11">
        <f>IF(AND($A511="",$B511="",$D511=""),"",IF(AND($A511&lt;&gt;"",COUNTIF('1. Plot &amp; Site Log'!$A$5:$A$64,$A511)=0),"Plot ID not in the Plot &amp; Site Log. ","")&amp;IF(AND(ISNUMBER($D511),ISNUMBER($E511),$E511&lt;=$D511),"Bottom depth is not below top depth. ","")&amp;IF($L511="Not confirmed","Bulk-density basis not confirmed with the lab — the coarse-fragment correction may be wrong or doubled. ","")&amp;IF(AND(ISNUMBER($M511),OR($M511&lt;QC_BD_MIN,$M511&gt;QC_BD_MAX)),"Bulk density outside the plausible range for a mineral grassland soil. ","")&amp;IF(AND(ISNUMBER($N511),$N511&gt;QC_CARBON_PCT_MAX),"Organic carbon above the QC ceiling — check units, and whether this is an organic horizon. ","")&amp;IF(AND(ISNUMBER($J511),$J511&lt;QC_RECOVERY_MIN),"Recovered less than the QC minimum of the depth driven — the increments may not sit where you think. Do NOT stretch them back out. ","")&amp;IF(AND(ISNUMBER($K511),$K511&gt;0,$L511="Fine earth / total volume"),"Coarse fragments recorded and the lab basis already accounts for them — no further correction applied, which is correct. ",""))</f>
        <v/>
      </c>
      <c r="T511" s="6" t="n"/>
      <c r="U511" s="9">
        <f>IF($B511="",0,IF(COUNTIFS($B$5:$B511,$B511)=1,1,0))</f>
        <v/>
      </c>
    </row>
    <row r="512">
      <c r="A512" s="6" t="n"/>
      <c r="B512" s="6" t="n"/>
      <c r="C512" s="6" t="n"/>
      <c r="D512" s="6" t="n"/>
      <c r="E512" s="6" t="n"/>
      <c r="F512" s="9">
        <f>IF(OR($D512="",$E512=""),"",$E512-$D512)</f>
        <v/>
      </c>
      <c r="G512" s="6" t="n"/>
      <c r="H512" s="6" t="n"/>
      <c r="I512" s="6" t="n"/>
      <c r="J512" s="9">
        <f>IF(OR(NOT(ISNUMBER($H512)),NOT(ISNUMBER($I512)),$H512=0),"",$I512/$H512)</f>
        <v/>
      </c>
      <c r="K512" s="6" t="n"/>
      <c r="L512" s="8" t="n"/>
      <c r="M512" s="7" t="n"/>
      <c r="N512" s="7" t="n"/>
      <c r="O512" s="9">
        <f>IF(NOT(ISNUMBER($M512)),"",IF($L512="Fine earth / fine-earth volume",$M512*(1-IF(ISNUMBER($K512),$K512,0)/100),$M512))</f>
        <v/>
      </c>
      <c r="P512" s="9">
        <f>IF(OR(NOT(ISNUMBER($O512)),NOT(ISNUMBER($N512)),NOT(ISNUMBER($F512))),"",$O512*($N512/100)*$F512*10)</f>
        <v/>
      </c>
      <c r="Q512" s="9">
        <f>IF(OR(NOT(ISNUMBER($D512)),NOT(ISNUMBER($E512))),"",MAX(0,MIN($E512,SOIL_REPORTING_DEPTH_CM)-MIN($D512,SOIL_REPORTING_DEPTH_CM)))</f>
        <v/>
      </c>
      <c r="R512" s="9">
        <f>IF(OR(NOT(ISNUMBER($O512)),NOT(ISNUMBER($N512)),NOT(ISNUMBER($Q512))),"",$O512*($N512/100)*$Q512*10)</f>
        <v/>
      </c>
      <c r="S512" s="11">
        <f>IF(AND($A512="",$B512="",$D512=""),"",IF(AND($A512&lt;&gt;"",COUNTIF('1. Plot &amp; Site Log'!$A$5:$A$64,$A512)=0),"Plot ID not in the Plot &amp; Site Log. ","")&amp;IF(AND(ISNUMBER($D512),ISNUMBER($E512),$E512&lt;=$D512),"Bottom depth is not below top depth. ","")&amp;IF($L512="Not confirmed","Bulk-density basis not confirmed with the lab — the coarse-fragment correction may be wrong or doubled. ","")&amp;IF(AND(ISNUMBER($M512),OR($M512&lt;QC_BD_MIN,$M512&gt;QC_BD_MAX)),"Bulk density outside the plausible range for a mineral grassland soil. ","")&amp;IF(AND(ISNUMBER($N512),$N512&gt;QC_CARBON_PCT_MAX),"Organic carbon above the QC ceiling — check units, and whether this is an organic horizon. ","")&amp;IF(AND(ISNUMBER($J512),$J512&lt;QC_RECOVERY_MIN),"Recovered less than the QC minimum of the depth driven — the increments may not sit where you think. Do NOT stretch them back out. ","")&amp;IF(AND(ISNUMBER($K512),$K512&gt;0,$L512="Fine earth / total volume"),"Coarse fragments recorded and the lab basis already accounts for them — no further correction applied, which is correct. ",""))</f>
        <v/>
      </c>
      <c r="T512" s="6" t="n"/>
      <c r="U512" s="9">
        <f>IF($B512="",0,IF(COUNTIFS($B$5:$B512,$B512)=1,1,0))</f>
        <v/>
      </c>
    </row>
    <row r="513">
      <c r="A513" s="6" t="n"/>
      <c r="B513" s="6" t="n"/>
      <c r="C513" s="6" t="n"/>
      <c r="D513" s="6" t="n"/>
      <c r="E513" s="6" t="n"/>
      <c r="F513" s="9">
        <f>IF(OR($D513="",$E513=""),"",$E513-$D513)</f>
        <v/>
      </c>
      <c r="G513" s="6" t="n"/>
      <c r="H513" s="6" t="n"/>
      <c r="I513" s="6" t="n"/>
      <c r="J513" s="9">
        <f>IF(OR(NOT(ISNUMBER($H513)),NOT(ISNUMBER($I513)),$H513=0),"",$I513/$H513)</f>
        <v/>
      </c>
      <c r="K513" s="6" t="n"/>
      <c r="L513" s="8" t="n"/>
      <c r="M513" s="7" t="n"/>
      <c r="N513" s="7" t="n"/>
      <c r="O513" s="9">
        <f>IF(NOT(ISNUMBER($M513)),"",IF($L513="Fine earth / fine-earth volume",$M513*(1-IF(ISNUMBER($K513),$K513,0)/100),$M513))</f>
        <v/>
      </c>
      <c r="P513" s="9">
        <f>IF(OR(NOT(ISNUMBER($O513)),NOT(ISNUMBER($N513)),NOT(ISNUMBER($F513))),"",$O513*($N513/100)*$F513*10)</f>
        <v/>
      </c>
      <c r="Q513" s="9">
        <f>IF(OR(NOT(ISNUMBER($D513)),NOT(ISNUMBER($E513))),"",MAX(0,MIN($E513,SOIL_REPORTING_DEPTH_CM)-MIN($D513,SOIL_REPORTING_DEPTH_CM)))</f>
        <v/>
      </c>
      <c r="R513" s="9">
        <f>IF(OR(NOT(ISNUMBER($O513)),NOT(ISNUMBER($N513)),NOT(ISNUMBER($Q513))),"",$O513*($N513/100)*$Q513*10)</f>
        <v/>
      </c>
      <c r="S513" s="11">
        <f>IF(AND($A513="",$B513="",$D513=""),"",IF(AND($A513&lt;&gt;"",COUNTIF('1. Plot &amp; Site Log'!$A$5:$A$64,$A513)=0),"Plot ID not in the Plot &amp; Site Log. ","")&amp;IF(AND(ISNUMBER($D513),ISNUMBER($E513),$E513&lt;=$D513),"Bottom depth is not below top depth. ","")&amp;IF($L513="Not confirmed","Bulk-density basis not confirmed with the lab — the coarse-fragment correction may be wrong or doubled. ","")&amp;IF(AND(ISNUMBER($M513),OR($M513&lt;QC_BD_MIN,$M513&gt;QC_BD_MAX)),"Bulk density outside the plausible range for a mineral grassland soil. ","")&amp;IF(AND(ISNUMBER($N513),$N513&gt;QC_CARBON_PCT_MAX),"Organic carbon above the QC ceiling — check units, and whether this is an organic horizon. ","")&amp;IF(AND(ISNUMBER($J513),$J513&lt;QC_RECOVERY_MIN),"Recovered less than the QC minimum of the depth driven — the increments may not sit where you think. Do NOT stretch them back out. ","")&amp;IF(AND(ISNUMBER($K513),$K513&gt;0,$L513="Fine earth / total volume"),"Coarse fragments recorded and the lab basis already accounts for them — no further correction applied, which is correct. ",""))</f>
        <v/>
      </c>
      <c r="T513" s="6" t="n"/>
      <c r="U513" s="9">
        <f>IF($B513="",0,IF(COUNTIFS($B$5:$B513,$B513)=1,1,0))</f>
        <v/>
      </c>
    </row>
    <row r="514">
      <c r="A514" s="6" t="n"/>
      <c r="B514" s="6" t="n"/>
      <c r="C514" s="6" t="n"/>
      <c r="D514" s="6" t="n"/>
      <c r="E514" s="6" t="n"/>
      <c r="F514" s="9">
        <f>IF(OR($D514="",$E514=""),"",$E514-$D514)</f>
        <v/>
      </c>
      <c r="G514" s="6" t="n"/>
      <c r="H514" s="6" t="n"/>
      <c r="I514" s="6" t="n"/>
      <c r="J514" s="9">
        <f>IF(OR(NOT(ISNUMBER($H514)),NOT(ISNUMBER($I514)),$H514=0),"",$I514/$H514)</f>
        <v/>
      </c>
      <c r="K514" s="6" t="n"/>
      <c r="L514" s="8" t="n"/>
      <c r="M514" s="7" t="n"/>
      <c r="N514" s="7" t="n"/>
      <c r="O514" s="9">
        <f>IF(NOT(ISNUMBER($M514)),"",IF($L514="Fine earth / fine-earth volume",$M514*(1-IF(ISNUMBER($K514),$K514,0)/100),$M514))</f>
        <v/>
      </c>
      <c r="P514" s="9">
        <f>IF(OR(NOT(ISNUMBER($O514)),NOT(ISNUMBER($N514)),NOT(ISNUMBER($F514))),"",$O514*($N514/100)*$F514*10)</f>
        <v/>
      </c>
      <c r="Q514" s="9">
        <f>IF(OR(NOT(ISNUMBER($D514)),NOT(ISNUMBER($E514))),"",MAX(0,MIN($E514,SOIL_REPORTING_DEPTH_CM)-MIN($D514,SOIL_REPORTING_DEPTH_CM)))</f>
        <v/>
      </c>
      <c r="R514" s="9">
        <f>IF(OR(NOT(ISNUMBER($O514)),NOT(ISNUMBER($N514)),NOT(ISNUMBER($Q514))),"",$O514*($N514/100)*$Q514*10)</f>
        <v/>
      </c>
      <c r="S514" s="11">
        <f>IF(AND($A514="",$B514="",$D514=""),"",IF(AND($A514&lt;&gt;"",COUNTIF('1. Plot &amp; Site Log'!$A$5:$A$64,$A514)=0),"Plot ID not in the Plot &amp; Site Log. ","")&amp;IF(AND(ISNUMBER($D514),ISNUMBER($E514),$E514&lt;=$D514),"Bottom depth is not below top depth. ","")&amp;IF($L514="Not confirmed","Bulk-density basis not confirmed with the lab — the coarse-fragment correction may be wrong or doubled. ","")&amp;IF(AND(ISNUMBER($M514),OR($M514&lt;QC_BD_MIN,$M514&gt;QC_BD_MAX)),"Bulk density outside the plausible range for a mineral grassland soil. ","")&amp;IF(AND(ISNUMBER($N514),$N514&gt;QC_CARBON_PCT_MAX),"Organic carbon above the QC ceiling — check units, and whether this is an organic horizon. ","")&amp;IF(AND(ISNUMBER($J514),$J514&lt;QC_RECOVERY_MIN),"Recovered less than the QC minimum of the depth driven — the increments may not sit where you think. Do NOT stretch them back out. ","")&amp;IF(AND(ISNUMBER($K514),$K514&gt;0,$L514="Fine earth / total volume"),"Coarse fragments recorded and the lab basis already accounts for them — no further correction applied, which is correct. ",""))</f>
        <v/>
      </c>
      <c r="T514" s="6" t="n"/>
      <c r="U514" s="9">
        <f>IF($B514="",0,IF(COUNTIFS($B$5:$B514,$B514)=1,1,0))</f>
        <v/>
      </c>
    </row>
    <row r="515">
      <c r="A515" s="6" t="n"/>
      <c r="B515" s="6" t="n"/>
      <c r="C515" s="6" t="n"/>
      <c r="D515" s="6" t="n"/>
      <c r="E515" s="6" t="n"/>
      <c r="F515" s="9">
        <f>IF(OR($D515="",$E515=""),"",$E515-$D515)</f>
        <v/>
      </c>
      <c r="G515" s="6" t="n"/>
      <c r="H515" s="6" t="n"/>
      <c r="I515" s="6" t="n"/>
      <c r="J515" s="9">
        <f>IF(OR(NOT(ISNUMBER($H515)),NOT(ISNUMBER($I515)),$H515=0),"",$I515/$H515)</f>
        <v/>
      </c>
      <c r="K515" s="6" t="n"/>
      <c r="L515" s="8" t="n"/>
      <c r="M515" s="7" t="n"/>
      <c r="N515" s="7" t="n"/>
      <c r="O515" s="9">
        <f>IF(NOT(ISNUMBER($M515)),"",IF($L515="Fine earth / fine-earth volume",$M515*(1-IF(ISNUMBER($K515),$K515,0)/100),$M515))</f>
        <v/>
      </c>
      <c r="P515" s="9">
        <f>IF(OR(NOT(ISNUMBER($O515)),NOT(ISNUMBER($N515)),NOT(ISNUMBER($F515))),"",$O515*($N515/100)*$F515*10)</f>
        <v/>
      </c>
      <c r="Q515" s="9">
        <f>IF(OR(NOT(ISNUMBER($D515)),NOT(ISNUMBER($E515))),"",MAX(0,MIN($E515,SOIL_REPORTING_DEPTH_CM)-MIN($D515,SOIL_REPORTING_DEPTH_CM)))</f>
        <v/>
      </c>
      <c r="R515" s="9">
        <f>IF(OR(NOT(ISNUMBER($O515)),NOT(ISNUMBER($N515)),NOT(ISNUMBER($Q515))),"",$O515*($N515/100)*$Q515*10)</f>
        <v/>
      </c>
      <c r="S515" s="11">
        <f>IF(AND($A515="",$B515="",$D515=""),"",IF(AND($A515&lt;&gt;"",COUNTIF('1. Plot &amp; Site Log'!$A$5:$A$64,$A515)=0),"Plot ID not in the Plot &amp; Site Log. ","")&amp;IF(AND(ISNUMBER($D515),ISNUMBER($E515),$E515&lt;=$D515),"Bottom depth is not below top depth. ","")&amp;IF($L515="Not confirmed","Bulk-density basis not confirmed with the lab — the coarse-fragment correction may be wrong or doubled. ","")&amp;IF(AND(ISNUMBER($M515),OR($M515&lt;QC_BD_MIN,$M515&gt;QC_BD_MAX)),"Bulk density outside the plausible range for a mineral grassland soil. ","")&amp;IF(AND(ISNUMBER($N515),$N515&gt;QC_CARBON_PCT_MAX),"Organic carbon above the QC ceiling — check units, and whether this is an organic horizon. ","")&amp;IF(AND(ISNUMBER($J515),$J515&lt;QC_RECOVERY_MIN),"Recovered less than the QC minimum of the depth driven — the increments may not sit where you think. Do NOT stretch them back out. ","")&amp;IF(AND(ISNUMBER($K515),$K515&gt;0,$L515="Fine earth / total volume"),"Coarse fragments recorded and the lab basis already accounts for them — no further correction applied, which is correct. ",""))</f>
        <v/>
      </c>
      <c r="T515" s="6" t="n"/>
      <c r="U515" s="9">
        <f>IF($B515="",0,IF(COUNTIFS($B$5:$B515,$B515)=1,1,0))</f>
        <v/>
      </c>
    </row>
    <row r="516">
      <c r="A516" s="6" t="n"/>
      <c r="B516" s="6" t="n"/>
      <c r="C516" s="6" t="n"/>
      <c r="D516" s="6" t="n"/>
      <c r="E516" s="6" t="n"/>
      <c r="F516" s="9">
        <f>IF(OR($D516="",$E516=""),"",$E516-$D516)</f>
        <v/>
      </c>
      <c r="G516" s="6" t="n"/>
      <c r="H516" s="6" t="n"/>
      <c r="I516" s="6" t="n"/>
      <c r="J516" s="9">
        <f>IF(OR(NOT(ISNUMBER($H516)),NOT(ISNUMBER($I516)),$H516=0),"",$I516/$H516)</f>
        <v/>
      </c>
      <c r="K516" s="6" t="n"/>
      <c r="L516" s="8" t="n"/>
      <c r="M516" s="7" t="n"/>
      <c r="N516" s="7" t="n"/>
      <c r="O516" s="9">
        <f>IF(NOT(ISNUMBER($M516)),"",IF($L516="Fine earth / fine-earth volume",$M516*(1-IF(ISNUMBER($K516),$K516,0)/100),$M516))</f>
        <v/>
      </c>
      <c r="P516" s="9">
        <f>IF(OR(NOT(ISNUMBER($O516)),NOT(ISNUMBER($N516)),NOT(ISNUMBER($F516))),"",$O516*($N516/100)*$F516*10)</f>
        <v/>
      </c>
      <c r="Q516" s="9">
        <f>IF(OR(NOT(ISNUMBER($D516)),NOT(ISNUMBER($E516))),"",MAX(0,MIN($E516,SOIL_REPORTING_DEPTH_CM)-MIN($D516,SOIL_REPORTING_DEPTH_CM)))</f>
        <v/>
      </c>
      <c r="R516" s="9">
        <f>IF(OR(NOT(ISNUMBER($O516)),NOT(ISNUMBER($N516)),NOT(ISNUMBER($Q516))),"",$O516*($N516/100)*$Q516*10)</f>
        <v/>
      </c>
      <c r="S516" s="11">
        <f>IF(AND($A516="",$B516="",$D516=""),"",IF(AND($A516&lt;&gt;"",COUNTIF('1. Plot &amp; Site Log'!$A$5:$A$64,$A516)=0),"Plot ID not in the Plot &amp; Site Log. ","")&amp;IF(AND(ISNUMBER($D516),ISNUMBER($E516),$E516&lt;=$D516),"Bottom depth is not below top depth. ","")&amp;IF($L516="Not confirmed","Bulk-density basis not confirmed with the lab — the coarse-fragment correction may be wrong or doubled. ","")&amp;IF(AND(ISNUMBER($M516),OR($M516&lt;QC_BD_MIN,$M516&gt;QC_BD_MAX)),"Bulk density outside the plausible range for a mineral grassland soil. ","")&amp;IF(AND(ISNUMBER($N516),$N516&gt;QC_CARBON_PCT_MAX),"Organic carbon above the QC ceiling — check units, and whether this is an organic horizon. ","")&amp;IF(AND(ISNUMBER($J516),$J516&lt;QC_RECOVERY_MIN),"Recovered less than the QC minimum of the depth driven — the increments may not sit where you think. Do NOT stretch them back out. ","")&amp;IF(AND(ISNUMBER($K516),$K516&gt;0,$L516="Fine earth / total volume"),"Coarse fragments recorded and the lab basis already accounts for them — no further correction applied, which is correct. ",""))</f>
        <v/>
      </c>
      <c r="T516" s="6" t="n"/>
      <c r="U516" s="9">
        <f>IF($B516="",0,IF(COUNTIFS($B$5:$B516,$B516)=1,1,0))</f>
        <v/>
      </c>
    </row>
    <row r="517">
      <c r="A517" s="6" t="n"/>
      <c r="B517" s="6" t="n"/>
      <c r="C517" s="6" t="n"/>
      <c r="D517" s="6" t="n"/>
      <c r="E517" s="6" t="n"/>
      <c r="F517" s="9">
        <f>IF(OR($D517="",$E517=""),"",$E517-$D517)</f>
        <v/>
      </c>
      <c r="G517" s="6" t="n"/>
      <c r="H517" s="6" t="n"/>
      <c r="I517" s="6" t="n"/>
      <c r="J517" s="9">
        <f>IF(OR(NOT(ISNUMBER($H517)),NOT(ISNUMBER($I517)),$H517=0),"",$I517/$H517)</f>
        <v/>
      </c>
      <c r="K517" s="6" t="n"/>
      <c r="L517" s="8" t="n"/>
      <c r="M517" s="7" t="n"/>
      <c r="N517" s="7" t="n"/>
      <c r="O517" s="9">
        <f>IF(NOT(ISNUMBER($M517)),"",IF($L517="Fine earth / fine-earth volume",$M517*(1-IF(ISNUMBER($K517),$K517,0)/100),$M517))</f>
        <v/>
      </c>
      <c r="P517" s="9">
        <f>IF(OR(NOT(ISNUMBER($O517)),NOT(ISNUMBER($N517)),NOT(ISNUMBER($F517))),"",$O517*($N517/100)*$F517*10)</f>
        <v/>
      </c>
      <c r="Q517" s="9">
        <f>IF(OR(NOT(ISNUMBER($D517)),NOT(ISNUMBER($E517))),"",MAX(0,MIN($E517,SOIL_REPORTING_DEPTH_CM)-MIN($D517,SOIL_REPORTING_DEPTH_CM)))</f>
        <v/>
      </c>
      <c r="R517" s="9">
        <f>IF(OR(NOT(ISNUMBER($O517)),NOT(ISNUMBER($N517)),NOT(ISNUMBER($Q517))),"",$O517*($N517/100)*$Q517*10)</f>
        <v/>
      </c>
      <c r="S517" s="11">
        <f>IF(AND($A517="",$B517="",$D517=""),"",IF(AND($A517&lt;&gt;"",COUNTIF('1. Plot &amp; Site Log'!$A$5:$A$64,$A517)=0),"Plot ID not in the Plot &amp; Site Log. ","")&amp;IF(AND(ISNUMBER($D517),ISNUMBER($E517),$E517&lt;=$D517),"Bottom depth is not below top depth. ","")&amp;IF($L517="Not confirmed","Bulk-density basis not confirmed with the lab — the coarse-fragment correction may be wrong or doubled. ","")&amp;IF(AND(ISNUMBER($M517),OR($M517&lt;QC_BD_MIN,$M517&gt;QC_BD_MAX)),"Bulk density outside the plausible range for a mineral grassland soil. ","")&amp;IF(AND(ISNUMBER($N517),$N517&gt;QC_CARBON_PCT_MAX),"Organic carbon above the QC ceiling — check units, and whether this is an organic horizon. ","")&amp;IF(AND(ISNUMBER($J517),$J517&lt;QC_RECOVERY_MIN),"Recovered less than the QC minimum of the depth driven — the increments may not sit where you think. Do NOT stretch them back out. ","")&amp;IF(AND(ISNUMBER($K517),$K517&gt;0,$L517="Fine earth / total volume"),"Coarse fragments recorded and the lab basis already accounts for them — no further correction applied, which is correct. ",""))</f>
        <v/>
      </c>
      <c r="T517" s="6" t="n"/>
      <c r="U517" s="9">
        <f>IF($B517="",0,IF(COUNTIFS($B$5:$B517,$B517)=1,1,0))</f>
        <v/>
      </c>
    </row>
    <row r="518">
      <c r="A518" s="6" t="n"/>
      <c r="B518" s="6" t="n"/>
      <c r="C518" s="6" t="n"/>
      <c r="D518" s="6" t="n"/>
      <c r="E518" s="6" t="n"/>
      <c r="F518" s="9">
        <f>IF(OR($D518="",$E518=""),"",$E518-$D518)</f>
        <v/>
      </c>
      <c r="G518" s="6" t="n"/>
      <c r="H518" s="6" t="n"/>
      <c r="I518" s="6" t="n"/>
      <c r="J518" s="9">
        <f>IF(OR(NOT(ISNUMBER($H518)),NOT(ISNUMBER($I518)),$H518=0),"",$I518/$H518)</f>
        <v/>
      </c>
      <c r="K518" s="6" t="n"/>
      <c r="L518" s="8" t="n"/>
      <c r="M518" s="7" t="n"/>
      <c r="N518" s="7" t="n"/>
      <c r="O518" s="9">
        <f>IF(NOT(ISNUMBER($M518)),"",IF($L518="Fine earth / fine-earth volume",$M518*(1-IF(ISNUMBER($K518),$K518,0)/100),$M518))</f>
        <v/>
      </c>
      <c r="P518" s="9">
        <f>IF(OR(NOT(ISNUMBER($O518)),NOT(ISNUMBER($N518)),NOT(ISNUMBER($F518))),"",$O518*($N518/100)*$F518*10)</f>
        <v/>
      </c>
      <c r="Q518" s="9">
        <f>IF(OR(NOT(ISNUMBER($D518)),NOT(ISNUMBER($E518))),"",MAX(0,MIN($E518,SOIL_REPORTING_DEPTH_CM)-MIN($D518,SOIL_REPORTING_DEPTH_CM)))</f>
        <v/>
      </c>
      <c r="R518" s="9">
        <f>IF(OR(NOT(ISNUMBER($O518)),NOT(ISNUMBER($N518)),NOT(ISNUMBER($Q518))),"",$O518*($N518/100)*$Q518*10)</f>
        <v/>
      </c>
      <c r="S518" s="11">
        <f>IF(AND($A518="",$B518="",$D518=""),"",IF(AND($A518&lt;&gt;"",COUNTIF('1. Plot &amp; Site Log'!$A$5:$A$64,$A518)=0),"Plot ID not in the Plot &amp; Site Log. ","")&amp;IF(AND(ISNUMBER($D518),ISNUMBER($E518),$E518&lt;=$D518),"Bottom depth is not below top depth. ","")&amp;IF($L518="Not confirmed","Bulk-density basis not confirmed with the lab — the coarse-fragment correction may be wrong or doubled. ","")&amp;IF(AND(ISNUMBER($M518),OR($M518&lt;QC_BD_MIN,$M518&gt;QC_BD_MAX)),"Bulk density outside the plausible range for a mineral grassland soil. ","")&amp;IF(AND(ISNUMBER($N518),$N518&gt;QC_CARBON_PCT_MAX),"Organic carbon above the QC ceiling — check units, and whether this is an organic horizon. ","")&amp;IF(AND(ISNUMBER($J518),$J518&lt;QC_RECOVERY_MIN),"Recovered less than the QC minimum of the depth driven — the increments may not sit where you think. Do NOT stretch them back out. ","")&amp;IF(AND(ISNUMBER($K518),$K518&gt;0,$L518="Fine earth / total volume"),"Coarse fragments recorded and the lab basis already accounts for them — no further correction applied, which is correct. ",""))</f>
        <v/>
      </c>
      <c r="T518" s="6" t="n"/>
      <c r="U518" s="9">
        <f>IF($B518="",0,IF(COUNTIFS($B$5:$B518,$B518)=1,1,0))</f>
        <v/>
      </c>
    </row>
    <row r="519">
      <c r="A519" s="6" t="n"/>
      <c r="B519" s="6" t="n"/>
      <c r="C519" s="6" t="n"/>
      <c r="D519" s="6" t="n"/>
      <c r="E519" s="6" t="n"/>
      <c r="F519" s="9">
        <f>IF(OR($D519="",$E519=""),"",$E519-$D519)</f>
        <v/>
      </c>
      <c r="G519" s="6" t="n"/>
      <c r="H519" s="6" t="n"/>
      <c r="I519" s="6" t="n"/>
      <c r="J519" s="9">
        <f>IF(OR(NOT(ISNUMBER($H519)),NOT(ISNUMBER($I519)),$H519=0),"",$I519/$H519)</f>
        <v/>
      </c>
      <c r="K519" s="6" t="n"/>
      <c r="L519" s="8" t="n"/>
      <c r="M519" s="7" t="n"/>
      <c r="N519" s="7" t="n"/>
      <c r="O519" s="9">
        <f>IF(NOT(ISNUMBER($M519)),"",IF($L519="Fine earth / fine-earth volume",$M519*(1-IF(ISNUMBER($K519),$K519,0)/100),$M519))</f>
        <v/>
      </c>
      <c r="P519" s="9">
        <f>IF(OR(NOT(ISNUMBER($O519)),NOT(ISNUMBER($N519)),NOT(ISNUMBER($F519))),"",$O519*($N519/100)*$F519*10)</f>
        <v/>
      </c>
      <c r="Q519" s="9">
        <f>IF(OR(NOT(ISNUMBER($D519)),NOT(ISNUMBER($E519))),"",MAX(0,MIN($E519,SOIL_REPORTING_DEPTH_CM)-MIN($D519,SOIL_REPORTING_DEPTH_CM)))</f>
        <v/>
      </c>
      <c r="R519" s="9">
        <f>IF(OR(NOT(ISNUMBER($O519)),NOT(ISNUMBER($N519)),NOT(ISNUMBER($Q519))),"",$O519*($N519/100)*$Q519*10)</f>
        <v/>
      </c>
      <c r="S519" s="11">
        <f>IF(AND($A519="",$B519="",$D519=""),"",IF(AND($A519&lt;&gt;"",COUNTIF('1. Plot &amp; Site Log'!$A$5:$A$64,$A519)=0),"Plot ID not in the Plot &amp; Site Log. ","")&amp;IF(AND(ISNUMBER($D519),ISNUMBER($E519),$E519&lt;=$D519),"Bottom depth is not below top depth. ","")&amp;IF($L519="Not confirmed","Bulk-density basis not confirmed with the lab — the coarse-fragment correction may be wrong or doubled. ","")&amp;IF(AND(ISNUMBER($M519),OR($M519&lt;QC_BD_MIN,$M519&gt;QC_BD_MAX)),"Bulk density outside the plausible range for a mineral grassland soil. ","")&amp;IF(AND(ISNUMBER($N519),$N519&gt;QC_CARBON_PCT_MAX),"Organic carbon above the QC ceiling — check units, and whether this is an organic horizon. ","")&amp;IF(AND(ISNUMBER($J519),$J519&lt;QC_RECOVERY_MIN),"Recovered less than the QC minimum of the depth driven — the increments may not sit where you think. Do NOT stretch them back out. ","")&amp;IF(AND(ISNUMBER($K519),$K519&gt;0,$L519="Fine earth / total volume"),"Coarse fragments recorded and the lab basis already accounts for them — no further correction applied, which is correct. ",""))</f>
        <v/>
      </c>
      <c r="T519" s="6" t="n"/>
      <c r="U519" s="9">
        <f>IF($B519="",0,IF(COUNTIFS($B$5:$B519,$B519)=1,1,0))</f>
        <v/>
      </c>
    </row>
    <row r="520">
      <c r="A520" s="6" t="n"/>
      <c r="B520" s="6" t="n"/>
      <c r="C520" s="6" t="n"/>
      <c r="D520" s="6" t="n"/>
      <c r="E520" s="6" t="n"/>
      <c r="F520" s="9">
        <f>IF(OR($D520="",$E520=""),"",$E520-$D520)</f>
        <v/>
      </c>
      <c r="G520" s="6" t="n"/>
      <c r="H520" s="6" t="n"/>
      <c r="I520" s="6" t="n"/>
      <c r="J520" s="9">
        <f>IF(OR(NOT(ISNUMBER($H520)),NOT(ISNUMBER($I520)),$H520=0),"",$I520/$H520)</f>
        <v/>
      </c>
      <c r="K520" s="6" t="n"/>
      <c r="L520" s="8" t="n"/>
      <c r="M520" s="7" t="n"/>
      <c r="N520" s="7" t="n"/>
      <c r="O520" s="9">
        <f>IF(NOT(ISNUMBER($M520)),"",IF($L520="Fine earth / fine-earth volume",$M520*(1-IF(ISNUMBER($K520),$K520,0)/100),$M520))</f>
        <v/>
      </c>
      <c r="P520" s="9">
        <f>IF(OR(NOT(ISNUMBER($O520)),NOT(ISNUMBER($N520)),NOT(ISNUMBER($F520))),"",$O520*($N520/100)*$F520*10)</f>
        <v/>
      </c>
      <c r="Q520" s="9">
        <f>IF(OR(NOT(ISNUMBER($D520)),NOT(ISNUMBER($E520))),"",MAX(0,MIN($E520,SOIL_REPORTING_DEPTH_CM)-MIN($D520,SOIL_REPORTING_DEPTH_CM)))</f>
        <v/>
      </c>
      <c r="R520" s="9">
        <f>IF(OR(NOT(ISNUMBER($O520)),NOT(ISNUMBER($N520)),NOT(ISNUMBER($Q520))),"",$O520*($N520/100)*$Q520*10)</f>
        <v/>
      </c>
      <c r="S520" s="11">
        <f>IF(AND($A520="",$B520="",$D520=""),"",IF(AND($A520&lt;&gt;"",COUNTIF('1. Plot &amp; Site Log'!$A$5:$A$64,$A520)=0),"Plot ID not in the Plot &amp; Site Log. ","")&amp;IF(AND(ISNUMBER($D520),ISNUMBER($E520),$E520&lt;=$D520),"Bottom depth is not below top depth. ","")&amp;IF($L520="Not confirmed","Bulk-density basis not confirmed with the lab — the coarse-fragment correction may be wrong or doubled. ","")&amp;IF(AND(ISNUMBER($M520),OR($M520&lt;QC_BD_MIN,$M520&gt;QC_BD_MAX)),"Bulk density outside the plausible range for a mineral grassland soil. ","")&amp;IF(AND(ISNUMBER($N520),$N520&gt;QC_CARBON_PCT_MAX),"Organic carbon above the QC ceiling — check units, and whether this is an organic horizon. ","")&amp;IF(AND(ISNUMBER($J520),$J520&lt;QC_RECOVERY_MIN),"Recovered less than the QC minimum of the depth driven — the increments may not sit where you think. Do NOT stretch them back out. ","")&amp;IF(AND(ISNUMBER($K520),$K520&gt;0,$L520="Fine earth / total volume"),"Coarse fragments recorded and the lab basis already accounts for them — no further correction applied, which is correct. ",""))</f>
        <v/>
      </c>
      <c r="T520" s="6" t="n"/>
      <c r="U520" s="9">
        <f>IF($B520="",0,IF(COUNTIFS($B$5:$B520,$B520)=1,1,0))</f>
        <v/>
      </c>
    </row>
    <row r="521">
      <c r="A521" s="6" t="n"/>
      <c r="B521" s="6" t="n"/>
      <c r="C521" s="6" t="n"/>
      <c r="D521" s="6" t="n"/>
      <c r="E521" s="6" t="n"/>
      <c r="F521" s="9">
        <f>IF(OR($D521="",$E521=""),"",$E521-$D521)</f>
        <v/>
      </c>
      <c r="G521" s="6" t="n"/>
      <c r="H521" s="6" t="n"/>
      <c r="I521" s="6" t="n"/>
      <c r="J521" s="9">
        <f>IF(OR(NOT(ISNUMBER($H521)),NOT(ISNUMBER($I521)),$H521=0),"",$I521/$H521)</f>
        <v/>
      </c>
      <c r="K521" s="6" t="n"/>
      <c r="L521" s="8" t="n"/>
      <c r="M521" s="7" t="n"/>
      <c r="N521" s="7" t="n"/>
      <c r="O521" s="9">
        <f>IF(NOT(ISNUMBER($M521)),"",IF($L521="Fine earth / fine-earth volume",$M521*(1-IF(ISNUMBER($K521),$K521,0)/100),$M521))</f>
        <v/>
      </c>
      <c r="P521" s="9">
        <f>IF(OR(NOT(ISNUMBER($O521)),NOT(ISNUMBER($N521)),NOT(ISNUMBER($F521))),"",$O521*($N521/100)*$F521*10)</f>
        <v/>
      </c>
      <c r="Q521" s="9">
        <f>IF(OR(NOT(ISNUMBER($D521)),NOT(ISNUMBER($E521))),"",MAX(0,MIN($E521,SOIL_REPORTING_DEPTH_CM)-MIN($D521,SOIL_REPORTING_DEPTH_CM)))</f>
        <v/>
      </c>
      <c r="R521" s="9">
        <f>IF(OR(NOT(ISNUMBER($O521)),NOT(ISNUMBER($N521)),NOT(ISNUMBER($Q521))),"",$O521*($N521/100)*$Q521*10)</f>
        <v/>
      </c>
      <c r="S521" s="11">
        <f>IF(AND($A521="",$B521="",$D521=""),"",IF(AND($A521&lt;&gt;"",COUNTIF('1. Plot &amp; Site Log'!$A$5:$A$64,$A521)=0),"Plot ID not in the Plot &amp; Site Log. ","")&amp;IF(AND(ISNUMBER($D521),ISNUMBER($E521),$E521&lt;=$D521),"Bottom depth is not below top depth. ","")&amp;IF($L521="Not confirmed","Bulk-density basis not confirmed with the lab — the coarse-fragment correction may be wrong or doubled. ","")&amp;IF(AND(ISNUMBER($M521),OR($M521&lt;QC_BD_MIN,$M521&gt;QC_BD_MAX)),"Bulk density outside the plausible range for a mineral grassland soil. ","")&amp;IF(AND(ISNUMBER($N521),$N521&gt;QC_CARBON_PCT_MAX),"Organic carbon above the QC ceiling — check units, and whether this is an organic horizon. ","")&amp;IF(AND(ISNUMBER($J521),$J521&lt;QC_RECOVERY_MIN),"Recovered less than the QC minimum of the depth driven — the increments may not sit where you think. Do NOT stretch them back out. ","")&amp;IF(AND(ISNUMBER($K521),$K521&gt;0,$L521="Fine earth / total volume"),"Coarse fragments recorded and the lab basis already accounts for them — no further correction applied, which is correct. ",""))</f>
        <v/>
      </c>
      <c r="T521" s="6" t="n"/>
      <c r="U521" s="9">
        <f>IF($B521="",0,IF(COUNTIFS($B$5:$B521,$B521)=1,1,0))</f>
        <v/>
      </c>
    </row>
    <row r="522">
      <c r="A522" s="6" t="n"/>
      <c r="B522" s="6" t="n"/>
      <c r="C522" s="6" t="n"/>
      <c r="D522" s="6" t="n"/>
      <c r="E522" s="6" t="n"/>
      <c r="F522" s="9">
        <f>IF(OR($D522="",$E522=""),"",$E522-$D522)</f>
        <v/>
      </c>
      <c r="G522" s="6" t="n"/>
      <c r="H522" s="6" t="n"/>
      <c r="I522" s="6" t="n"/>
      <c r="J522" s="9">
        <f>IF(OR(NOT(ISNUMBER($H522)),NOT(ISNUMBER($I522)),$H522=0),"",$I522/$H522)</f>
        <v/>
      </c>
      <c r="K522" s="6" t="n"/>
      <c r="L522" s="8" t="n"/>
      <c r="M522" s="7" t="n"/>
      <c r="N522" s="7" t="n"/>
      <c r="O522" s="9">
        <f>IF(NOT(ISNUMBER($M522)),"",IF($L522="Fine earth / fine-earth volume",$M522*(1-IF(ISNUMBER($K522),$K522,0)/100),$M522))</f>
        <v/>
      </c>
      <c r="P522" s="9">
        <f>IF(OR(NOT(ISNUMBER($O522)),NOT(ISNUMBER($N522)),NOT(ISNUMBER($F522))),"",$O522*($N522/100)*$F522*10)</f>
        <v/>
      </c>
      <c r="Q522" s="9">
        <f>IF(OR(NOT(ISNUMBER($D522)),NOT(ISNUMBER($E522))),"",MAX(0,MIN($E522,SOIL_REPORTING_DEPTH_CM)-MIN($D522,SOIL_REPORTING_DEPTH_CM)))</f>
        <v/>
      </c>
      <c r="R522" s="9">
        <f>IF(OR(NOT(ISNUMBER($O522)),NOT(ISNUMBER($N522)),NOT(ISNUMBER($Q522))),"",$O522*($N522/100)*$Q522*10)</f>
        <v/>
      </c>
      <c r="S522" s="11">
        <f>IF(AND($A522="",$B522="",$D522=""),"",IF(AND($A522&lt;&gt;"",COUNTIF('1. Plot &amp; Site Log'!$A$5:$A$64,$A522)=0),"Plot ID not in the Plot &amp; Site Log. ","")&amp;IF(AND(ISNUMBER($D522),ISNUMBER($E522),$E522&lt;=$D522),"Bottom depth is not below top depth. ","")&amp;IF($L522="Not confirmed","Bulk-density basis not confirmed with the lab — the coarse-fragment correction may be wrong or doubled. ","")&amp;IF(AND(ISNUMBER($M522),OR($M522&lt;QC_BD_MIN,$M522&gt;QC_BD_MAX)),"Bulk density outside the plausible range for a mineral grassland soil. ","")&amp;IF(AND(ISNUMBER($N522),$N522&gt;QC_CARBON_PCT_MAX),"Organic carbon above the QC ceiling — check units, and whether this is an organic horizon. ","")&amp;IF(AND(ISNUMBER($J522),$J522&lt;QC_RECOVERY_MIN),"Recovered less than the QC minimum of the depth driven — the increments may not sit where you think. Do NOT stretch them back out. ","")&amp;IF(AND(ISNUMBER($K522),$K522&gt;0,$L522="Fine earth / total volume"),"Coarse fragments recorded and the lab basis already accounts for them — no further correction applied, which is correct. ",""))</f>
        <v/>
      </c>
      <c r="T522" s="6" t="n"/>
      <c r="U522" s="9">
        <f>IF($B522="",0,IF(COUNTIFS($B$5:$B522,$B522)=1,1,0))</f>
        <v/>
      </c>
    </row>
    <row r="523">
      <c r="A523" s="6" t="n"/>
      <c r="B523" s="6" t="n"/>
      <c r="C523" s="6" t="n"/>
      <c r="D523" s="6" t="n"/>
      <c r="E523" s="6" t="n"/>
      <c r="F523" s="9">
        <f>IF(OR($D523="",$E523=""),"",$E523-$D523)</f>
        <v/>
      </c>
      <c r="G523" s="6" t="n"/>
      <c r="H523" s="6" t="n"/>
      <c r="I523" s="6" t="n"/>
      <c r="J523" s="9">
        <f>IF(OR(NOT(ISNUMBER($H523)),NOT(ISNUMBER($I523)),$H523=0),"",$I523/$H523)</f>
        <v/>
      </c>
      <c r="K523" s="6" t="n"/>
      <c r="L523" s="8" t="n"/>
      <c r="M523" s="7" t="n"/>
      <c r="N523" s="7" t="n"/>
      <c r="O523" s="9">
        <f>IF(NOT(ISNUMBER($M523)),"",IF($L523="Fine earth / fine-earth volume",$M523*(1-IF(ISNUMBER($K523),$K523,0)/100),$M523))</f>
        <v/>
      </c>
      <c r="P523" s="9">
        <f>IF(OR(NOT(ISNUMBER($O523)),NOT(ISNUMBER($N523)),NOT(ISNUMBER($F523))),"",$O523*($N523/100)*$F523*10)</f>
        <v/>
      </c>
      <c r="Q523" s="9">
        <f>IF(OR(NOT(ISNUMBER($D523)),NOT(ISNUMBER($E523))),"",MAX(0,MIN($E523,SOIL_REPORTING_DEPTH_CM)-MIN($D523,SOIL_REPORTING_DEPTH_CM)))</f>
        <v/>
      </c>
      <c r="R523" s="9">
        <f>IF(OR(NOT(ISNUMBER($O523)),NOT(ISNUMBER($N523)),NOT(ISNUMBER($Q523))),"",$O523*($N523/100)*$Q523*10)</f>
        <v/>
      </c>
      <c r="S523" s="11">
        <f>IF(AND($A523="",$B523="",$D523=""),"",IF(AND($A523&lt;&gt;"",COUNTIF('1. Plot &amp; Site Log'!$A$5:$A$64,$A523)=0),"Plot ID not in the Plot &amp; Site Log. ","")&amp;IF(AND(ISNUMBER($D523),ISNUMBER($E523),$E523&lt;=$D523),"Bottom depth is not below top depth. ","")&amp;IF($L523="Not confirmed","Bulk-density basis not confirmed with the lab — the coarse-fragment correction may be wrong or doubled. ","")&amp;IF(AND(ISNUMBER($M523),OR($M523&lt;QC_BD_MIN,$M523&gt;QC_BD_MAX)),"Bulk density outside the plausible range for a mineral grassland soil. ","")&amp;IF(AND(ISNUMBER($N523),$N523&gt;QC_CARBON_PCT_MAX),"Organic carbon above the QC ceiling — check units, and whether this is an organic horizon. ","")&amp;IF(AND(ISNUMBER($J523),$J523&lt;QC_RECOVERY_MIN),"Recovered less than the QC minimum of the depth driven — the increments may not sit where you think. Do NOT stretch them back out. ","")&amp;IF(AND(ISNUMBER($K523),$K523&gt;0,$L523="Fine earth / total volume"),"Coarse fragments recorded and the lab basis already accounts for them — no further correction applied, which is correct. ",""))</f>
        <v/>
      </c>
      <c r="T523" s="6" t="n"/>
      <c r="U523" s="9">
        <f>IF($B523="",0,IF(COUNTIFS($B$5:$B523,$B523)=1,1,0))</f>
        <v/>
      </c>
    </row>
    <row r="524">
      <c r="A524" s="6" t="n"/>
      <c r="B524" s="6" t="n"/>
      <c r="C524" s="6" t="n"/>
      <c r="D524" s="6" t="n"/>
      <c r="E524" s="6" t="n"/>
      <c r="F524" s="9">
        <f>IF(OR($D524="",$E524=""),"",$E524-$D524)</f>
        <v/>
      </c>
      <c r="G524" s="6" t="n"/>
      <c r="H524" s="6" t="n"/>
      <c r="I524" s="6" t="n"/>
      <c r="J524" s="9">
        <f>IF(OR(NOT(ISNUMBER($H524)),NOT(ISNUMBER($I524)),$H524=0),"",$I524/$H524)</f>
        <v/>
      </c>
      <c r="K524" s="6" t="n"/>
      <c r="L524" s="8" t="n"/>
      <c r="M524" s="7" t="n"/>
      <c r="N524" s="7" t="n"/>
      <c r="O524" s="9">
        <f>IF(NOT(ISNUMBER($M524)),"",IF($L524="Fine earth / fine-earth volume",$M524*(1-IF(ISNUMBER($K524),$K524,0)/100),$M524))</f>
        <v/>
      </c>
      <c r="P524" s="9">
        <f>IF(OR(NOT(ISNUMBER($O524)),NOT(ISNUMBER($N524)),NOT(ISNUMBER($F524))),"",$O524*($N524/100)*$F524*10)</f>
        <v/>
      </c>
      <c r="Q524" s="9">
        <f>IF(OR(NOT(ISNUMBER($D524)),NOT(ISNUMBER($E524))),"",MAX(0,MIN($E524,SOIL_REPORTING_DEPTH_CM)-MIN($D524,SOIL_REPORTING_DEPTH_CM)))</f>
        <v/>
      </c>
      <c r="R524" s="9">
        <f>IF(OR(NOT(ISNUMBER($O524)),NOT(ISNUMBER($N524)),NOT(ISNUMBER($Q524))),"",$O524*($N524/100)*$Q524*10)</f>
        <v/>
      </c>
      <c r="S524" s="11">
        <f>IF(AND($A524="",$B524="",$D524=""),"",IF(AND($A524&lt;&gt;"",COUNTIF('1. Plot &amp; Site Log'!$A$5:$A$64,$A524)=0),"Plot ID not in the Plot &amp; Site Log. ","")&amp;IF(AND(ISNUMBER($D524),ISNUMBER($E524),$E524&lt;=$D524),"Bottom depth is not below top depth. ","")&amp;IF($L524="Not confirmed","Bulk-density basis not confirmed with the lab — the coarse-fragment correction may be wrong or doubled. ","")&amp;IF(AND(ISNUMBER($M524),OR($M524&lt;QC_BD_MIN,$M524&gt;QC_BD_MAX)),"Bulk density outside the plausible range for a mineral grassland soil. ","")&amp;IF(AND(ISNUMBER($N524),$N524&gt;QC_CARBON_PCT_MAX),"Organic carbon above the QC ceiling — check units, and whether this is an organic horizon. ","")&amp;IF(AND(ISNUMBER($J524),$J524&lt;QC_RECOVERY_MIN),"Recovered less than the QC minimum of the depth driven — the increments may not sit where you think. Do NOT stretch them back out. ","")&amp;IF(AND(ISNUMBER($K524),$K524&gt;0,$L524="Fine earth / total volume"),"Coarse fragments recorded and the lab basis already accounts for them — no further correction applied, which is correct. ",""))</f>
        <v/>
      </c>
      <c r="T524" s="6" t="n"/>
      <c r="U524" s="9">
        <f>IF($B524="",0,IF(COUNTIFS($B$5:$B524,$B524)=1,1,0))</f>
        <v/>
      </c>
    </row>
    <row r="525">
      <c r="A525" s="6" t="n"/>
      <c r="B525" s="6" t="n"/>
      <c r="C525" s="6" t="n"/>
      <c r="D525" s="6" t="n"/>
      <c r="E525" s="6" t="n"/>
      <c r="F525" s="9">
        <f>IF(OR($D525="",$E525=""),"",$E525-$D525)</f>
        <v/>
      </c>
      <c r="G525" s="6" t="n"/>
      <c r="H525" s="6" t="n"/>
      <c r="I525" s="6" t="n"/>
      <c r="J525" s="9">
        <f>IF(OR(NOT(ISNUMBER($H525)),NOT(ISNUMBER($I525)),$H525=0),"",$I525/$H525)</f>
        <v/>
      </c>
      <c r="K525" s="6" t="n"/>
      <c r="L525" s="8" t="n"/>
      <c r="M525" s="7" t="n"/>
      <c r="N525" s="7" t="n"/>
      <c r="O525" s="9">
        <f>IF(NOT(ISNUMBER($M525)),"",IF($L525="Fine earth / fine-earth volume",$M525*(1-IF(ISNUMBER($K525),$K525,0)/100),$M525))</f>
        <v/>
      </c>
      <c r="P525" s="9">
        <f>IF(OR(NOT(ISNUMBER($O525)),NOT(ISNUMBER($N525)),NOT(ISNUMBER($F525))),"",$O525*($N525/100)*$F525*10)</f>
        <v/>
      </c>
      <c r="Q525" s="9">
        <f>IF(OR(NOT(ISNUMBER($D525)),NOT(ISNUMBER($E525))),"",MAX(0,MIN($E525,SOIL_REPORTING_DEPTH_CM)-MIN($D525,SOIL_REPORTING_DEPTH_CM)))</f>
        <v/>
      </c>
      <c r="R525" s="9">
        <f>IF(OR(NOT(ISNUMBER($O525)),NOT(ISNUMBER($N525)),NOT(ISNUMBER($Q525))),"",$O525*($N525/100)*$Q525*10)</f>
        <v/>
      </c>
      <c r="S525" s="11">
        <f>IF(AND($A525="",$B525="",$D525=""),"",IF(AND($A525&lt;&gt;"",COUNTIF('1. Plot &amp; Site Log'!$A$5:$A$64,$A525)=0),"Plot ID not in the Plot &amp; Site Log. ","")&amp;IF(AND(ISNUMBER($D525),ISNUMBER($E525),$E525&lt;=$D525),"Bottom depth is not below top depth. ","")&amp;IF($L525="Not confirmed","Bulk-density basis not confirmed with the lab — the coarse-fragment correction may be wrong or doubled. ","")&amp;IF(AND(ISNUMBER($M525),OR($M525&lt;QC_BD_MIN,$M525&gt;QC_BD_MAX)),"Bulk density outside the plausible range for a mineral grassland soil. ","")&amp;IF(AND(ISNUMBER($N525),$N525&gt;QC_CARBON_PCT_MAX),"Organic carbon above the QC ceiling — check units, and whether this is an organic horizon. ","")&amp;IF(AND(ISNUMBER($J525),$J525&lt;QC_RECOVERY_MIN),"Recovered less than the QC minimum of the depth driven — the increments may not sit where you think. Do NOT stretch them back out. ","")&amp;IF(AND(ISNUMBER($K525),$K525&gt;0,$L525="Fine earth / total volume"),"Coarse fragments recorded and the lab basis already accounts for them — no further correction applied, which is correct. ",""))</f>
        <v/>
      </c>
      <c r="T525" s="6" t="n"/>
      <c r="U525" s="9">
        <f>IF($B525="",0,IF(COUNTIFS($B$5:$B525,$B525)=1,1,0))</f>
        <v/>
      </c>
    </row>
    <row r="526">
      <c r="A526" s="6" t="n"/>
      <c r="B526" s="6" t="n"/>
      <c r="C526" s="6" t="n"/>
      <c r="D526" s="6" t="n"/>
      <c r="E526" s="6" t="n"/>
      <c r="F526" s="9">
        <f>IF(OR($D526="",$E526=""),"",$E526-$D526)</f>
        <v/>
      </c>
      <c r="G526" s="6" t="n"/>
      <c r="H526" s="6" t="n"/>
      <c r="I526" s="6" t="n"/>
      <c r="J526" s="9">
        <f>IF(OR(NOT(ISNUMBER($H526)),NOT(ISNUMBER($I526)),$H526=0),"",$I526/$H526)</f>
        <v/>
      </c>
      <c r="K526" s="6" t="n"/>
      <c r="L526" s="8" t="n"/>
      <c r="M526" s="7" t="n"/>
      <c r="N526" s="7" t="n"/>
      <c r="O526" s="9">
        <f>IF(NOT(ISNUMBER($M526)),"",IF($L526="Fine earth / fine-earth volume",$M526*(1-IF(ISNUMBER($K526),$K526,0)/100),$M526))</f>
        <v/>
      </c>
      <c r="P526" s="9">
        <f>IF(OR(NOT(ISNUMBER($O526)),NOT(ISNUMBER($N526)),NOT(ISNUMBER($F526))),"",$O526*($N526/100)*$F526*10)</f>
        <v/>
      </c>
      <c r="Q526" s="9">
        <f>IF(OR(NOT(ISNUMBER($D526)),NOT(ISNUMBER($E526))),"",MAX(0,MIN($E526,SOIL_REPORTING_DEPTH_CM)-MIN($D526,SOIL_REPORTING_DEPTH_CM)))</f>
        <v/>
      </c>
      <c r="R526" s="9">
        <f>IF(OR(NOT(ISNUMBER($O526)),NOT(ISNUMBER($N526)),NOT(ISNUMBER($Q526))),"",$O526*($N526/100)*$Q526*10)</f>
        <v/>
      </c>
      <c r="S526" s="11">
        <f>IF(AND($A526="",$B526="",$D526=""),"",IF(AND($A526&lt;&gt;"",COUNTIF('1. Plot &amp; Site Log'!$A$5:$A$64,$A526)=0),"Plot ID not in the Plot &amp; Site Log. ","")&amp;IF(AND(ISNUMBER($D526),ISNUMBER($E526),$E526&lt;=$D526),"Bottom depth is not below top depth. ","")&amp;IF($L526="Not confirmed","Bulk-density basis not confirmed with the lab — the coarse-fragment correction may be wrong or doubled. ","")&amp;IF(AND(ISNUMBER($M526),OR($M526&lt;QC_BD_MIN,$M526&gt;QC_BD_MAX)),"Bulk density outside the plausible range for a mineral grassland soil. ","")&amp;IF(AND(ISNUMBER($N526),$N526&gt;QC_CARBON_PCT_MAX),"Organic carbon above the QC ceiling — check units, and whether this is an organic horizon. ","")&amp;IF(AND(ISNUMBER($J526),$J526&lt;QC_RECOVERY_MIN),"Recovered less than the QC minimum of the depth driven — the increments may not sit where you think. Do NOT stretch them back out. ","")&amp;IF(AND(ISNUMBER($K526),$K526&gt;0,$L526="Fine earth / total volume"),"Coarse fragments recorded and the lab basis already accounts for them — no further correction applied, which is correct. ",""))</f>
        <v/>
      </c>
      <c r="T526" s="6" t="n"/>
      <c r="U526" s="9">
        <f>IF($B526="",0,IF(COUNTIFS($B$5:$B526,$B526)=1,1,0))</f>
        <v/>
      </c>
    </row>
    <row r="527">
      <c r="A527" s="6" t="n"/>
      <c r="B527" s="6" t="n"/>
      <c r="C527" s="6" t="n"/>
      <c r="D527" s="6" t="n"/>
      <c r="E527" s="6" t="n"/>
      <c r="F527" s="9">
        <f>IF(OR($D527="",$E527=""),"",$E527-$D527)</f>
        <v/>
      </c>
      <c r="G527" s="6" t="n"/>
      <c r="H527" s="6" t="n"/>
      <c r="I527" s="6" t="n"/>
      <c r="J527" s="9">
        <f>IF(OR(NOT(ISNUMBER($H527)),NOT(ISNUMBER($I527)),$H527=0),"",$I527/$H527)</f>
        <v/>
      </c>
      <c r="K527" s="6" t="n"/>
      <c r="L527" s="8" t="n"/>
      <c r="M527" s="7" t="n"/>
      <c r="N527" s="7" t="n"/>
      <c r="O527" s="9">
        <f>IF(NOT(ISNUMBER($M527)),"",IF($L527="Fine earth / fine-earth volume",$M527*(1-IF(ISNUMBER($K527),$K527,0)/100),$M527))</f>
        <v/>
      </c>
      <c r="P527" s="9">
        <f>IF(OR(NOT(ISNUMBER($O527)),NOT(ISNUMBER($N527)),NOT(ISNUMBER($F527))),"",$O527*($N527/100)*$F527*10)</f>
        <v/>
      </c>
      <c r="Q527" s="9">
        <f>IF(OR(NOT(ISNUMBER($D527)),NOT(ISNUMBER($E527))),"",MAX(0,MIN($E527,SOIL_REPORTING_DEPTH_CM)-MIN($D527,SOIL_REPORTING_DEPTH_CM)))</f>
        <v/>
      </c>
      <c r="R527" s="9">
        <f>IF(OR(NOT(ISNUMBER($O527)),NOT(ISNUMBER($N527)),NOT(ISNUMBER($Q527))),"",$O527*($N527/100)*$Q527*10)</f>
        <v/>
      </c>
      <c r="S527" s="11">
        <f>IF(AND($A527="",$B527="",$D527=""),"",IF(AND($A527&lt;&gt;"",COUNTIF('1. Plot &amp; Site Log'!$A$5:$A$64,$A527)=0),"Plot ID not in the Plot &amp; Site Log. ","")&amp;IF(AND(ISNUMBER($D527),ISNUMBER($E527),$E527&lt;=$D527),"Bottom depth is not below top depth. ","")&amp;IF($L527="Not confirmed","Bulk-density basis not confirmed with the lab — the coarse-fragment correction may be wrong or doubled. ","")&amp;IF(AND(ISNUMBER($M527),OR($M527&lt;QC_BD_MIN,$M527&gt;QC_BD_MAX)),"Bulk density outside the plausible range for a mineral grassland soil. ","")&amp;IF(AND(ISNUMBER($N527),$N527&gt;QC_CARBON_PCT_MAX),"Organic carbon above the QC ceiling — check units, and whether this is an organic horizon. ","")&amp;IF(AND(ISNUMBER($J527),$J527&lt;QC_RECOVERY_MIN),"Recovered less than the QC minimum of the depth driven — the increments may not sit where you think. Do NOT stretch them back out. ","")&amp;IF(AND(ISNUMBER($K527),$K527&gt;0,$L527="Fine earth / total volume"),"Coarse fragments recorded and the lab basis already accounts for them — no further correction applied, which is correct. ",""))</f>
        <v/>
      </c>
      <c r="T527" s="6" t="n"/>
      <c r="U527" s="9">
        <f>IF($B527="",0,IF(COUNTIFS($B$5:$B527,$B527)=1,1,0))</f>
        <v/>
      </c>
    </row>
    <row r="528">
      <c r="A528" s="6" t="n"/>
      <c r="B528" s="6" t="n"/>
      <c r="C528" s="6" t="n"/>
      <c r="D528" s="6" t="n"/>
      <c r="E528" s="6" t="n"/>
      <c r="F528" s="9">
        <f>IF(OR($D528="",$E528=""),"",$E528-$D528)</f>
        <v/>
      </c>
      <c r="G528" s="6" t="n"/>
      <c r="H528" s="6" t="n"/>
      <c r="I528" s="6" t="n"/>
      <c r="J528" s="9">
        <f>IF(OR(NOT(ISNUMBER($H528)),NOT(ISNUMBER($I528)),$H528=0),"",$I528/$H528)</f>
        <v/>
      </c>
      <c r="K528" s="6" t="n"/>
      <c r="L528" s="8" t="n"/>
      <c r="M528" s="7" t="n"/>
      <c r="N528" s="7" t="n"/>
      <c r="O528" s="9">
        <f>IF(NOT(ISNUMBER($M528)),"",IF($L528="Fine earth / fine-earth volume",$M528*(1-IF(ISNUMBER($K528),$K528,0)/100),$M528))</f>
        <v/>
      </c>
      <c r="P528" s="9">
        <f>IF(OR(NOT(ISNUMBER($O528)),NOT(ISNUMBER($N528)),NOT(ISNUMBER($F528))),"",$O528*($N528/100)*$F528*10)</f>
        <v/>
      </c>
      <c r="Q528" s="9">
        <f>IF(OR(NOT(ISNUMBER($D528)),NOT(ISNUMBER($E528))),"",MAX(0,MIN($E528,SOIL_REPORTING_DEPTH_CM)-MIN($D528,SOIL_REPORTING_DEPTH_CM)))</f>
        <v/>
      </c>
      <c r="R528" s="9">
        <f>IF(OR(NOT(ISNUMBER($O528)),NOT(ISNUMBER($N528)),NOT(ISNUMBER($Q528))),"",$O528*($N528/100)*$Q528*10)</f>
        <v/>
      </c>
      <c r="S528" s="11">
        <f>IF(AND($A528="",$B528="",$D528=""),"",IF(AND($A528&lt;&gt;"",COUNTIF('1. Plot &amp; Site Log'!$A$5:$A$64,$A528)=0),"Plot ID not in the Plot &amp; Site Log. ","")&amp;IF(AND(ISNUMBER($D528),ISNUMBER($E528),$E528&lt;=$D528),"Bottom depth is not below top depth. ","")&amp;IF($L528="Not confirmed","Bulk-density basis not confirmed with the lab — the coarse-fragment correction may be wrong or doubled. ","")&amp;IF(AND(ISNUMBER($M528),OR($M528&lt;QC_BD_MIN,$M528&gt;QC_BD_MAX)),"Bulk density outside the plausible range for a mineral grassland soil. ","")&amp;IF(AND(ISNUMBER($N528),$N528&gt;QC_CARBON_PCT_MAX),"Organic carbon above the QC ceiling — check units, and whether this is an organic horizon. ","")&amp;IF(AND(ISNUMBER($J528),$J528&lt;QC_RECOVERY_MIN),"Recovered less than the QC minimum of the depth driven — the increments may not sit where you think. Do NOT stretch them back out. ","")&amp;IF(AND(ISNUMBER($K528),$K528&gt;0,$L528="Fine earth / total volume"),"Coarse fragments recorded and the lab basis already accounts for them — no further correction applied, which is correct. ",""))</f>
        <v/>
      </c>
      <c r="T528" s="6" t="n"/>
      <c r="U528" s="9">
        <f>IF($B528="",0,IF(COUNTIFS($B$5:$B528,$B528)=1,1,0))</f>
        <v/>
      </c>
    </row>
    <row r="529">
      <c r="A529" s="6" t="n"/>
      <c r="B529" s="6" t="n"/>
      <c r="C529" s="6" t="n"/>
      <c r="D529" s="6" t="n"/>
      <c r="E529" s="6" t="n"/>
      <c r="F529" s="9">
        <f>IF(OR($D529="",$E529=""),"",$E529-$D529)</f>
        <v/>
      </c>
      <c r="G529" s="6" t="n"/>
      <c r="H529" s="6" t="n"/>
      <c r="I529" s="6" t="n"/>
      <c r="J529" s="9">
        <f>IF(OR(NOT(ISNUMBER($H529)),NOT(ISNUMBER($I529)),$H529=0),"",$I529/$H529)</f>
        <v/>
      </c>
      <c r="K529" s="6" t="n"/>
      <c r="L529" s="8" t="n"/>
      <c r="M529" s="7" t="n"/>
      <c r="N529" s="7" t="n"/>
      <c r="O529" s="9">
        <f>IF(NOT(ISNUMBER($M529)),"",IF($L529="Fine earth / fine-earth volume",$M529*(1-IF(ISNUMBER($K529),$K529,0)/100),$M529))</f>
        <v/>
      </c>
      <c r="P529" s="9">
        <f>IF(OR(NOT(ISNUMBER($O529)),NOT(ISNUMBER($N529)),NOT(ISNUMBER($F529))),"",$O529*($N529/100)*$F529*10)</f>
        <v/>
      </c>
      <c r="Q529" s="9">
        <f>IF(OR(NOT(ISNUMBER($D529)),NOT(ISNUMBER($E529))),"",MAX(0,MIN($E529,SOIL_REPORTING_DEPTH_CM)-MIN($D529,SOIL_REPORTING_DEPTH_CM)))</f>
        <v/>
      </c>
      <c r="R529" s="9">
        <f>IF(OR(NOT(ISNUMBER($O529)),NOT(ISNUMBER($N529)),NOT(ISNUMBER($Q529))),"",$O529*($N529/100)*$Q529*10)</f>
        <v/>
      </c>
      <c r="S529" s="11">
        <f>IF(AND($A529="",$B529="",$D529=""),"",IF(AND($A529&lt;&gt;"",COUNTIF('1. Plot &amp; Site Log'!$A$5:$A$64,$A529)=0),"Plot ID not in the Plot &amp; Site Log. ","")&amp;IF(AND(ISNUMBER($D529),ISNUMBER($E529),$E529&lt;=$D529),"Bottom depth is not below top depth. ","")&amp;IF($L529="Not confirmed","Bulk-density basis not confirmed with the lab — the coarse-fragment correction may be wrong or doubled. ","")&amp;IF(AND(ISNUMBER($M529),OR($M529&lt;QC_BD_MIN,$M529&gt;QC_BD_MAX)),"Bulk density outside the plausible range for a mineral grassland soil. ","")&amp;IF(AND(ISNUMBER($N529),$N529&gt;QC_CARBON_PCT_MAX),"Organic carbon above the QC ceiling — check units, and whether this is an organic horizon. ","")&amp;IF(AND(ISNUMBER($J529),$J529&lt;QC_RECOVERY_MIN),"Recovered less than the QC minimum of the depth driven — the increments may not sit where you think. Do NOT stretch them back out. ","")&amp;IF(AND(ISNUMBER($K529),$K529&gt;0,$L529="Fine earth / total volume"),"Coarse fragments recorded and the lab basis already accounts for them — no further correction applied, which is correct. ",""))</f>
        <v/>
      </c>
      <c r="T529" s="6" t="n"/>
      <c r="U529" s="9">
        <f>IF($B529="",0,IF(COUNTIFS($B$5:$B529,$B529)=1,1,0))</f>
        <v/>
      </c>
    </row>
    <row r="530">
      <c r="A530" s="6" t="n"/>
      <c r="B530" s="6" t="n"/>
      <c r="C530" s="6" t="n"/>
      <c r="D530" s="6" t="n"/>
      <c r="E530" s="6" t="n"/>
      <c r="F530" s="9">
        <f>IF(OR($D530="",$E530=""),"",$E530-$D530)</f>
        <v/>
      </c>
      <c r="G530" s="6" t="n"/>
      <c r="H530" s="6" t="n"/>
      <c r="I530" s="6" t="n"/>
      <c r="J530" s="9">
        <f>IF(OR(NOT(ISNUMBER($H530)),NOT(ISNUMBER($I530)),$H530=0),"",$I530/$H530)</f>
        <v/>
      </c>
      <c r="K530" s="6" t="n"/>
      <c r="L530" s="8" t="n"/>
      <c r="M530" s="7" t="n"/>
      <c r="N530" s="7" t="n"/>
      <c r="O530" s="9">
        <f>IF(NOT(ISNUMBER($M530)),"",IF($L530="Fine earth / fine-earth volume",$M530*(1-IF(ISNUMBER($K530),$K530,0)/100),$M530))</f>
        <v/>
      </c>
      <c r="P530" s="9">
        <f>IF(OR(NOT(ISNUMBER($O530)),NOT(ISNUMBER($N530)),NOT(ISNUMBER($F530))),"",$O530*($N530/100)*$F530*10)</f>
        <v/>
      </c>
      <c r="Q530" s="9">
        <f>IF(OR(NOT(ISNUMBER($D530)),NOT(ISNUMBER($E530))),"",MAX(0,MIN($E530,SOIL_REPORTING_DEPTH_CM)-MIN($D530,SOIL_REPORTING_DEPTH_CM)))</f>
        <v/>
      </c>
      <c r="R530" s="9">
        <f>IF(OR(NOT(ISNUMBER($O530)),NOT(ISNUMBER($N530)),NOT(ISNUMBER($Q530))),"",$O530*($N530/100)*$Q530*10)</f>
        <v/>
      </c>
      <c r="S530" s="11">
        <f>IF(AND($A530="",$B530="",$D530=""),"",IF(AND($A530&lt;&gt;"",COUNTIF('1. Plot &amp; Site Log'!$A$5:$A$64,$A530)=0),"Plot ID not in the Plot &amp; Site Log. ","")&amp;IF(AND(ISNUMBER($D530),ISNUMBER($E530),$E530&lt;=$D530),"Bottom depth is not below top depth. ","")&amp;IF($L530="Not confirmed","Bulk-density basis not confirmed with the lab — the coarse-fragment correction may be wrong or doubled. ","")&amp;IF(AND(ISNUMBER($M530),OR($M530&lt;QC_BD_MIN,$M530&gt;QC_BD_MAX)),"Bulk density outside the plausible range for a mineral grassland soil. ","")&amp;IF(AND(ISNUMBER($N530),$N530&gt;QC_CARBON_PCT_MAX),"Organic carbon above the QC ceiling — check units, and whether this is an organic horizon. ","")&amp;IF(AND(ISNUMBER($J530),$J530&lt;QC_RECOVERY_MIN),"Recovered less than the QC minimum of the depth driven — the increments may not sit where you think. Do NOT stretch them back out. ","")&amp;IF(AND(ISNUMBER($K530),$K530&gt;0,$L530="Fine earth / total volume"),"Coarse fragments recorded and the lab basis already accounts for them — no further correction applied, which is correct. ",""))</f>
        <v/>
      </c>
      <c r="T530" s="6" t="n"/>
      <c r="U530" s="9">
        <f>IF($B530="",0,IF(COUNTIFS($B$5:$B530,$B530)=1,1,0))</f>
        <v/>
      </c>
    </row>
    <row r="531">
      <c r="A531" s="6" t="n"/>
      <c r="B531" s="6" t="n"/>
      <c r="C531" s="6" t="n"/>
      <c r="D531" s="6" t="n"/>
      <c r="E531" s="6" t="n"/>
      <c r="F531" s="9">
        <f>IF(OR($D531="",$E531=""),"",$E531-$D531)</f>
        <v/>
      </c>
      <c r="G531" s="6" t="n"/>
      <c r="H531" s="6" t="n"/>
      <c r="I531" s="6" t="n"/>
      <c r="J531" s="9">
        <f>IF(OR(NOT(ISNUMBER($H531)),NOT(ISNUMBER($I531)),$H531=0),"",$I531/$H531)</f>
        <v/>
      </c>
      <c r="K531" s="6" t="n"/>
      <c r="L531" s="8" t="n"/>
      <c r="M531" s="7" t="n"/>
      <c r="N531" s="7" t="n"/>
      <c r="O531" s="9">
        <f>IF(NOT(ISNUMBER($M531)),"",IF($L531="Fine earth / fine-earth volume",$M531*(1-IF(ISNUMBER($K531),$K531,0)/100),$M531))</f>
        <v/>
      </c>
      <c r="P531" s="9">
        <f>IF(OR(NOT(ISNUMBER($O531)),NOT(ISNUMBER($N531)),NOT(ISNUMBER($F531))),"",$O531*($N531/100)*$F531*10)</f>
        <v/>
      </c>
      <c r="Q531" s="9">
        <f>IF(OR(NOT(ISNUMBER($D531)),NOT(ISNUMBER($E531))),"",MAX(0,MIN($E531,SOIL_REPORTING_DEPTH_CM)-MIN($D531,SOIL_REPORTING_DEPTH_CM)))</f>
        <v/>
      </c>
      <c r="R531" s="9">
        <f>IF(OR(NOT(ISNUMBER($O531)),NOT(ISNUMBER($N531)),NOT(ISNUMBER($Q531))),"",$O531*($N531/100)*$Q531*10)</f>
        <v/>
      </c>
      <c r="S531" s="11">
        <f>IF(AND($A531="",$B531="",$D531=""),"",IF(AND($A531&lt;&gt;"",COUNTIF('1. Plot &amp; Site Log'!$A$5:$A$64,$A531)=0),"Plot ID not in the Plot &amp; Site Log. ","")&amp;IF(AND(ISNUMBER($D531),ISNUMBER($E531),$E531&lt;=$D531),"Bottom depth is not below top depth. ","")&amp;IF($L531="Not confirmed","Bulk-density basis not confirmed with the lab — the coarse-fragment correction may be wrong or doubled. ","")&amp;IF(AND(ISNUMBER($M531),OR($M531&lt;QC_BD_MIN,$M531&gt;QC_BD_MAX)),"Bulk density outside the plausible range for a mineral grassland soil. ","")&amp;IF(AND(ISNUMBER($N531),$N531&gt;QC_CARBON_PCT_MAX),"Organic carbon above the QC ceiling — check units, and whether this is an organic horizon. ","")&amp;IF(AND(ISNUMBER($J531),$J531&lt;QC_RECOVERY_MIN),"Recovered less than the QC minimum of the depth driven — the increments may not sit where you think. Do NOT stretch them back out. ","")&amp;IF(AND(ISNUMBER($K531),$K531&gt;0,$L531="Fine earth / total volume"),"Coarse fragments recorded and the lab basis already accounts for them — no further correction applied, which is correct. ",""))</f>
        <v/>
      </c>
      <c r="T531" s="6" t="n"/>
      <c r="U531" s="9">
        <f>IF($B531="",0,IF(COUNTIFS($B$5:$B531,$B531)=1,1,0))</f>
        <v/>
      </c>
    </row>
    <row r="532">
      <c r="A532" s="6" t="n"/>
      <c r="B532" s="6" t="n"/>
      <c r="C532" s="6" t="n"/>
      <c r="D532" s="6" t="n"/>
      <c r="E532" s="6" t="n"/>
      <c r="F532" s="9">
        <f>IF(OR($D532="",$E532=""),"",$E532-$D532)</f>
        <v/>
      </c>
      <c r="G532" s="6" t="n"/>
      <c r="H532" s="6" t="n"/>
      <c r="I532" s="6" t="n"/>
      <c r="J532" s="9">
        <f>IF(OR(NOT(ISNUMBER($H532)),NOT(ISNUMBER($I532)),$H532=0),"",$I532/$H532)</f>
        <v/>
      </c>
      <c r="K532" s="6" t="n"/>
      <c r="L532" s="8" t="n"/>
      <c r="M532" s="7" t="n"/>
      <c r="N532" s="7" t="n"/>
      <c r="O532" s="9">
        <f>IF(NOT(ISNUMBER($M532)),"",IF($L532="Fine earth / fine-earth volume",$M532*(1-IF(ISNUMBER($K532),$K532,0)/100),$M532))</f>
        <v/>
      </c>
      <c r="P532" s="9">
        <f>IF(OR(NOT(ISNUMBER($O532)),NOT(ISNUMBER($N532)),NOT(ISNUMBER($F532))),"",$O532*($N532/100)*$F532*10)</f>
        <v/>
      </c>
      <c r="Q532" s="9">
        <f>IF(OR(NOT(ISNUMBER($D532)),NOT(ISNUMBER($E532))),"",MAX(0,MIN($E532,SOIL_REPORTING_DEPTH_CM)-MIN($D532,SOIL_REPORTING_DEPTH_CM)))</f>
        <v/>
      </c>
      <c r="R532" s="9">
        <f>IF(OR(NOT(ISNUMBER($O532)),NOT(ISNUMBER($N532)),NOT(ISNUMBER($Q532))),"",$O532*($N532/100)*$Q532*10)</f>
        <v/>
      </c>
      <c r="S532" s="11">
        <f>IF(AND($A532="",$B532="",$D532=""),"",IF(AND($A532&lt;&gt;"",COUNTIF('1. Plot &amp; Site Log'!$A$5:$A$64,$A532)=0),"Plot ID not in the Plot &amp; Site Log. ","")&amp;IF(AND(ISNUMBER($D532),ISNUMBER($E532),$E532&lt;=$D532),"Bottom depth is not below top depth. ","")&amp;IF($L532="Not confirmed","Bulk-density basis not confirmed with the lab — the coarse-fragment correction may be wrong or doubled. ","")&amp;IF(AND(ISNUMBER($M532),OR($M532&lt;QC_BD_MIN,$M532&gt;QC_BD_MAX)),"Bulk density outside the plausible range for a mineral grassland soil. ","")&amp;IF(AND(ISNUMBER($N532),$N532&gt;QC_CARBON_PCT_MAX),"Organic carbon above the QC ceiling — check units, and whether this is an organic horizon. ","")&amp;IF(AND(ISNUMBER($J532),$J532&lt;QC_RECOVERY_MIN),"Recovered less than the QC minimum of the depth driven — the increments may not sit where you think. Do NOT stretch them back out. ","")&amp;IF(AND(ISNUMBER($K532),$K532&gt;0,$L532="Fine earth / total volume"),"Coarse fragments recorded and the lab basis already accounts for them — no further correction applied, which is correct. ",""))</f>
        <v/>
      </c>
      <c r="T532" s="6" t="n"/>
      <c r="U532" s="9">
        <f>IF($B532="",0,IF(COUNTIFS($B$5:$B532,$B532)=1,1,0))</f>
        <v/>
      </c>
    </row>
    <row r="533">
      <c r="A533" s="6" t="n"/>
      <c r="B533" s="6" t="n"/>
      <c r="C533" s="6" t="n"/>
      <c r="D533" s="6" t="n"/>
      <c r="E533" s="6" t="n"/>
      <c r="F533" s="9">
        <f>IF(OR($D533="",$E533=""),"",$E533-$D533)</f>
        <v/>
      </c>
      <c r="G533" s="6" t="n"/>
      <c r="H533" s="6" t="n"/>
      <c r="I533" s="6" t="n"/>
      <c r="J533" s="9">
        <f>IF(OR(NOT(ISNUMBER($H533)),NOT(ISNUMBER($I533)),$H533=0),"",$I533/$H533)</f>
        <v/>
      </c>
      <c r="K533" s="6" t="n"/>
      <c r="L533" s="8" t="n"/>
      <c r="M533" s="7" t="n"/>
      <c r="N533" s="7" t="n"/>
      <c r="O533" s="9">
        <f>IF(NOT(ISNUMBER($M533)),"",IF($L533="Fine earth / fine-earth volume",$M533*(1-IF(ISNUMBER($K533),$K533,0)/100),$M533))</f>
        <v/>
      </c>
      <c r="P533" s="9">
        <f>IF(OR(NOT(ISNUMBER($O533)),NOT(ISNUMBER($N533)),NOT(ISNUMBER($F533))),"",$O533*($N533/100)*$F533*10)</f>
        <v/>
      </c>
      <c r="Q533" s="9">
        <f>IF(OR(NOT(ISNUMBER($D533)),NOT(ISNUMBER($E533))),"",MAX(0,MIN($E533,SOIL_REPORTING_DEPTH_CM)-MIN($D533,SOIL_REPORTING_DEPTH_CM)))</f>
        <v/>
      </c>
      <c r="R533" s="9">
        <f>IF(OR(NOT(ISNUMBER($O533)),NOT(ISNUMBER($N533)),NOT(ISNUMBER($Q533))),"",$O533*($N533/100)*$Q533*10)</f>
        <v/>
      </c>
      <c r="S533" s="11">
        <f>IF(AND($A533="",$B533="",$D533=""),"",IF(AND($A533&lt;&gt;"",COUNTIF('1. Plot &amp; Site Log'!$A$5:$A$64,$A533)=0),"Plot ID not in the Plot &amp; Site Log. ","")&amp;IF(AND(ISNUMBER($D533),ISNUMBER($E533),$E533&lt;=$D533),"Bottom depth is not below top depth. ","")&amp;IF($L533="Not confirmed","Bulk-density basis not confirmed with the lab — the coarse-fragment correction may be wrong or doubled. ","")&amp;IF(AND(ISNUMBER($M533),OR($M533&lt;QC_BD_MIN,$M533&gt;QC_BD_MAX)),"Bulk density outside the plausible range for a mineral grassland soil. ","")&amp;IF(AND(ISNUMBER($N533),$N533&gt;QC_CARBON_PCT_MAX),"Organic carbon above the QC ceiling — check units, and whether this is an organic horizon. ","")&amp;IF(AND(ISNUMBER($J533),$J533&lt;QC_RECOVERY_MIN),"Recovered less than the QC minimum of the depth driven — the increments may not sit where you think. Do NOT stretch them back out. ","")&amp;IF(AND(ISNUMBER($K533),$K533&gt;0,$L533="Fine earth / total volume"),"Coarse fragments recorded and the lab basis already accounts for them — no further correction applied, which is correct. ",""))</f>
        <v/>
      </c>
      <c r="T533" s="6" t="n"/>
      <c r="U533" s="9">
        <f>IF($B533="",0,IF(COUNTIFS($B$5:$B533,$B533)=1,1,0))</f>
        <v/>
      </c>
    </row>
    <row r="534">
      <c r="A534" s="6" t="n"/>
      <c r="B534" s="6" t="n"/>
      <c r="C534" s="6" t="n"/>
      <c r="D534" s="6" t="n"/>
      <c r="E534" s="6" t="n"/>
      <c r="F534" s="9">
        <f>IF(OR($D534="",$E534=""),"",$E534-$D534)</f>
        <v/>
      </c>
      <c r="G534" s="6" t="n"/>
      <c r="H534" s="6" t="n"/>
      <c r="I534" s="6" t="n"/>
      <c r="J534" s="9">
        <f>IF(OR(NOT(ISNUMBER($H534)),NOT(ISNUMBER($I534)),$H534=0),"",$I534/$H534)</f>
        <v/>
      </c>
      <c r="K534" s="6" t="n"/>
      <c r="L534" s="8" t="n"/>
      <c r="M534" s="7" t="n"/>
      <c r="N534" s="7" t="n"/>
      <c r="O534" s="9">
        <f>IF(NOT(ISNUMBER($M534)),"",IF($L534="Fine earth / fine-earth volume",$M534*(1-IF(ISNUMBER($K534),$K534,0)/100),$M534))</f>
        <v/>
      </c>
      <c r="P534" s="9">
        <f>IF(OR(NOT(ISNUMBER($O534)),NOT(ISNUMBER($N534)),NOT(ISNUMBER($F534))),"",$O534*($N534/100)*$F534*10)</f>
        <v/>
      </c>
      <c r="Q534" s="9">
        <f>IF(OR(NOT(ISNUMBER($D534)),NOT(ISNUMBER($E534))),"",MAX(0,MIN($E534,SOIL_REPORTING_DEPTH_CM)-MIN($D534,SOIL_REPORTING_DEPTH_CM)))</f>
        <v/>
      </c>
      <c r="R534" s="9">
        <f>IF(OR(NOT(ISNUMBER($O534)),NOT(ISNUMBER($N534)),NOT(ISNUMBER($Q534))),"",$O534*($N534/100)*$Q534*10)</f>
        <v/>
      </c>
      <c r="S534" s="11">
        <f>IF(AND($A534="",$B534="",$D534=""),"",IF(AND($A534&lt;&gt;"",COUNTIF('1. Plot &amp; Site Log'!$A$5:$A$64,$A534)=0),"Plot ID not in the Plot &amp; Site Log. ","")&amp;IF(AND(ISNUMBER($D534),ISNUMBER($E534),$E534&lt;=$D534),"Bottom depth is not below top depth. ","")&amp;IF($L534="Not confirmed","Bulk-density basis not confirmed with the lab — the coarse-fragment correction may be wrong or doubled. ","")&amp;IF(AND(ISNUMBER($M534),OR($M534&lt;QC_BD_MIN,$M534&gt;QC_BD_MAX)),"Bulk density outside the plausible range for a mineral grassland soil. ","")&amp;IF(AND(ISNUMBER($N534),$N534&gt;QC_CARBON_PCT_MAX),"Organic carbon above the QC ceiling — check units, and whether this is an organic horizon. ","")&amp;IF(AND(ISNUMBER($J534),$J534&lt;QC_RECOVERY_MIN),"Recovered less than the QC minimum of the depth driven — the increments may not sit where you think. Do NOT stretch them back out. ","")&amp;IF(AND(ISNUMBER($K534),$K534&gt;0,$L534="Fine earth / total volume"),"Coarse fragments recorded and the lab basis already accounts for them — no further correction applied, which is correct. ",""))</f>
        <v/>
      </c>
      <c r="T534" s="6" t="n"/>
      <c r="U534" s="9">
        <f>IF($B534="",0,IF(COUNTIFS($B$5:$B534,$B534)=1,1,0))</f>
        <v/>
      </c>
    </row>
    <row r="535">
      <c r="A535" s="6" t="n"/>
      <c r="B535" s="6" t="n"/>
      <c r="C535" s="6" t="n"/>
      <c r="D535" s="6" t="n"/>
      <c r="E535" s="6" t="n"/>
      <c r="F535" s="9">
        <f>IF(OR($D535="",$E535=""),"",$E535-$D535)</f>
        <v/>
      </c>
      <c r="G535" s="6" t="n"/>
      <c r="H535" s="6" t="n"/>
      <c r="I535" s="6" t="n"/>
      <c r="J535" s="9">
        <f>IF(OR(NOT(ISNUMBER($H535)),NOT(ISNUMBER($I535)),$H535=0),"",$I535/$H535)</f>
        <v/>
      </c>
      <c r="K535" s="6" t="n"/>
      <c r="L535" s="8" t="n"/>
      <c r="M535" s="7" t="n"/>
      <c r="N535" s="7" t="n"/>
      <c r="O535" s="9">
        <f>IF(NOT(ISNUMBER($M535)),"",IF($L535="Fine earth / fine-earth volume",$M535*(1-IF(ISNUMBER($K535),$K535,0)/100),$M535))</f>
        <v/>
      </c>
      <c r="P535" s="9">
        <f>IF(OR(NOT(ISNUMBER($O535)),NOT(ISNUMBER($N535)),NOT(ISNUMBER($F535))),"",$O535*($N535/100)*$F535*10)</f>
        <v/>
      </c>
      <c r="Q535" s="9">
        <f>IF(OR(NOT(ISNUMBER($D535)),NOT(ISNUMBER($E535))),"",MAX(0,MIN($E535,SOIL_REPORTING_DEPTH_CM)-MIN($D535,SOIL_REPORTING_DEPTH_CM)))</f>
        <v/>
      </c>
      <c r="R535" s="9">
        <f>IF(OR(NOT(ISNUMBER($O535)),NOT(ISNUMBER($N535)),NOT(ISNUMBER($Q535))),"",$O535*($N535/100)*$Q535*10)</f>
        <v/>
      </c>
      <c r="S535" s="11">
        <f>IF(AND($A535="",$B535="",$D535=""),"",IF(AND($A535&lt;&gt;"",COUNTIF('1. Plot &amp; Site Log'!$A$5:$A$64,$A535)=0),"Plot ID not in the Plot &amp; Site Log. ","")&amp;IF(AND(ISNUMBER($D535),ISNUMBER($E535),$E535&lt;=$D535),"Bottom depth is not below top depth. ","")&amp;IF($L535="Not confirmed","Bulk-density basis not confirmed with the lab — the coarse-fragment correction may be wrong or doubled. ","")&amp;IF(AND(ISNUMBER($M535),OR($M535&lt;QC_BD_MIN,$M535&gt;QC_BD_MAX)),"Bulk density outside the plausible range for a mineral grassland soil. ","")&amp;IF(AND(ISNUMBER($N535),$N535&gt;QC_CARBON_PCT_MAX),"Organic carbon above the QC ceiling — check units, and whether this is an organic horizon. ","")&amp;IF(AND(ISNUMBER($J535),$J535&lt;QC_RECOVERY_MIN),"Recovered less than the QC minimum of the depth driven — the increments may not sit where you think. Do NOT stretch them back out. ","")&amp;IF(AND(ISNUMBER($K535),$K535&gt;0,$L535="Fine earth / total volume"),"Coarse fragments recorded and the lab basis already accounts for them — no further correction applied, which is correct. ",""))</f>
        <v/>
      </c>
      <c r="T535" s="6" t="n"/>
      <c r="U535" s="9">
        <f>IF($B535="",0,IF(COUNTIFS($B$5:$B535,$B535)=1,1,0))</f>
        <v/>
      </c>
    </row>
    <row r="536">
      <c r="A536" s="6" t="n"/>
      <c r="B536" s="6" t="n"/>
      <c r="C536" s="6" t="n"/>
      <c r="D536" s="6" t="n"/>
      <c r="E536" s="6" t="n"/>
      <c r="F536" s="9">
        <f>IF(OR($D536="",$E536=""),"",$E536-$D536)</f>
        <v/>
      </c>
      <c r="G536" s="6" t="n"/>
      <c r="H536" s="6" t="n"/>
      <c r="I536" s="6" t="n"/>
      <c r="J536" s="9">
        <f>IF(OR(NOT(ISNUMBER($H536)),NOT(ISNUMBER($I536)),$H536=0),"",$I536/$H536)</f>
        <v/>
      </c>
      <c r="K536" s="6" t="n"/>
      <c r="L536" s="8" t="n"/>
      <c r="M536" s="7" t="n"/>
      <c r="N536" s="7" t="n"/>
      <c r="O536" s="9">
        <f>IF(NOT(ISNUMBER($M536)),"",IF($L536="Fine earth / fine-earth volume",$M536*(1-IF(ISNUMBER($K536),$K536,0)/100),$M536))</f>
        <v/>
      </c>
      <c r="P536" s="9">
        <f>IF(OR(NOT(ISNUMBER($O536)),NOT(ISNUMBER($N536)),NOT(ISNUMBER($F536))),"",$O536*($N536/100)*$F536*10)</f>
        <v/>
      </c>
      <c r="Q536" s="9">
        <f>IF(OR(NOT(ISNUMBER($D536)),NOT(ISNUMBER($E536))),"",MAX(0,MIN($E536,SOIL_REPORTING_DEPTH_CM)-MIN($D536,SOIL_REPORTING_DEPTH_CM)))</f>
        <v/>
      </c>
      <c r="R536" s="9">
        <f>IF(OR(NOT(ISNUMBER($O536)),NOT(ISNUMBER($N536)),NOT(ISNUMBER($Q536))),"",$O536*($N536/100)*$Q536*10)</f>
        <v/>
      </c>
      <c r="S536" s="11">
        <f>IF(AND($A536="",$B536="",$D536=""),"",IF(AND($A536&lt;&gt;"",COUNTIF('1. Plot &amp; Site Log'!$A$5:$A$64,$A536)=0),"Plot ID not in the Plot &amp; Site Log. ","")&amp;IF(AND(ISNUMBER($D536),ISNUMBER($E536),$E536&lt;=$D536),"Bottom depth is not below top depth. ","")&amp;IF($L536="Not confirmed","Bulk-density basis not confirmed with the lab — the coarse-fragment correction may be wrong or doubled. ","")&amp;IF(AND(ISNUMBER($M536),OR($M536&lt;QC_BD_MIN,$M536&gt;QC_BD_MAX)),"Bulk density outside the plausible range for a mineral grassland soil. ","")&amp;IF(AND(ISNUMBER($N536),$N536&gt;QC_CARBON_PCT_MAX),"Organic carbon above the QC ceiling — check units, and whether this is an organic horizon. ","")&amp;IF(AND(ISNUMBER($J536),$J536&lt;QC_RECOVERY_MIN),"Recovered less than the QC minimum of the depth driven — the increments may not sit where you think. Do NOT stretch them back out. ","")&amp;IF(AND(ISNUMBER($K536),$K536&gt;0,$L536="Fine earth / total volume"),"Coarse fragments recorded and the lab basis already accounts for them — no further correction applied, which is correct. ",""))</f>
        <v/>
      </c>
      <c r="T536" s="6" t="n"/>
      <c r="U536" s="9">
        <f>IF($B536="",0,IF(COUNTIFS($B$5:$B536,$B536)=1,1,0))</f>
        <v/>
      </c>
    </row>
    <row r="537">
      <c r="A537" s="6" t="n"/>
      <c r="B537" s="6" t="n"/>
      <c r="C537" s="6" t="n"/>
      <c r="D537" s="6" t="n"/>
      <c r="E537" s="6" t="n"/>
      <c r="F537" s="9">
        <f>IF(OR($D537="",$E537=""),"",$E537-$D537)</f>
        <v/>
      </c>
      <c r="G537" s="6" t="n"/>
      <c r="H537" s="6" t="n"/>
      <c r="I537" s="6" t="n"/>
      <c r="J537" s="9">
        <f>IF(OR(NOT(ISNUMBER($H537)),NOT(ISNUMBER($I537)),$H537=0),"",$I537/$H537)</f>
        <v/>
      </c>
      <c r="K537" s="6" t="n"/>
      <c r="L537" s="8" t="n"/>
      <c r="M537" s="7" t="n"/>
      <c r="N537" s="7" t="n"/>
      <c r="O537" s="9">
        <f>IF(NOT(ISNUMBER($M537)),"",IF($L537="Fine earth / fine-earth volume",$M537*(1-IF(ISNUMBER($K537),$K537,0)/100),$M537))</f>
        <v/>
      </c>
      <c r="P537" s="9">
        <f>IF(OR(NOT(ISNUMBER($O537)),NOT(ISNUMBER($N537)),NOT(ISNUMBER($F537))),"",$O537*($N537/100)*$F537*10)</f>
        <v/>
      </c>
      <c r="Q537" s="9">
        <f>IF(OR(NOT(ISNUMBER($D537)),NOT(ISNUMBER($E537))),"",MAX(0,MIN($E537,SOIL_REPORTING_DEPTH_CM)-MIN($D537,SOIL_REPORTING_DEPTH_CM)))</f>
        <v/>
      </c>
      <c r="R537" s="9">
        <f>IF(OR(NOT(ISNUMBER($O537)),NOT(ISNUMBER($N537)),NOT(ISNUMBER($Q537))),"",$O537*($N537/100)*$Q537*10)</f>
        <v/>
      </c>
      <c r="S537" s="11">
        <f>IF(AND($A537="",$B537="",$D537=""),"",IF(AND($A537&lt;&gt;"",COUNTIF('1. Plot &amp; Site Log'!$A$5:$A$64,$A537)=0),"Plot ID not in the Plot &amp; Site Log. ","")&amp;IF(AND(ISNUMBER($D537),ISNUMBER($E537),$E537&lt;=$D537),"Bottom depth is not below top depth. ","")&amp;IF($L537="Not confirmed","Bulk-density basis not confirmed with the lab — the coarse-fragment correction may be wrong or doubled. ","")&amp;IF(AND(ISNUMBER($M537),OR($M537&lt;QC_BD_MIN,$M537&gt;QC_BD_MAX)),"Bulk density outside the plausible range for a mineral grassland soil. ","")&amp;IF(AND(ISNUMBER($N537),$N537&gt;QC_CARBON_PCT_MAX),"Organic carbon above the QC ceiling — check units, and whether this is an organic horizon. ","")&amp;IF(AND(ISNUMBER($J537),$J537&lt;QC_RECOVERY_MIN),"Recovered less than the QC minimum of the depth driven — the increments may not sit where you think. Do NOT stretch them back out. ","")&amp;IF(AND(ISNUMBER($K537),$K537&gt;0,$L537="Fine earth / total volume"),"Coarse fragments recorded and the lab basis already accounts for them — no further correction applied, which is correct. ",""))</f>
        <v/>
      </c>
      <c r="T537" s="6" t="n"/>
      <c r="U537" s="9">
        <f>IF($B537="",0,IF(COUNTIFS($B$5:$B537,$B537)=1,1,0))</f>
        <v/>
      </c>
    </row>
    <row r="538">
      <c r="A538" s="6" t="n"/>
      <c r="B538" s="6" t="n"/>
      <c r="C538" s="6" t="n"/>
      <c r="D538" s="6" t="n"/>
      <c r="E538" s="6" t="n"/>
      <c r="F538" s="9">
        <f>IF(OR($D538="",$E538=""),"",$E538-$D538)</f>
        <v/>
      </c>
      <c r="G538" s="6" t="n"/>
      <c r="H538" s="6" t="n"/>
      <c r="I538" s="6" t="n"/>
      <c r="J538" s="9">
        <f>IF(OR(NOT(ISNUMBER($H538)),NOT(ISNUMBER($I538)),$H538=0),"",$I538/$H538)</f>
        <v/>
      </c>
      <c r="K538" s="6" t="n"/>
      <c r="L538" s="8" t="n"/>
      <c r="M538" s="7" t="n"/>
      <c r="N538" s="7" t="n"/>
      <c r="O538" s="9">
        <f>IF(NOT(ISNUMBER($M538)),"",IF($L538="Fine earth / fine-earth volume",$M538*(1-IF(ISNUMBER($K538),$K538,0)/100),$M538))</f>
        <v/>
      </c>
      <c r="P538" s="9">
        <f>IF(OR(NOT(ISNUMBER($O538)),NOT(ISNUMBER($N538)),NOT(ISNUMBER($F538))),"",$O538*($N538/100)*$F538*10)</f>
        <v/>
      </c>
      <c r="Q538" s="9">
        <f>IF(OR(NOT(ISNUMBER($D538)),NOT(ISNUMBER($E538))),"",MAX(0,MIN($E538,SOIL_REPORTING_DEPTH_CM)-MIN($D538,SOIL_REPORTING_DEPTH_CM)))</f>
        <v/>
      </c>
      <c r="R538" s="9">
        <f>IF(OR(NOT(ISNUMBER($O538)),NOT(ISNUMBER($N538)),NOT(ISNUMBER($Q538))),"",$O538*($N538/100)*$Q538*10)</f>
        <v/>
      </c>
      <c r="S538" s="11">
        <f>IF(AND($A538="",$B538="",$D538=""),"",IF(AND($A538&lt;&gt;"",COUNTIF('1. Plot &amp; Site Log'!$A$5:$A$64,$A538)=0),"Plot ID not in the Plot &amp; Site Log. ","")&amp;IF(AND(ISNUMBER($D538),ISNUMBER($E538),$E538&lt;=$D538),"Bottom depth is not below top depth. ","")&amp;IF($L538="Not confirmed","Bulk-density basis not confirmed with the lab — the coarse-fragment correction may be wrong or doubled. ","")&amp;IF(AND(ISNUMBER($M538),OR($M538&lt;QC_BD_MIN,$M538&gt;QC_BD_MAX)),"Bulk density outside the plausible range for a mineral grassland soil. ","")&amp;IF(AND(ISNUMBER($N538),$N538&gt;QC_CARBON_PCT_MAX),"Organic carbon above the QC ceiling — check units, and whether this is an organic horizon. ","")&amp;IF(AND(ISNUMBER($J538),$J538&lt;QC_RECOVERY_MIN),"Recovered less than the QC minimum of the depth driven — the increments may not sit where you think. Do NOT stretch them back out. ","")&amp;IF(AND(ISNUMBER($K538),$K538&gt;0,$L538="Fine earth / total volume"),"Coarse fragments recorded and the lab basis already accounts for them — no further correction applied, which is correct. ",""))</f>
        <v/>
      </c>
      <c r="T538" s="6" t="n"/>
      <c r="U538" s="9">
        <f>IF($B538="",0,IF(COUNTIFS($B$5:$B538,$B538)=1,1,0))</f>
        <v/>
      </c>
    </row>
    <row r="539">
      <c r="A539" s="6" t="n"/>
      <c r="B539" s="6" t="n"/>
      <c r="C539" s="6" t="n"/>
      <c r="D539" s="6" t="n"/>
      <c r="E539" s="6" t="n"/>
      <c r="F539" s="9">
        <f>IF(OR($D539="",$E539=""),"",$E539-$D539)</f>
        <v/>
      </c>
      <c r="G539" s="6" t="n"/>
      <c r="H539" s="6" t="n"/>
      <c r="I539" s="6" t="n"/>
      <c r="J539" s="9">
        <f>IF(OR(NOT(ISNUMBER($H539)),NOT(ISNUMBER($I539)),$H539=0),"",$I539/$H539)</f>
        <v/>
      </c>
      <c r="K539" s="6" t="n"/>
      <c r="L539" s="8" t="n"/>
      <c r="M539" s="7" t="n"/>
      <c r="N539" s="7" t="n"/>
      <c r="O539" s="9">
        <f>IF(NOT(ISNUMBER($M539)),"",IF($L539="Fine earth / fine-earth volume",$M539*(1-IF(ISNUMBER($K539),$K539,0)/100),$M539))</f>
        <v/>
      </c>
      <c r="P539" s="9">
        <f>IF(OR(NOT(ISNUMBER($O539)),NOT(ISNUMBER($N539)),NOT(ISNUMBER($F539))),"",$O539*($N539/100)*$F539*10)</f>
        <v/>
      </c>
      <c r="Q539" s="9">
        <f>IF(OR(NOT(ISNUMBER($D539)),NOT(ISNUMBER($E539))),"",MAX(0,MIN($E539,SOIL_REPORTING_DEPTH_CM)-MIN($D539,SOIL_REPORTING_DEPTH_CM)))</f>
        <v/>
      </c>
      <c r="R539" s="9">
        <f>IF(OR(NOT(ISNUMBER($O539)),NOT(ISNUMBER($N539)),NOT(ISNUMBER($Q539))),"",$O539*($N539/100)*$Q539*10)</f>
        <v/>
      </c>
      <c r="S539" s="11">
        <f>IF(AND($A539="",$B539="",$D539=""),"",IF(AND($A539&lt;&gt;"",COUNTIF('1. Plot &amp; Site Log'!$A$5:$A$64,$A539)=0),"Plot ID not in the Plot &amp; Site Log. ","")&amp;IF(AND(ISNUMBER($D539),ISNUMBER($E539),$E539&lt;=$D539),"Bottom depth is not below top depth. ","")&amp;IF($L539="Not confirmed","Bulk-density basis not confirmed with the lab — the coarse-fragment correction may be wrong or doubled. ","")&amp;IF(AND(ISNUMBER($M539),OR($M539&lt;QC_BD_MIN,$M539&gt;QC_BD_MAX)),"Bulk density outside the plausible range for a mineral grassland soil. ","")&amp;IF(AND(ISNUMBER($N539),$N539&gt;QC_CARBON_PCT_MAX),"Organic carbon above the QC ceiling — check units, and whether this is an organic horizon. ","")&amp;IF(AND(ISNUMBER($J539),$J539&lt;QC_RECOVERY_MIN),"Recovered less than the QC minimum of the depth driven — the increments may not sit where you think. Do NOT stretch them back out. ","")&amp;IF(AND(ISNUMBER($K539),$K539&gt;0,$L539="Fine earth / total volume"),"Coarse fragments recorded and the lab basis already accounts for them — no further correction applied, which is correct. ",""))</f>
        <v/>
      </c>
      <c r="T539" s="6" t="n"/>
      <c r="U539" s="9">
        <f>IF($B539="",0,IF(COUNTIFS($B$5:$B539,$B539)=1,1,0))</f>
        <v/>
      </c>
    </row>
    <row r="540">
      <c r="A540" s="6" t="n"/>
      <c r="B540" s="6" t="n"/>
      <c r="C540" s="6" t="n"/>
      <c r="D540" s="6" t="n"/>
      <c r="E540" s="6" t="n"/>
      <c r="F540" s="9">
        <f>IF(OR($D540="",$E540=""),"",$E540-$D540)</f>
        <v/>
      </c>
      <c r="G540" s="6" t="n"/>
      <c r="H540" s="6" t="n"/>
      <c r="I540" s="6" t="n"/>
      <c r="J540" s="9">
        <f>IF(OR(NOT(ISNUMBER($H540)),NOT(ISNUMBER($I540)),$H540=0),"",$I540/$H540)</f>
        <v/>
      </c>
      <c r="K540" s="6" t="n"/>
      <c r="L540" s="8" t="n"/>
      <c r="M540" s="7" t="n"/>
      <c r="N540" s="7" t="n"/>
      <c r="O540" s="9">
        <f>IF(NOT(ISNUMBER($M540)),"",IF($L540="Fine earth / fine-earth volume",$M540*(1-IF(ISNUMBER($K540),$K540,0)/100),$M540))</f>
        <v/>
      </c>
      <c r="P540" s="9">
        <f>IF(OR(NOT(ISNUMBER($O540)),NOT(ISNUMBER($N540)),NOT(ISNUMBER($F540))),"",$O540*($N540/100)*$F540*10)</f>
        <v/>
      </c>
      <c r="Q540" s="9">
        <f>IF(OR(NOT(ISNUMBER($D540)),NOT(ISNUMBER($E540))),"",MAX(0,MIN($E540,SOIL_REPORTING_DEPTH_CM)-MIN($D540,SOIL_REPORTING_DEPTH_CM)))</f>
        <v/>
      </c>
      <c r="R540" s="9">
        <f>IF(OR(NOT(ISNUMBER($O540)),NOT(ISNUMBER($N540)),NOT(ISNUMBER($Q540))),"",$O540*($N540/100)*$Q540*10)</f>
        <v/>
      </c>
      <c r="S540" s="11">
        <f>IF(AND($A540="",$B540="",$D540=""),"",IF(AND($A540&lt;&gt;"",COUNTIF('1. Plot &amp; Site Log'!$A$5:$A$64,$A540)=0),"Plot ID not in the Plot &amp; Site Log. ","")&amp;IF(AND(ISNUMBER($D540),ISNUMBER($E540),$E540&lt;=$D540),"Bottom depth is not below top depth. ","")&amp;IF($L540="Not confirmed","Bulk-density basis not confirmed with the lab — the coarse-fragment correction may be wrong or doubled. ","")&amp;IF(AND(ISNUMBER($M540),OR($M540&lt;QC_BD_MIN,$M540&gt;QC_BD_MAX)),"Bulk density outside the plausible range for a mineral grassland soil. ","")&amp;IF(AND(ISNUMBER($N540),$N540&gt;QC_CARBON_PCT_MAX),"Organic carbon above the QC ceiling — check units, and whether this is an organic horizon. ","")&amp;IF(AND(ISNUMBER($J540),$J540&lt;QC_RECOVERY_MIN),"Recovered less than the QC minimum of the depth driven — the increments may not sit where you think. Do NOT stretch them back out. ","")&amp;IF(AND(ISNUMBER($K540),$K540&gt;0,$L540="Fine earth / total volume"),"Coarse fragments recorded and the lab basis already accounts for them — no further correction applied, which is correct. ",""))</f>
        <v/>
      </c>
      <c r="T540" s="6" t="n"/>
      <c r="U540" s="9">
        <f>IF($B540="",0,IF(COUNTIFS($B$5:$B540,$B540)=1,1,0))</f>
        <v/>
      </c>
    </row>
    <row r="541">
      <c r="A541" s="6" t="n"/>
      <c r="B541" s="6" t="n"/>
      <c r="C541" s="6" t="n"/>
      <c r="D541" s="6" t="n"/>
      <c r="E541" s="6" t="n"/>
      <c r="F541" s="9">
        <f>IF(OR($D541="",$E541=""),"",$E541-$D541)</f>
        <v/>
      </c>
      <c r="G541" s="6" t="n"/>
      <c r="H541" s="6" t="n"/>
      <c r="I541" s="6" t="n"/>
      <c r="J541" s="9">
        <f>IF(OR(NOT(ISNUMBER($H541)),NOT(ISNUMBER($I541)),$H541=0),"",$I541/$H541)</f>
        <v/>
      </c>
      <c r="K541" s="6" t="n"/>
      <c r="L541" s="8" t="n"/>
      <c r="M541" s="7" t="n"/>
      <c r="N541" s="7" t="n"/>
      <c r="O541" s="9">
        <f>IF(NOT(ISNUMBER($M541)),"",IF($L541="Fine earth / fine-earth volume",$M541*(1-IF(ISNUMBER($K541),$K541,0)/100),$M541))</f>
        <v/>
      </c>
      <c r="P541" s="9">
        <f>IF(OR(NOT(ISNUMBER($O541)),NOT(ISNUMBER($N541)),NOT(ISNUMBER($F541))),"",$O541*($N541/100)*$F541*10)</f>
        <v/>
      </c>
      <c r="Q541" s="9">
        <f>IF(OR(NOT(ISNUMBER($D541)),NOT(ISNUMBER($E541))),"",MAX(0,MIN($E541,SOIL_REPORTING_DEPTH_CM)-MIN($D541,SOIL_REPORTING_DEPTH_CM)))</f>
        <v/>
      </c>
      <c r="R541" s="9">
        <f>IF(OR(NOT(ISNUMBER($O541)),NOT(ISNUMBER($N541)),NOT(ISNUMBER($Q541))),"",$O541*($N541/100)*$Q541*10)</f>
        <v/>
      </c>
      <c r="S541" s="11">
        <f>IF(AND($A541="",$B541="",$D541=""),"",IF(AND($A541&lt;&gt;"",COUNTIF('1. Plot &amp; Site Log'!$A$5:$A$64,$A541)=0),"Plot ID not in the Plot &amp; Site Log. ","")&amp;IF(AND(ISNUMBER($D541),ISNUMBER($E541),$E541&lt;=$D541),"Bottom depth is not below top depth. ","")&amp;IF($L541="Not confirmed","Bulk-density basis not confirmed with the lab — the coarse-fragment correction may be wrong or doubled. ","")&amp;IF(AND(ISNUMBER($M541),OR($M541&lt;QC_BD_MIN,$M541&gt;QC_BD_MAX)),"Bulk density outside the plausible range for a mineral grassland soil. ","")&amp;IF(AND(ISNUMBER($N541),$N541&gt;QC_CARBON_PCT_MAX),"Organic carbon above the QC ceiling — check units, and whether this is an organic horizon. ","")&amp;IF(AND(ISNUMBER($J541),$J541&lt;QC_RECOVERY_MIN),"Recovered less than the QC minimum of the depth driven — the increments may not sit where you think. Do NOT stretch them back out. ","")&amp;IF(AND(ISNUMBER($K541),$K541&gt;0,$L541="Fine earth / total volume"),"Coarse fragments recorded and the lab basis already accounts for them — no further correction applied, which is correct. ",""))</f>
        <v/>
      </c>
      <c r="T541" s="6" t="n"/>
      <c r="U541" s="9">
        <f>IF($B541="",0,IF(COUNTIFS($B$5:$B541,$B541)=1,1,0))</f>
        <v/>
      </c>
    </row>
    <row r="542">
      <c r="A542" s="6" t="n"/>
      <c r="B542" s="6" t="n"/>
      <c r="C542" s="6" t="n"/>
      <c r="D542" s="6" t="n"/>
      <c r="E542" s="6" t="n"/>
      <c r="F542" s="9">
        <f>IF(OR($D542="",$E542=""),"",$E542-$D542)</f>
        <v/>
      </c>
      <c r="G542" s="6" t="n"/>
      <c r="H542" s="6" t="n"/>
      <c r="I542" s="6" t="n"/>
      <c r="J542" s="9">
        <f>IF(OR(NOT(ISNUMBER($H542)),NOT(ISNUMBER($I542)),$H542=0),"",$I542/$H542)</f>
        <v/>
      </c>
      <c r="K542" s="6" t="n"/>
      <c r="L542" s="8" t="n"/>
      <c r="M542" s="7" t="n"/>
      <c r="N542" s="7" t="n"/>
      <c r="O542" s="9">
        <f>IF(NOT(ISNUMBER($M542)),"",IF($L542="Fine earth / fine-earth volume",$M542*(1-IF(ISNUMBER($K542),$K542,0)/100),$M542))</f>
        <v/>
      </c>
      <c r="P542" s="9">
        <f>IF(OR(NOT(ISNUMBER($O542)),NOT(ISNUMBER($N542)),NOT(ISNUMBER($F542))),"",$O542*($N542/100)*$F542*10)</f>
        <v/>
      </c>
      <c r="Q542" s="9">
        <f>IF(OR(NOT(ISNUMBER($D542)),NOT(ISNUMBER($E542))),"",MAX(0,MIN($E542,SOIL_REPORTING_DEPTH_CM)-MIN($D542,SOIL_REPORTING_DEPTH_CM)))</f>
        <v/>
      </c>
      <c r="R542" s="9">
        <f>IF(OR(NOT(ISNUMBER($O542)),NOT(ISNUMBER($N542)),NOT(ISNUMBER($Q542))),"",$O542*($N542/100)*$Q542*10)</f>
        <v/>
      </c>
      <c r="S542" s="11">
        <f>IF(AND($A542="",$B542="",$D542=""),"",IF(AND($A542&lt;&gt;"",COUNTIF('1. Plot &amp; Site Log'!$A$5:$A$64,$A542)=0),"Plot ID not in the Plot &amp; Site Log. ","")&amp;IF(AND(ISNUMBER($D542),ISNUMBER($E542),$E542&lt;=$D542),"Bottom depth is not below top depth. ","")&amp;IF($L542="Not confirmed","Bulk-density basis not confirmed with the lab — the coarse-fragment correction may be wrong or doubled. ","")&amp;IF(AND(ISNUMBER($M542),OR($M542&lt;QC_BD_MIN,$M542&gt;QC_BD_MAX)),"Bulk density outside the plausible range for a mineral grassland soil. ","")&amp;IF(AND(ISNUMBER($N542),$N542&gt;QC_CARBON_PCT_MAX),"Organic carbon above the QC ceiling — check units, and whether this is an organic horizon. ","")&amp;IF(AND(ISNUMBER($J542),$J542&lt;QC_RECOVERY_MIN),"Recovered less than the QC minimum of the depth driven — the increments may not sit where you think. Do NOT stretch them back out. ","")&amp;IF(AND(ISNUMBER($K542),$K542&gt;0,$L542="Fine earth / total volume"),"Coarse fragments recorded and the lab basis already accounts for them — no further correction applied, which is correct. ",""))</f>
        <v/>
      </c>
      <c r="T542" s="6" t="n"/>
      <c r="U542" s="9">
        <f>IF($B542="",0,IF(COUNTIFS($B$5:$B542,$B542)=1,1,0))</f>
        <v/>
      </c>
    </row>
    <row r="543">
      <c r="A543" s="6" t="n"/>
      <c r="B543" s="6" t="n"/>
      <c r="C543" s="6" t="n"/>
      <c r="D543" s="6" t="n"/>
      <c r="E543" s="6" t="n"/>
      <c r="F543" s="9">
        <f>IF(OR($D543="",$E543=""),"",$E543-$D543)</f>
        <v/>
      </c>
      <c r="G543" s="6" t="n"/>
      <c r="H543" s="6" t="n"/>
      <c r="I543" s="6" t="n"/>
      <c r="J543" s="9">
        <f>IF(OR(NOT(ISNUMBER($H543)),NOT(ISNUMBER($I543)),$H543=0),"",$I543/$H543)</f>
        <v/>
      </c>
      <c r="K543" s="6" t="n"/>
      <c r="L543" s="8" t="n"/>
      <c r="M543" s="7" t="n"/>
      <c r="N543" s="7" t="n"/>
      <c r="O543" s="9">
        <f>IF(NOT(ISNUMBER($M543)),"",IF($L543="Fine earth / fine-earth volume",$M543*(1-IF(ISNUMBER($K543),$K543,0)/100),$M543))</f>
        <v/>
      </c>
      <c r="P543" s="9">
        <f>IF(OR(NOT(ISNUMBER($O543)),NOT(ISNUMBER($N543)),NOT(ISNUMBER($F543))),"",$O543*($N543/100)*$F543*10)</f>
        <v/>
      </c>
      <c r="Q543" s="9">
        <f>IF(OR(NOT(ISNUMBER($D543)),NOT(ISNUMBER($E543))),"",MAX(0,MIN($E543,SOIL_REPORTING_DEPTH_CM)-MIN($D543,SOIL_REPORTING_DEPTH_CM)))</f>
        <v/>
      </c>
      <c r="R543" s="9">
        <f>IF(OR(NOT(ISNUMBER($O543)),NOT(ISNUMBER($N543)),NOT(ISNUMBER($Q543))),"",$O543*($N543/100)*$Q543*10)</f>
        <v/>
      </c>
      <c r="S543" s="11">
        <f>IF(AND($A543="",$B543="",$D543=""),"",IF(AND($A543&lt;&gt;"",COUNTIF('1. Plot &amp; Site Log'!$A$5:$A$64,$A543)=0),"Plot ID not in the Plot &amp; Site Log. ","")&amp;IF(AND(ISNUMBER($D543),ISNUMBER($E543),$E543&lt;=$D543),"Bottom depth is not below top depth. ","")&amp;IF($L543="Not confirmed","Bulk-density basis not confirmed with the lab — the coarse-fragment correction may be wrong or doubled. ","")&amp;IF(AND(ISNUMBER($M543),OR($M543&lt;QC_BD_MIN,$M543&gt;QC_BD_MAX)),"Bulk density outside the plausible range for a mineral grassland soil. ","")&amp;IF(AND(ISNUMBER($N543),$N543&gt;QC_CARBON_PCT_MAX),"Organic carbon above the QC ceiling — check units, and whether this is an organic horizon. ","")&amp;IF(AND(ISNUMBER($J543),$J543&lt;QC_RECOVERY_MIN),"Recovered less than the QC minimum of the depth driven — the increments may not sit where you think. Do NOT stretch them back out. ","")&amp;IF(AND(ISNUMBER($K543),$K543&gt;0,$L543="Fine earth / total volume"),"Coarse fragments recorded and the lab basis already accounts for them — no further correction applied, which is correct. ",""))</f>
        <v/>
      </c>
      <c r="T543" s="6" t="n"/>
      <c r="U543" s="9">
        <f>IF($B543="",0,IF(COUNTIFS($B$5:$B543,$B543)=1,1,0))</f>
        <v/>
      </c>
    </row>
    <row r="544">
      <c r="A544" s="6" t="n"/>
      <c r="B544" s="6" t="n"/>
      <c r="C544" s="6" t="n"/>
      <c r="D544" s="6" t="n"/>
      <c r="E544" s="6" t="n"/>
      <c r="F544" s="9">
        <f>IF(OR($D544="",$E544=""),"",$E544-$D544)</f>
        <v/>
      </c>
      <c r="G544" s="6" t="n"/>
      <c r="H544" s="6" t="n"/>
      <c r="I544" s="6" t="n"/>
      <c r="J544" s="9">
        <f>IF(OR(NOT(ISNUMBER($H544)),NOT(ISNUMBER($I544)),$H544=0),"",$I544/$H544)</f>
        <v/>
      </c>
      <c r="K544" s="6" t="n"/>
      <c r="L544" s="8" t="n"/>
      <c r="M544" s="7" t="n"/>
      <c r="N544" s="7" t="n"/>
      <c r="O544" s="9">
        <f>IF(NOT(ISNUMBER($M544)),"",IF($L544="Fine earth / fine-earth volume",$M544*(1-IF(ISNUMBER($K544),$K544,0)/100),$M544))</f>
        <v/>
      </c>
      <c r="P544" s="9">
        <f>IF(OR(NOT(ISNUMBER($O544)),NOT(ISNUMBER($N544)),NOT(ISNUMBER($F544))),"",$O544*($N544/100)*$F544*10)</f>
        <v/>
      </c>
      <c r="Q544" s="9">
        <f>IF(OR(NOT(ISNUMBER($D544)),NOT(ISNUMBER($E544))),"",MAX(0,MIN($E544,SOIL_REPORTING_DEPTH_CM)-MIN($D544,SOIL_REPORTING_DEPTH_CM)))</f>
        <v/>
      </c>
      <c r="R544" s="9">
        <f>IF(OR(NOT(ISNUMBER($O544)),NOT(ISNUMBER($N544)),NOT(ISNUMBER($Q544))),"",$O544*($N544/100)*$Q544*10)</f>
        <v/>
      </c>
      <c r="S544" s="11">
        <f>IF(AND($A544="",$B544="",$D544=""),"",IF(AND($A544&lt;&gt;"",COUNTIF('1. Plot &amp; Site Log'!$A$5:$A$64,$A544)=0),"Plot ID not in the Plot &amp; Site Log. ","")&amp;IF(AND(ISNUMBER($D544),ISNUMBER($E544),$E544&lt;=$D544),"Bottom depth is not below top depth. ","")&amp;IF($L544="Not confirmed","Bulk-density basis not confirmed with the lab — the coarse-fragment correction may be wrong or doubled. ","")&amp;IF(AND(ISNUMBER($M544),OR($M544&lt;QC_BD_MIN,$M544&gt;QC_BD_MAX)),"Bulk density outside the plausible range for a mineral grassland soil. ","")&amp;IF(AND(ISNUMBER($N544),$N544&gt;QC_CARBON_PCT_MAX),"Organic carbon above the QC ceiling — check units, and whether this is an organic horizon. ","")&amp;IF(AND(ISNUMBER($J544),$J544&lt;QC_RECOVERY_MIN),"Recovered less than the QC minimum of the depth driven — the increments may not sit where you think. Do NOT stretch them back out. ","")&amp;IF(AND(ISNUMBER($K544),$K544&gt;0,$L544="Fine earth / total volume"),"Coarse fragments recorded and the lab basis already accounts for them — no further correction applied, which is correct. ",""))</f>
        <v/>
      </c>
      <c r="T544" s="6" t="n"/>
      <c r="U544" s="9">
        <f>IF($B544="",0,IF(COUNTIFS($B$5:$B544,$B544)=1,1,0))</f>
        <v/>
      </c>
    </row>
    <row r="545">
      <c r="A545" s="6" t="n"/>
      <c r="B545" s="6" t="n"/>
      <c r="C545" s="6" t="n"/>
      <c r="D545" s="6" t="n"/>
      <c r="E545" s="6" t="n"/>
      <c r="F545" s="9">
        <f>IF(OR($D545="",$E545=""),"",$E545-$D545)</f>
        <v/>
      </c>
      <c r="G545" s="6" t="n"/>
      <c r="H545" s="6" t="n"/>
      <c r="I545" s="6" t="n"/>
      <c r="J545" s="9">
        <f>IF(OR(NOT(ISNUMBER($H545)),NOT(ISNUMBER($I545)),$H545=0),"",$I545/$H545)</f>
        <v/>
      </c>
      <c r="K545" s="6" t="n"/>
      <c r="L545" s="8" t="n"/>
      <c r="M545" s="7" t="n"/>
      <c r="N545" s="7" t="n"/>
      <c r="O545" s="9">
        <f>IF(NOT(ISNUMBER($M545)),"",IF($L545="Fine earth / fine-earth volume",$M545*(1-IF(ISNUMBER($K545),$K545,0)/100),$M545))</f>
        <v/>
      </c>
      <c r="P545" s="9">
        <f>IF(OR(NOT(ISNUMBER($O545)),NOT(ISNUMBER($N545)),NOT(ISNUMBER($F545))),"",$O545*($N545/100)*$F545*10)</f>
        <v/>
      </c>
      <c r="Q545" s="9">
        <f>IF(OR(NOT(ISNUMBER($D545)),NOT(ISNUMBER($E545))),"",MAX(0,MIN($E545,SOIL_REPORTING_DEPTH_CM)-MIN($D545,SOIL_REPORTING_DEPTH_CM)))</f>
        <v/>
      </c>
      <c r="R545" s="9">
        <f>IF(OR(NOT(ISNUMBER($O545)),NOT(ISNUMBER($N545)),NOT(ISNUMBER($Q545))),"",$O545*($N545/100)*$Q545*10)</f>
        <v/>
      </c>
      <c r="S545" s="11">
        <f>IF(AND($A545="",$B545="",$D545=""),"",IF(AND($A545&lt;&gt;"",COUNTIF('1. Plot &amp; Site Log'!$A$5:$A$64,$A545)=0),"Plot ID not in the Plot &amp; Site Log. ","")&amp;IF(AND(ISNUMBER($D545),ISNUMBER($E545),$E545&lt;=$D545),"Bottom depth is not below top depth. ","")&amp;IF($L545="Not confirmed","Bulk-density basis not confirmed with the lab — the coarse-fragment correction may be wrong or doubled. ","")&amp;IF(AND(ISNUMBER($M545),OR($M545&lt;QC_BD_MIN,$M545&gt;QC_BD_MAX)),"Bulk density outside the plausible range for a mineral grassland soil. ","")&amp;IF(AND(ISNUMBER($N545),$N545&gt;QC_CARBON_PCT_MAX),"Organic carbon above the QC ceiling — check units, and whether this is an organic horizon. ","")&amp;IF(AND(ISNUMBER($J545),$J545&lt;QC_RECOVERY_MIN),"Recovered less than the QC minimum of the depth driven — the increments may not sit where you think. Do NOT stretch them back out. ","")&amp;IF(AND(ISNUMBER($K545),$K545&gt;0,$L545="Fine earth / total volume"),"Coarse fragments recorded and the lab basis already accounts for them — no further correction applied, which is correct. ",""))</f>
        <v/>
      </c>
      <c r="T545" s="6" t="n"/>
      <c r="U545" s="9">
        <f>IF($B545="",0,IF(COUNTIFS($B$5:$B545,$B545)=1,1,0))</f>
        <v/>
      </c>
    </row>
    <row r="546">
      <c r="A546" s="6" t="n"/>
      <c r="B546" s="6" t="n"/>
      <c r="C546" s="6" t="n"/>
      <c r="D546" s="6" t="n"/>
      <c r="E546" s="6" t="n"/>
      <c r="F546" s="9">
        <f>IF(OR($D546="",$E546=""),"",$E546-$D546)</f>
        <v/>
      </c>
      <c r="G546" s="6" t="n"/>
      <c r="H546" s="6" t="n"/>
      <c r="I546" s="6" t="n"/>
      <c r="J546" s="9">
        <f>IF(OR(NOT(ISNUMBER($H546)),NOT(ISNUMBER($I546)),$H546=0),"",$I546/$H546)</f>
        <v/>
      </c>
      <c r="K546" s="6" t="n"/>
      <c r="L546" s="8" t="n"/>
      <c r="M546" s="7" t="n"/>
      <c r="N546" s="7" t="n"/>
      <c r="O546" s="9">
        <f>IF(NOT(ISNUMBER($M546)),"",IF($L546="Fine earth / fine-earth volume",$M546*(1-IF(ISNUMBER($K546),$K546,0)/100),$M546))</f>
        <v/>
      </c>
      <c r="P546" s="9">
        <f>IF(OR(NOT(ISNUMBER($O546)),NOT(ISNUMBER($N546)),NOT(ISNUMBER($F546))),"",$O546*($N546/100)*$F546*10)</f>
        <v/>
      </c>
      <c r="Q546" s="9">
        <f>IF(OR(NOT(ISNUMBER($D546)),NOT(ISNUMBER($E546))),"",MAX(0,MIN($E546,SOIL_REPORTING_DEPTH_CM)-MIN($D546,SOIL_REPORTING_DEPTH_CM)))</f>
        <v/>
      </c>
      <c r="R546" s="9">
        <f>IF(OR(NOT(ISNUMBER($O546)),NOT(ISNUMBER($N546)),NOT(ISNUMBER($Q546))),"",$O546*($N546/100)*$Q546*10)</f>
        <v/>
      </c>
      <c r="S546" s="11">
        <f>IF(AND($A546="",$B546="",$D546=""),"",IF(AND($A546&lt;&gt;"",COUNTIF('1. Plot &amp; Site Log'!$A$5:$A$64,$A546)=0),"Plot ID not in the Plot &amp; Site Log. ","")&amp;IF(AND(ISNUMBER($D546),ISNUMBER($E546),$E546&lt;=$D546),"Bottom depth is not below top depth. ","")&amp;IF($L546="Not confirmed","Bulk-density basis not confirmed with the lab — the coarse-fragment correction may be wrong or doubled. ","")&amp;IF(AND(ISNUMBER($M546),OR($M546&lt;QC_BD_MIN,$M546&gt;QC_BD_MAX)),"Bulk density outside the plausible range for a mineral grassland soil. ","")&amp;IF(AND(ISNUMBER($N546),$N546&gt;QC_CARBON_PCT_MAX),"Organic carbon above the QC ceiling — check units, and whether this is an organic horizon. ","")&amp;IF(AND(ISNUMBER($J546),$J546&lt;QC_RECOVERY_MIN),"Recovered less than the QC minimum of the depth driven — the increments may not sit where you think. Do NOT stretch them back out. ","")&amp;IF(AND(ISNUMBER($K546),$K546&gt;0,$L546="Fine earth / total volume"),"Coarse fragments recorded and the lab basis already accounts for them — no further correction applied, which is correct. ",""))</f>
        <v/>
      </c>
      <c r="T546" s="6" t="n"/>
      <c r="U546" s="9">
        <f>IF($B546="",0,IF(COUNTIFS($B$5:$B546,$B546)=1,1,0))</f>
        <v/>
      </c>
    </row>
    <row r="547">
      <c r="A547" s="6" t="n"/>
      <c r="B547" s="6" t="n"/>
      <c r="C547" s="6" t="n"/>
      <c r="D547" s="6" t="n"/>
      <c r="E547" s="6" t="n"/>
      <c r="F547" s="9">
        <f>IF(OR($D547="",$E547=""),"",$E547-$D547)</f>
        <v/>
      </c>
      <c r="G547" s="6" t="n"/>
      <c r="H547" s="6" t="n"/>
      <c r="I547" s="6" t="n"/>
      <c r="J547" s="9">
        <f>IF(OR(NOT(ISNUMBER($H547)),NOT(ISNUMBER($I547)),$H547=0),"",$I547/$H547)</f>
        <v/>
      </c>
      <c r="K547" s="6" t="n"/>
      <c r="L547" s="8" t="n"/>
      <c r="M547" s="7" t="n"/>
      <c r="N547" s="7" t="n"/>
      <c r="O547" s="9">
        <f>IF(NOT(ISNUMBER($M547)),"",IF($L547="Fine earth / fine-earth volume",$M547*(1-IF(ISNUMBER($K547),$K547,0)/100),$M547))</f>
        <v/>
      </c>
      <c r="P547" s="9">
        <f>IF(OR(NOT(ISNUMBER($O547)),NOT(ISNUMBER($N547)),NOT(ISNUMBER($F547))),"",$O547*($N547/100)*$F547*10)</f>
        <v/>
      </c>
      <c r="Q547" s="9">
        <f>IF(OR(NOT(ISNUMBER($D547)),NOT(ISNUMBER($E547))),"",MAX(0,MIN($E547,SOIL_REPORTING_DEPTH_CM)-MIN($D547,SOIL_REPORTING_DEPTH_CM)))</f>
        <v/>
      </c>
      <c r="R547" s="9">
        <f>IF(OR(NOT(ISNUMBER($O547)),NOT(ISNUMBER($N547)),NOT(ISNUMBER($Q547))),"",$O547*($N547/100)*$Q547*10)</f>
        <v/>
      </c>
      <c r="S547" s="11">
        <f>IF(AND($A547="",$B547="",$D547=""),"",IF(AND($A547&lt;&gt;"",COUNTIF('1. Plot &amp; Site Log'!$A$5:$A$64,$A547)=0),"Plot ID not in the Plot &amp; Site Log. ","")&amp;IF(AND(ISNUMBER($D547),ISNUMBER($E547),$E547&lt;=$D547),"Bottom depth is not below top depth. ","")&amp;IF($L547="Not confirmed","Bulk-density basis not confirmed with the lab — the coarse-fragment correction may be wrong or doubled. ","")&amp;IF(AND(ISNUMBER($M547),OR($M547&lt;QC_BD_MIN,$M547&gt;QC_BD_MAX)),"Bulk density outside the plausible range for a mineral grassland soil. ","")&amp;IF(AND(ISNUMBER($N547),$N547&gt;QC_CARBON_PCT_MAX),"Organic carbon above the QC ceiling — check units, and whether this is an organic horizon. ","")&amp;IF(AND(ISNUMBER($J547),$J547&lt;QC_RECOVERY_MIN),"Recovered less than the QC minimum of the depth driven — the increments may not sit where you think. Do NOT stretch them back out. ","")&amp;IF(AND(ISNUMBER($K547),$K547&gt;0,$L547="Fine earth / total volume"),"Coarse fragments recorded and the lab basis already accounts for them — no further correction applied, which is correct. ",""))</f>
        <v/>
      </c>
      <c r="T547" s="6" t="n"/>
      <c r="U547" s="9">
        <f>IF($B547="",0,IF(COUNTIFS($B$5:$B547,$B547)=1,1,0))</f>
        <v/>
      </c>
    </row>
    <row r="548">
      <c r="A548" s="6" t="n"/>
      <c r="B548" s="6" t="n"/>
      <c r="C548" s="6" t="n"/>
      <c r="D548" s="6" t="n"/>
      <c r="E548" s="6" t="n"/>
      <c r="F548" s="9">
        <f>IF(OR($D548="",$E548=""),"",$E548-$D548)</f>
        <v/>
      </c>
      <c r="G548" s="6" t="n"/>
      <c r="H548" s="6" t="n"/>
      <c r="I548" s="6" t="n"/>
      <c r="J548" s="9">
        <f>IF(OR(NOT(ISNUMBER($H548)),NOT(ISNUMBER($I548)),$H548=0),"",$I548/$H548)</f>
        <v/>
      </c>
      <c r="K548" s="6" t="n"/>
      <c r="L548" s="8" t="n"/>
      <c r="M548" s="7" t="n"/>
      <c r="N548" s="7" t="n"/>
      <c r="O548" s="9">
        <f>IF(NOT(ISNUMBER($M548)),"",IF($L548="Fine earth / fine-earth volume",$M548*(1-IF(ISNUMBER($K548),$K548,0)/100),$M548))</f>
        <v/>
      </c>
      <c r="P548" s="9">
        <f>IF(OR(NOT(ISNUMBER($O548)),NOT(ISNUMBER($N548)),NOT(ISNUMBER($F548))),"",$O548*($N548/100)*$F548*10)</f>
        <v/>
      </c>
      <c r="Q548" s="9">
        <f>IF(OR(NOT(ISNUMBER($D548)),NOT(ISNUMBER($E548))),"",MAX(0,MIN($E548,SOIL_REPORTING_DEPTH_CM)-MIN($D548,SOIL_REPORTING_DEPTH_CM)))</f>
        <v/>
      </c>
      <c r="R548" s="9">
        <f>IF(OR(NOT(ISNUMBER($O548)),NOT(ISNUMBER($N548)),NOT(ISNUMBER($Q548))),"",$O548*($N548/100)*$Q548*10)</f>
        <v/>
      </c>
      <c r="S548" s="11">
        <f>IF(AND($A548="",$B548="",$D548=""),"",IF(AND($A548&lt;&gt;"",COUNTIF('1. Plot &amp; Site Log'!$A$5:$A$64,$A548)=0),"Plot ID not in the Plot &amp; Site Log. ","")&amp;IF(AND(ISNUMBER($D548),ISNUMBER($E548),$E548&lt;=$D548),"Bottom depth is not below top depth. ","")&amp;IF($L548="Not confirmed","Bulk-density basis not confirmed with the lab — the coarse-fragment correction may be wrong or doubled. ","")&amp;IF(AND(ISNUMBER($M548),OR($M548&lt;QC_BD_MIN,$M548&gt;QC_BD_MAX)),"Bulk density outside the plausible range for a mineral grassland soil. ","")&amp;IF(AND(ISNUMBER($N548),$N548&gt;QC_CARBON_PCT_MAX),"Organic carbon above the QC ceiling — check units, and whether this is an organic horizon. ","")&amp;IF(AND(ISNUMBER($J548),$J548&lt;QC_RECOVERY_MIN),"Recovered less than the QC minimum of the depth driven — the increments may not sit where you think. Do NOT stretch them back out. ","")&amp;IF(AND(ISNUMBER($K548),$K548&gt;0,$L548="Fine earth / total volume"),"Coarse fragments recorded and the lab basis already accounts for them — no further correction applied, which is correct. ",""))</f>
        <v/>
      </c>
      <c r="T548" s="6" t="n"/>
      <c r="U548" s="9">
        <f>IF($B548="",0,IF(COUNTIFS($B$5:$B548,$B548)=1,1,0))</f>
        <v/>
      </c>
    </row>
    <row r="549">
      <c r="A549" s="6" t="n"/>
      <c r="B549" s="6" t="n"/>
      <c r="C549" s="6" t="n"/>
      <c r="D549" s="6" t="n"/>
      <c r="E549" s="6" t="n"/>
      <c r="F549" s="9">
        <f>IF(OR($D549="",$E549=""),"",$E549-$D549)</f>
        <v/>
      </c>
      <c r="G549" s="6" t="n"/>
      <c r="H549" s="6" t="n"/>
      <c r="I549" s="6" t="n"/>
      <c r="J549" s="9">
        <f>IF(OR(NOT(ISNUMBER($H549)),NOT(ISNUMBER($I549)),$H549=0),"",$I549/$H549)</f>
        <v/>
      </c>
      <c r="K549" s="6" t="n"/>
      <c r="L549" s="8" t="n"/>
      <c r="M549" s="7" t="n"/>
      <c r="N549" s="7" t="n"/>
      <c r="O549" s="9">
        <f>IF(NOT(ISNUMBER($M549)),"",IF($L549="Fine earth / fine-earth volume",$M549*(1-IF(ISNUMBER($K549),$K549,0)/100),$M549))</f>
        <v/>
      </c>
      <c r="P549" s="9">
        <f>IF(OR(NOT(ISNUMBER($O549)),NOT(ISNUMBER($N549)),NOT(ISNUMBER($F549))),"",$O549*($N549/100)*$F549*10)</f>
        <v/>
      </c>
      <c r="Q549" s="9">
        <f>IF(OR(NOT(ISNUMBER($D549)),NOT(ISNUMBER($E549))),"",MAX(0,MIN($E549,SOIL_REPORTING_DEPTH_CM)-MIN($D549,SOIL_REPORTING_DEPTH_CM)))</f>
        <v/>
      </c>
      <c r="R549" s="9">
        <f>IF(OR(NOT(ISNUMBER($O549)),NOT(ISNUMBER($N549)),NOT(ISNUMBER($Q549))),"",$O549*($N549/100)*$Q549*10)</f>
        <v/>
      </c>
      <c r="S549" s="11">
        <f>IF(AND($A549="",$B549="",$D549=""),"",IF(AND($A549&lt;&gt;"",COUNTIF('1. Plot &amp; Site Log'!$A$5:$A$64,$A549)=0),"Plot ID not in the Plot &amp; Site Log. ","")&amp;IF(AND(ISNUMBER($D549),ISNUMBER($E549),$E549&lt;=$D549),"Bottom depth is not below top depth. ","")&amp;IF($L549="Not confirmed","Bulk-density basis not confirmed with the lab — the coarse-fragment correction may be wrong or doubled. ","")&amp;IF(AND(ISNUMBER($M549),OR($M549&lt;QC_BD_MIN,$M549&gt;QC_BD_MAX)),"Bulk density outside the plausible range for a mineral grassland soil. ","")&amp;IF(AND(ISNUMBER($N549),$N549&gt;QC_CARBON_PCT_MAX),"Organic carbon above the QC ceiling — check units, and whether this is an organic horizon. ","")&amp;IF(AND(ISNUMBER($J549),$J549&lt;QC_RECOVERY_MIN),"Recovered less than the QC minimum of the depth driven — the increments may not sit where you think. Do NOT stretch them back out. ","")&amp;IF(AND(ISNUMBER($K549),$K549&gt;0,$L549="Fine earth / total volume"),"Coarse fragments recorded and the lab basis already accounts for them — no further correction applied, which is correct. ",""))</f>
        <v/>
      </c>
      <c r="T549" s="6" t="n"/>
      <c r="U549" s="9">
        <f>IF($B549="",0,IF(COUNTIFS($B$5:$B549,$B549)=1,1,0))</f>
        <v/>
      </c>
    </row>
    <row r="550">
      <c r="A550" s="6" t="n"/>
      <c r="B550" s="6" t="n"/>
      <c r="C550" s="6" t="n"/>
      <c r="D550" s="6" t="n"/>
      <c r="E550" s="6" t="n"/>
      <c r="F550" s="9">
        <f>IF(OR($D550="",$E550=""),"",$E550-$D550)</f>
        <v/>
      </c>
      <c r="G550" s="6" t="n"/>
      <c r="H550" s="6" t="n"/>
      <c r="I550" s="6" t="n"/>
      <c r="J550" s="9">
        <f>IF(OR(NOT(ISNUMBER($H550)),NOT(ISNUMBER($I550)),$H550=0),"",$I550/$H550)</f>
        <v/>
      </c>
      <c r="K550" s="6" t="n"/>
      <c r="L550" s="8" t="n"/>
      <c r="M550" s="7" t="n"/>
      <c r="N550" s="7" t="n"/>
      <c r="O550" s="9">
        <f>IF(NOT(ISNUMBER($M550)),"",IF($L550="Fine earth / fine-earth volume",$M550*(1-IF(ISNUMBER($K550),$K550,0)/100),$M550))</f>
        <v/>
      </c>
      <c r="P550" s="9">
        <f>IF(OR(NOT(ISNUMBER($O550)),NOT(ISNUMBER($N550)),NOT(ISNUMBER($F550))),"",$O550*($N550/100)*$F550*10)</f>
        <v/>
      </c>
      <c r="Q550" s="9">
        <f>IF(OR(NOT(ISNUMBER($D550)),NOT(ISNUMBER($E550))),"",MAX(0,MIN($E550,SOIL_REPORTING_DEPTH_CM)-MIN($D550,SOIL_REPORTING_DEPTH_CM)))</f>
        <v/>
      </c>
      <c r="R550" s="9">
        <f>IF(OR(NOT(ISNUMBER($O550)),NOT(ISNUMBER($N550)),NOT(ISNUMBER($Q550))),"",$O550*($N550/100)*$Q550*10)</f>
        <v/>
      </c>
      <c r="S550" s="11">
        <f>IF(AND($A550="",$B550="",$D550=""),"",IF(AND($A550&lt;&gt;"",COUNTIF('1. Plot &amp; Site Log'!$A$5:$A$64,$A550)=0),"Plot ID not in the Plot &amp; Site Log. ","")&amp;IF(AND(ISNUMBER($D550),ISNUMBER($E550),$E550&lt;=$D550),"Bottom depth is not below top depth. ","")&amp;IF($L550="Not confirmed","Bulk-density basis not confirmed with the lab — the coarse-fragment correction may be wrong or doubled. ","")&amp;IF(AND(ISNUMBER($M550),OR($M550&lt;QC_BD_MIN,$M550&gt;QC_BD_MAX)),"Bulk density outside the plausible range for a mineral grassland soil. ","")&amp;IF(AND(ISNUMBER($N550),$N550&gt;QC_CARBON_PCT_MAX),"Organic carbon above the QC ceiling — check units, and whether this is an organic horizon. ","")&amp;IF(AND(ISNUMBER($J550),$J550&lt;QC_RECOVERY_MIN),"Recovered less than the QC minimum of the depth driven — the increments may not sit where you think. Do NOT stretch them back out. ","")&amp;IF(AND(ISNUMBER($K550),$K550&gt;0,$L550="Fine earth / total volume"),"Coarse fragments recorded and the lab basis already accounts for them — no further correction applied, which is correct. ",""))</f>
        <v/>
      </c>
      <c r="T550" s="6" t="n"/>
      <c r="U550" s="9">
        <f>IF($B550="",0,IF(COUNTIFS($B$5:$B550,$B550)=1,1,0))</f>
        <v/>
      </c>
    </row>
    <row r="551">
      <c r="A551" s="6" t="n"/>
      <c r="B551" s="6" t="n"/>
      <c r="C551" s="6" t="n"/>
      <c r="D551" s="6" t="n"/>
      <c r="E551" s="6" t="n"/>
      <c r="F551" s="9">
        <f>IF(OR($D551="",$E551=""),"",$E551-$D551)</f>
        <v/>
      </c>
      <c r="G551" s="6" t="n"/>
      <c r="H551" s="6" t="n"/>
      <c r="I551" s="6" t="n"/>
      <c r="J551" s="9">
        <f>IF(OR(NOT(ISNUMBER($H551)),NOT(ISNUMBER($I551)),$H551=0),"",$I551/$H551)</f>
        <v/>
      </c>
      <c r="K551" s="6" t="n"/>
      <c r="L551" s="8" t="n"/>
      <c r="M551" s="7" t="n"/>
      <c r="N551" s="7" t="n"/>
      <c r="O551" s="9">
        <f>IF(NOT(ISNUMBER($M551)),"",IF($L551="Fine earth / fine-earth volume",$M551*(1-IF(ISNUMBER($K551),$K551,0)/100),$M551))</f>
        <v/>
      </c>
      <c r="P551" s="9">
        <f>IF(OR(NOT(ISNUMBER($O551)),NOT(ISNUMBER($N551)),NOT(ISNUMBER($F551))),"",$O551*($N551/100)*$F551*10)</f>
        <v/>
      </c>
      <c r="Q551" s="9">
        <f>IF(OR(NOT(ISNUMBER($D551)),NOT(ISNUMBER($E551))),"",MAX(0,MIN($E551,SOIL_REPORTING_DEPTH_CM)-MIN($D551,SOIL_REPORTING_DEPTH_CM)))</f>
        <v/>
      </c>
      <c r="R551" s="9">
        <f>IF(OR(NOT(ISNUMBER($O551)),NOT(ISNUMBER($N551)),NOT(ISNUMBER($Q551))),"",$O551*($N551/100)*$Q551*10)</f>
        <v/>
      </c>
      <c r="S551" s="11">
        <f>IF(AND($A551="",$B551="",$D551=""),"",IF(AND($A551&lt;&gt;"",COUNTIF('1. Plot &amp; Site Log'!$A$5:$A$64,$A551)=0),"Plot ID not in the Plot &amp; Site Log. ","")&amp;IF(AND(ISNUMBER($D551),ISNUMBER($E551),$E551&lt;=$D551),"Bottom depth is not below top depth. ","")&amp;IF($L551="Not confirmed","Bulk-density basis not confirmed with the lab — the coarse-fragment correction may be wrong or doubled. ","")&amp;IF(AND(ISNUMBER($M551),OR($M551&lt;QC_BD_MIN,$M551&gt;QC_BD_MAX)),"Bulk density outside the plausible range for a mineral grassland soil. ","")&amp;IF(AND(ISNUMBER($N551),$N551&gt;QC_CARBON_PCT_MAX),"Organic carbon above the QC ceiling — check units, and whether this is an organic horizon. ","")&amp;IF(AND(ISNUMBER($J551),$J551&lt;QC_RECOVERY_MIN),"Recovered less than the QC minimum of the depth driven — the increments may not sit where you think. Do NOT stretch them back out. ","")&amp;IF(AND(ISNUMBER($K551),$K551&gt;0,$L551="Fine earth / total volume"),"Coarse fragments recorded and the lab basis already accounts for them — no further correction applied, which is correct. ",""))</f>
        <v/>
      </c>
      <c r="T551" s="6" t="n"/>
      <c r="U551" s="9">
        <f>IF($B551="",0,IF(COUNTIFS($B$5:$B551,$B551)=1,1,0))</f>
        <v/>
      </c>
    </row>
    <row r="552">
      <c r="A552" s="6" t="n"/>
      <c r="B552" s="6" t="n"/>
      <c r="C552" s="6" t="n"/>
      <c r="D552" s="6" t="n"/>
      <c r="E552" s="6" t="n"/>
      <c r="F552" s="9">
        <f>IF(OR($D552="",$E552=""),"",$E552-$D552)</f>
        <v/>
      </c>
      <c r="G552" s="6" t="n"/>
      <c r="H552" s="6" t="n"/>
      <c r="I552" s="6" t="n"/>
      <c r="J552" s="9">
        <f>IF(OR(NOT(ISNUMBER($H552)),NOT(ISNUMBER($I552)),$H552=0),"",$I552/$H552)</f>
        <v/>
      </c>
      <c r="K552" s="6" t="n"/>
      <c r="L552" s="8" t="n"/>
      <c r="M552" s="7" t="n"/>
      <c r="N552" s="7" t="n"/>
      <c r="O552" s="9">
        <f>IF(NOT(ISNUMBER($M552)),"",IF($L552="Fine earth / fine-earth volume",$M552*(1-IF(ISNUMBER($K552),$K552,0)/100),$M552))</f>
        <v/>
      </c>
      <c r="P552" s="9">
        <f>IF(OR(NOT(ISNUMBER($O552)),NOT(ISNUMBER($N552)),NOT(ISNUMBER($F552))),"",$O552*($N552/100)*$F552*10)</f>
        <v/>
      </c>
      <c r="Q552" s="9">
        <f>IF(OR(NOT(ISNUMBER($D552)),NOT(ISNUMBER($E552))),"",MAX(0,MIN($E552,SOIL_REPORTING_DEPTH_CM)-MIN($D552,SOIL_REPORTING_DEPTH_CM)))</f>
        <v/>
      </c>
      <c r="R552" s="9">
        <f>IF(OR(NOT(ISNUMBER($O552)),NOT(ISNUMBER($N552)),NOT(ISNUMBER($Q552))),"",$O552*($N552/100)*$Q552*10)</f>
        <v/>
      </c>
      <c r="S552" s="11">
        <f>IF(AND($A552="",$B552="",$D552=""),"",IF(AND($A552&lt;&gt;"",COUNTIF('1. Plot &amp; Site Log'!$A$5:$A$64,$A552)=0),"Plot ID not in the Plot &amp; Site Log. ","")&amp;IF(AND(ISNUMBER($D552),ISNUMBER($E552),$E552&lt;=$D552),"Bottom depth is not below top depth. ","")&amp;IF($L552="Not confirmed","Bulk-density basis not confirmed with the lab — the coarse-fragment correction may be wrong or doubled. ","")&amp;IF(AND(ISNUMBER($M552),OR($M552&lt;QC_BD_MIN,$M552&gt;QC_BD_MAX)),"Bulk density outside the plausible range for a mineral grassland soil. ","")&amp;IF(AND(ISNUMBER($N552),$N552&gt;QC_CARBON_PCT_MAX),"Organic carbon above the QC ceiling — check units, and whether this is an organic horizon. ","")&amp;IF(AND(ISNUMBER($J552),$J552&lt;QC_RECOVERY_MIN),"Recovered less than the QC minimum of the depth driven — the increments may not sit where you think. Do NOT stretch them back out. ","")&amp;IF(AND(ISNUMBER($K552),$K552&gt;0,$L552="Fine earth / total volume"),"Coarse fragments recorded and the lab basis already accounts for them — no further correction applied, which is correct. ",""))</f>
        <v/>
      </c>
      <c r="T552" s="6" t="n"/>
      <c r="U552" s="9">
        <f>IF($B552="",0,IF(COUNTIFS($B$5:$B552,$B552)=1,1,0))</f>
        <v/>
      </c>
    </row>
    <row r="553">
      <c r="A553" s="6" t="n"/>
      <c r="B553" s="6" t="n"/>
      <c r="C553" s="6" t="n"/>
      <c r="D553" s="6" t="n"/>
      <c r="E553" s="6" t="n"/>
      <c r="F553" s="9">
        <f>IF(OR($D553="",$E553=""),"",$E553-$D553)</f>
        <v/>
      </c>
      <c r="G553" s="6" t="n"/>
      <c r="H553" s="6" t="n"/>
      <c r="I553" s="6" t="n"/>
      <c r="J553" s="9">
        <f>IF(OR(NOT(ISNUMBER($H553)),NOT(ISNUMBER($I553)),$H553=0),"",$I553/$H553)</f>
        <v/>
      </c>
      <c r="K553" s="6" t="n"/>
      <c r="L553" s="8" t="n"/>
      <c r="M553" s="7" t="n"/>
      <c r="N553" s="7" t="n"/>
      <c r="O553" s="9">
        <f>IF(NOT(ISNUMBER($M553)),"",IF($L553="Fine earth / fine-earth volume",$M553*(1-IF(ISNUMBER($K553),$K553,0)/100),$M553))</f>
        <v/>
      </c>
      <c r="P553" s="9">
        <f>IF(OR(NOT(ISNUMBER($O553)),NOT(ISNUMBER($N553)),NOT(ISNUMBER($F553))),"",$O553*($N553/100)*$F553*10)</f>
        <v/>
      </c>
      <c r="Q553" s="9">
        <f>IF(OR(NOT(ISNUMBER($D553)),NOT(ISNUMBER($E553))),"",MAX(0,MIN($E553,SOIL_REPORTING_DEPTH_CM)-MIN($D553,SOIL_REPORTING_DEPTH_CM)))</f>
        <v/>
      </c>
      <c r="R553" s="9">
        <f>IF(OR(NOT(ISNUMBER($O553)),NOT(ISNUMBER($N553)),NOT(ISNUMBER($Q553))),"",$O553*($N553/100)*$Q553*10)</f>
        <v/>
      </c>
      <c r="S553" s="11">
        <f>IF(AND($A553="",$B553="",$D553=""),"",IF(AND($A553&lt;&gt;"",COUNTIF('1. Plot &amp; Site Log'!$A$5:$A$64,$A553)=0),"Plot ID not in the Plot &amp; Site Log. ","")&amp;IF(AND(ISNUMBER($D553),ISNUMBER($E553),$E553&lt;=$D553),"Bottom depth is not below top depth. ","")&amp;IF($L553="Not confirmed","Bulk-density basis not confirmed with the lab — the coarse-fragment correction may be wrong or doubled. ","")&amp;IF(AND(ISNUMBER($M553),OR($M553&lt;QC_BD_MIN,$M553&gt;QC_BD_MAX)),"Bulk density outside the plausible range for a mineral grassland soil. ","")&amp;IF(AND(ISNUMBER($N553),$N553&gt;QC_CARBON_PCT_MAX),"Organic carbon above the QC ceiling — check units, and whether this is an organic horizon. ","")&amp;IF(AND(ISNUMBER($J553),$J553&lt;QC_RECOVERY_MIN),"Recovered less than the QC minimum of the depth driven — the increments may not sit where you think. Do NOT stretch them back out. ","")&amp;IF(AND(ISNUMBER($K553),$K553&gt;0,$L553="Fine earth / total volume"),"Coarse fragments recorded and the lab basis already accounts for them — no further correction applied, which is correct. ",""))</f>
        <v/>
      </c>
      <c r="T553" s="6" t="n"/>
      <c r="U553" s="9">
        <f>IF($B553="",0,IF(COUNTIFS($B$5:$B553,$B553)=1,1,0))</f>
        <v/>
      </c>
    </row>
    <row r="554">
      <c r="A554" s="6" t="n"/>
      <c r="B554" s="6" t="n"/>
      <c r="C554" s="6" t="n"/>
      <c r="D554" s="6" t="n"/>
      <c r="E554" s="6" t="n"/>
      <c r="F554" s="9">
        <f>IF(OR($D554="",$E554=""),"",$E554-$D554)</f>
        <v/>
      </c>
      <c r="G554" s="6" t="n"/>
      <c r="H554" s="6" t="n"/>
      <c r="I554" s="6" t="n"/>
      <c r="J554" s="9">
        <f>IF(OR(NOT(ISNUMBER($H554)),NOT(ISNUMBER($I554)),$H554=0),"",$I554/$H554)</f>
        <v/>
      </c>
      <c r="K554" s="6" t="n"/>
      <c r="L554" s="8" t="n"/>
      <c r="M554" s="7" t="n"/>
      <c r="N554" s="7" t="n"/>
      <c r="O554" s="9">
        <f>IF(NOT(ISNUMBER($M554)),"",IF($L554="Fine earth / fine-earth volume",$M554*(1-IF(ISNUMBER($K554),$K554,0)/100),$M554))</f>
        <v/>
      </c>
      <c r="P554" s="9">
        <f>IF(OR(NOT(ISNUMBER($O554)),NOT(ISNUMBER($N554)),NOT(ISNUMBER($F554))),"",$O554*($N554/100)*$F554*10)</f>
        <v/>
      </c>
      <c r="Q554" s="9">
        <f>IF(OR(NOT(ISNUMBER($D554)),NOT(ISNUMBER($E554))),"",MAX(0,MIN($E554,SOIL_REPORTING_DEPTH_CM)-MIN($D554,SOIL_REPORTING_DEPTH_CM)))</f>
        <v/>
      </c>
      <c r="R554" s="9">
        <f>IF(OR(NOT(ISNUMBER($O554)),NOT(ISNUMBER($N554)),NOT(ISNUMBER($Q554))),"",$O554*($N554/100)*$Q554*10)</f>
        <v/>
      </c>
      <c r="S554" s="11">
        <f>IF(AND($A554="",$B554="",$D554=""),"",IF(AND($A554&lt;&gt;"",COUNTIF('1. Plot &amp; Site Log'!$A$5:$A$64,$A554)=0),"Plot ID not in the Plot &amp; Site Log. ","")&amp;IF(AND(ISNUMBER($D554),ISNUMBER($E554),$E554&lt;=$D554),"Bottom depth is not below top depth. ","")&amp;IF($L554="Not confirmed","Bulk-density basis not confirmed with the lab — the coarse-fragment correction may be wrong or doubled. ","")&amp;IF(AND(ISNUMBER($M554),OR($M554&lt;QC_BD_MIN,$M554&gt;QC_BD_MAX)),"Bulk density outside the plausible range for a mineral grassland soil. ","")&amp;IF(AND(ISNUMBER($N554),$N554&gt;QC_CARBON_PCT_MAX),"Organic carbon above the QC ceiling — check units, and whether this is an organic horizon. ","")&amp;IF(AND(ISNUMBER($J554),$J554&lt;QC_RECOVERY_MIN),"Recovered less than the QC minimum of the depth driven — the increments may not sit where you think. Do NOT stretch them back out. ","")&amp;IF(AND(ISNUMBER($K554),$K554&gt;0,$L554="Fine earth / total volume"),"Coarse fragments recorded and the lab basis already accounts for them — no further correction applied, which is correct. ",""))</f>
        <v/>
      </c>
      <c r="T554" s="6" t="n"/>
      <c r="U554" s="9">
        <f>IF($B554="",0,IF(COUNTIFS($B$5:$B554,$B554)=1,1,0))</f>
        <v/>
      </c>
    </row>
    <row r="555">
      <c r="A555" s="6" t="n"/>
      <c r="B555" s="6" t="n"/>
      <c r="C555" s="6" t="n"/>
      <c r="D555" s="6" t="n"/>
      <c r="E555" s="6" t="n"/>
      <c r="F555" s="9">
        <f>IF(OR($D555="",$E555=""),"",$E555-$D555)</f>
        <v/>
      </c>
      <c r="G555" s="6" t="n"/>
      <c r="H555" s="6" t="n"/>
      <c r="I555" s="6" t="n"/>
      <c r="J555" s="9">
        <f>IF(OR(NOT(ISNUMBER($H555)),NOT(ISNUMBER($I555)),$H555=0),"",$I555/$H555)</f>
        <v/>
      </c>
      <c r="K555" s="6" t="n"/>
      <c r="L555" s="8" t="n"/>
      <c r="M555" s="7" t="n"/>
      <c r="N555" s="7" t="n"/>
      <c r="O555" s="9">
        <f>IF(NOT(ISNUMBER($M555)),"",IF($L555="Fine earth / fine-earth volume",$M555*(1-IF(ISNUMBER($K555),$K555,0)/100),$M555))</f>
        <v/>
      </c>
      <c r="P555" s="9">
        <f>IF(OR(NOT(ISNUMBER($O555)),NOT(ISNUMBER($N555)),NOT(ISNUMBER($F555))),"",$O555*($N555/100)*$F555*10)</f>
        <v/>
      </c>
      <c r="Q555" s="9">
        <f>IF(OR(NOT(ISNUMBER($D555)),NOT(ISNUMBER($E555))),"",MAX(0,MIN($E555,SOIL_REPORTING_DEPTH_CM)-MIN($D555,SOIL_REPORTING_DEPTH_CM)))</f>
        <v/>
      </c>
      <c r="R555" s="9">
        <f>IF(OR(NOT(ISNUMBER($O555)),NOT(ISNUMBER($N555)),NOT(ISNUMBER($Q555))),"",$O555*($N555/100)*$Q555*10)</f>
        <v/>
      </c>
      <c r="S555" s="11">
        <f>IF(AND($A555="",$B555="",$D555=""),"",IF(AND($A555&lt;&gt;"",COUNTIF('1. Plot &amp; Site Log'!$A$5:$A$64,$A555)=0),"Plot ID not in the Plot &amp; Site Log. ","")&amp;IF(AND(ISNUMBER($D555),ISNUMBER($E555),$E555&lt;=$D555),"Bottom depth is not below top depth. ","")&amp;IF($L555="Not confirmed","Bulk-density basis not confirmed with the lab — the coarse-fragment correction may be wrong or doubled. ","")&amp;IF(AND(ISNUMBER($M555),OR($M555&lt;QC_BD_MIN,$M555&gt;QC_BD_MAX)),"Bulk density outside the plausible range for a mineral grassland soil. ","")&amp;IF(AND(ISNUMBER($N555),$N555&gt;QC_CARBON_PCT_MAX),"Organic carbon above the QC ceiling — check units, and whether this is an organic horizon. ","")&amp;IF(AND(ISNUMBER($J555),$J555&lt;QC_RECOVERY_MIN),"Recovered less than the QC minimum of the depth driven — the increments may not sit where you think. Do NOT stretch them back out. ","")&amp;IF(AND(ISNUMBER($K555),$K555&gt;0,$L555="Fine earth / total volume"),"Coarse fragments recorded and the lab basis already accounts for them — no further correction applied, which is correct. ",""))</f>
        <v/>
      </c>
      <c r="T555" s="6" t="n"/>
      <c r="U555" s="9">
        <f>IF($B555="",0,IF(COUNTIFS($B$5:$B555,$B555)=1,1,0))</f>
        <v/>
      </c>
    </row>
    <row r="556">
      <c r="A556" s="6" t="n"/>
      <c r="B556" s="6" t="n"/>
      <c r="C556" s="6" t="n"/>
      <c r="D556" s="6" t="n"/>
      <c r="E556" s="6" t="n"/>
      <c r="F556" s="9">
        <f>IF(OR($D556="",$E556=""),"",$E556-$D556)</f>
        <v/>
      </c>
      <c r="G556" s="6" t="n"/>
      <c r="H556" s="6" t="n"/>
      <c r="I556" s="6" t="n"/>
      <c r="J556" s="9">
        <f>IF(OR(NOT(ISNUMBER($H556)),NOT(ISNUMBER($I556)),$H556=0),"",$I556/$H556)</f>
        <v/>
      </c>
      <c r="K556" s="6" t="n"/>
      <c r="L556" s="8" t="n"/>
      <c r="M556" s="7" t="n"/>
      <c r="N556" s="7" t="n"/>
      <c r="O556" s="9">
        <f>IF(NOT(ISNUMBER($M556)),"",IF($L556="Fine earth / fine-earth volume",$M556*(1-IF(ISNUMBER($K556),$K556,0)/100),$M556))</f>
        <v/>
      </c>
      <c r="P556" s="9">
        <f>IF(OR(NOT(ISNUMBER($O556)),NOT(ISNUMBER($N556)),NOT(ISNUMBER($F556))),"",$O556*($N556/100)*$F556*10)</f>
        <v/>
      </c>
      <c r="Q556" s="9">
        <f>IF(OR(NOT(ISNUMBER($D556)),NOT(ISNUMBER($E556))),"",MAX(0,MIN($E556,SOIL_REPORTING_DEPTH_CM)-MIN($D556,SOIL_REPORTING_DEPTH_CM)))</f>
        <v/>
      </c>
      <c r="R556" s="9">
        <f>IF(OR(NOT(ISNUMBER($O556)),NOT(ISNUMBER($N556)),NOT(ISNUMBER($Q556))),"",$O556*($N556/100)*$Q556*10)</f>
        <v/>
      </c>
      <c r="S556" s="11">
        <f>IF(AND($A556="",$B556="",$D556=""),"",IF(AND($A556&lt;&gt;"",COUNTIF('1. Plot &amp; Site Log'!$A$5:$A$64,$A556)=0),"Plot ID not in the Plot &amp; Site Log. ","")&amp;IF(AND(ISNUMBER($D556),ISNUMBER($E556),$E556&lt;=$D556),"Bottom depth is not below top depth. ","")&amp;IF($L556="Not confirmed","Bulk-density basis not confirmed with the lab — the coarse-fragment correction may be wrong or doubled. ","")&amp;IF(AND(ISNUMBER($M556),OR($M556&lt;QC_BD_MIN,$M556&gt;QC_BD_MAX)),"Bulk density outside the plausible range for a mineral grassland soil. ","")&amp;IF(AND(ISNUMBER($N556),$N556&gt;QC_CARBON_PCT_MAX),"Organic carbon above the QC ceiling — check units, and whether this is an organic horizon. ","")&amp;IF(AND(ISNUMBER($J556),$J556&lt;QC_RECOVERY_MIN),"Recovered less than the QC minimum of the depth driven — the increments may not sit where you think. Do NOT stretch them back out. ","")&amp;IF(AND(ISNUMBER($K556),$K556&gt;0,$L556="Fine earth / total volume"),"Coarse fragments recorded and the lab basis already accounts for them — no further correction applied, which is correct. ",""))</f>
        <v/>
      </c>
      <c r="T556" s="6" t="n"/>
      <c r="U556" s="9">
        <f>IF($B556="",0,IF(COUNTIFS($B$5:$B556,$B556)=1,1,0))</f>
        <v/>
      </c>
    </row>
    <row r="557">
      <c r="A557" s="6" t="n"/>
      <c r="B557" s="6" t="n"/>
      <c r="C557" s="6" t="n"/>
      <c r="D557" s="6" t="n"/>
      <c r="E557" s="6" t="n"/>
      <c r="F557" s="9">
        <f>IF(OR($D557="",$E557=""),"",$E557-$D557)</f>
        <v/>
      </c>
      <c r="G557" s="6" t="n"/>
      <c r="H557" s="6" t="n"/>
      <c r="I557" s="6" t="n"/>
      <c r="J557" s="9">
        <f>IF(OR(NOT(ISNUMBER($H557)),NOT(ISNUMBER($I557)),$H557=0),"",$I557/$H557)</f>
        <v/>
      </c>
      <c r="K557" s="6" t="n"/>
      <c r="L557" s="8" t="n"/>
      <c r="M557" s="7" t="n"/>
      <c r="N557" s="7" t="n"/>
      <c r="O557" s="9">
        <f>IF(NOT(ISNUMBER($M557)),"",IF($L557="Fine earth / fine-earth volume",$M557*(1-IF(ISNUMBER($K557),$K557,0)/100),$M557))</f>
        <v/>
      </c>
      <c r="P557" s="9">
        <f>IF(OR(NOT(ISNUMBER($O557)),NOT(ISNUMBER($N557)),NOT(ISNUMBER($F557))),"",$O557*($N557/100)*$F557*10)</f>
        <v/>
      </c>
      <c r="Q557" s="9">
        <f>IF(OR(NOT(ISNUMBER($D557)),NOT(ISNUMBER($E557))),"",MAX(0,MIN($E557,SOIL_REPORTING_DEPTH_CM)-MIN($D557,SOIL_REPORTING_DEPTH_CM)))</f>
        <v/>
      </c>
      <c r="R557" s="9">
        <f>IF(OR(NOT(ISNUMBER($O557)),NOT(ISNUMBER($N557)),NOT(ISNUMBER($Q557))),"",$O557*($N557/100)*$Q557*10)</f>
        <v/>
      </c>
      <c r="S557" s="11">
        <f>IF(AND($A557="",$B557="",$D557=""),"",IF(AND($A557&lt;&gt;"",COUNTIF('1. Plot &amp; Site Log'!$A$5:$A$64,$A557)=0),"Plot ID not in the Plot &amp; Site Log. ","")&amp;IF(AND(ISNUMBER($D557),ISNUMBER($E557),$E557&lt;=$D557),"Bottom depth is not below top depth. ","")&amp;IF($L557="Not confirmed","Bulk-density basis not confirmed with the lab — the coarse-fragment correction may be wrong or doubled. ","")&amp;IF(AND(ISNUMBER($M557),OR($M557&lt;QC_BD_MIN,$M557&gt;QC_BD_MAX)),"Bulk density outside the plausible range for a mineral grassland soil. ","")&amp;IF(AND(ISNUMBER($N557),$N557&gt;QC_CARBON_PCT_MAX),"Organic carbon above the QC ceiling — check units, and whether this is an organic horizon. ","")&amp;IF(AND(ISNUMBER($J557),$J557&lt;QC_RECOVERY_MIN),"Recovered less than the QC minimum of the depth driven — the increments may not sit where you think. Do NOT stretch them back out. ","")&amp;IF(AND(ISNUMBER($K557),$K557&gt;0,$L557="Fine earth / total volume"),"Coarse fragments recorded and the lab basis already accounts for them — no further correction applied, which is correct. ",""))</f>
        <v/>
      </c>
      <c r="T557" s="6" t="n"/>
      <c r="U557" s="9">
        <f>IF($B557="",0,IF(COUNTIFS($B$5:$B557,$B557)=1,1,0))</f>
        <v/>
      </c>
    </row>
    <row r="558">
      <c r="A558" s="6" t="n"/>
      <c r="B558" s="6" t="n"/>
      <c r="C558" s="6" t="n"/>
      <c r="D558" s="6" t="n"/>
      <c r="E558" s="6" t="n"/>
      <c r="F558" s="9">
        <f>IF(OR($D558="",$E558=""),"",$E558-$D558)</f>
        <v/>
      </c>
      <c r="G558" s="6" t="n"/>
      <c r="H558" s="6" t="n"/>
      <c r="I558" s="6" t="n"/>
      <c r="J558" s="9">
        <f>IF(OR(NOT(ISNUMBER($H558)),NOT(ISNUMBER($I558)),$H558=0),"",$I558/$H558)</f>
        <v/>
      </c>
      <c r="K558" s="6" t="n"/>
      <c r="L558" s="8" t="n"/>
      <c r="M558" s="7" t="n"/>
      <c r="N558" s="7" t="n"/>
      <c r="O558" s="9">
        <f>IF(NOT(ISNUMBER($M558)),"",IF($L558="Fine earth / fine-earth volume",$M558*(1-IF(ISNUMBER($K558),$K558,0)/100),$M558))</f>
        <v/>
      </c>
      <c r="P558" s="9">
        <f>IF(OR(NOT(ISNUMBER($O558)),NOT(ISNUMBER($N558)),NOT(ISNUMBER($F558))),"",$O558*($N558/100)*$F558*10)</f>
        <v/>
      </c>
      <c r="Q558" s="9">
        <f>IF(OR(NOT(ISNUMBER($D558)),NOT(ISNUMBER($E558))),"",MAX(0,MIN($E558,SOIL_REPORTING_DEPTH_CM)-MIN($D558,SOIL_REPORTING_DEPTH_CM)))</f>
        <v/>
      </c>
      <c r="R558" s="9">
        <f>IF(OR(NOT(ISNUMBER($O558)),NOT(ISNUMBER($N558)),NOT(ISNUMBER($Q558))),"",$O558*($N558/100)*$Q558*10)</f>
        <v/>
      </c>
      <c r="S558" s="11">
        <f>IF(AND($A558="",$B558="",$D558=""),"",IF(AND($A558&lt;&gt;"",COUNTIF('1. Plot &amp; Site Log'!$A$5:$A$64,$A558)=0),"Plot ID not in the Plot &amp; Site Log. ","")&amp;IF(AND(ISNUMBER($D558),ISNUMBER($E558),$E558&lt;=$D558),"Bottom depth is not below top depth. ","")&amp;IF($L558="Not confirmed","Bulk-density basis not confirmed with the lab — the coarse-fragment correction may be wrong or doubled. ","")&amp;IF(AND(ISNUMBER($M558),OR($M558&lt;QC_BD_MIN,$M558&gt;QC_BD_MAX)),"Bulk density outside the plausible range for a mineral grassland soil. ","")&amp;IF(AND(ISNUMBER($N558),$N558&gt;QC_CARBON_PCT_MAX),"Organic carbon above the QC ceiling — check units, and whether this is an organic horizon. ","")&amp;IF(AND(ISNUMBER($J558),$J558&lt;QC_RECOVERY_MIN),"Recovered less than the QC minimum of the depth driven — the increments may not sit where you think. Do NOT stretch them back out. ","")&amp;IF(AND(ISNUMBER($K558),$K558&gt;0,$L558="Fine earth / total volume"),"Coarse fragments recorded and the lab basis already accounts for them — no further correction applied, which is correct. ",""))</f>
        <v/>
      </c>
      <c r="T558" s="6" t="n"/>
      <c r="U558" s="9">
        <f>IF($B558="",0,IF(COUNTIFS($B$5:$B558,$B558)=1,1,0))</f>
        <v/>
      </c>
    </row>
    <row r="559">
      <c r="A559" s="6" t="n"/>
      <c r="B559" s="6" t="n"/>
      <c r="C559" s="6" t="n"/>
      <c r="D559" s="6" t="n"/>
      <c r="E559" s="6" t="n"/>
      <c r="F559" s="9">
        <f>IF(OR($D559="",$E559=""),"",$E559-$D559)</f>
        <v/>
      </c>
      <c r="G559" s="6" t="n"/>
      <c r="H559" s="6" t="n"/>
      <c r="I559" s="6" t="n"/>
      <c r="J559" s="9">
        <f>IF(OR(NOT(ISNUMBER($H559)),NOT(ISNUMBER($I559)),$H559=0),"",$I559/$H559)</f>
        <v/>
      </c>
      <c r="K559" s="6" t="n"/>
      <c r="L559" s="8" t="n"/>
      <c r="M559" s="7" t="n"/>
      <c r="N559" s="7" t="n"/>
      <c r="O559" s="9">
        <f>IF(NOT(ISNUMBER($M559)),"",IF($L559="Fine earth / fine-earth volume",$M559*(1-IF(ISNUMBER($K559),$K559,0)/100),$M559))</f>
        <v/>
      </c>
      <c r="P559" s="9">
        <f>IF(OR(NOT(ISNUMBER($O559)),NOT(ISNUMBER($N559)),NOT(ISNUMBER($F559))),"",$O559*($N559/100)*$F559*10)</f>
        <v/>
      </c>
      <c r="Q559" s="9">
        <f>IF(OR(NOT(ISNUMBER($D559)),NOT(ISNUMBER($E559))),"",MAX(0,MIN($E559,SOIL_REPORTING_DEPTH_CM)-MIN($D559,SOIL_REPORTING_DEPTH_CM)))</f>
        <v/>
      </c>
      <c r="R559" s="9">
        <f>IF(OR(NOT(ISNUMBER($O559)),NOT(ISNUMBER($N559)),NOT(ISNUMBER($Q559))),"",$O559*($N559/100)*$Q559*10)</f>
        <v/>
      </c>
      <c r="S559" s="11">
        <f>IF(AND($A559="",$B559="",$D559=""),"",IF(AND($A559&lt;&gt;"",COUNTIF('1. Plot &amp; Site Log'!$A$5:$A$64,$A559)=0),"Plot ID not in the Plot &amp; Site Log. ","")&amp;IF(AND(ISNUMBER($D559),ISNUMBER($E559),$E559&lt;=$D559),"Bottom depth is not below top depth. ","")&amp;IF($L559="Not confirmed","Bulk-density basis not confirmed with the lab — the coarse-fragment correction may be wrong or doubled. ","")&amp;IF(AND(ISNUMBER($M559),OR($M559&lt;QC_BD_MIN,$M559&gt;QC_BD_MAX)),"Bulk density outside the plausible range for a mineral grassland soil. ","")&amp;IF(AND(ISNUMBER($N559),$N559&gt;QC_CARBON_PCT_MAX),"Organic carbon above the QC ceiling — check units, and whether this is an organic horizon. ","")&amp;IF(AND(ISNUMBER($J559),$J559&lt;QC_RECOVERY_MIN),"Recovered less than the QC minimum of the depth driven — the increments may not sit where you think. Do NOT stretch them back out. ","")&amp;IF(AND(ISNUMBER($K559),$K559&gt;0,$L559="Fine earth / total volume"),"Coarse fragments recorded and the lab basis already accounts for them — no further correction applied, which is correct. ",""))</f>
        <v/>
      </c>
      <c r="T559" s="6" t="n"/>
      <c r="U559" s="9">
        <f>IF($B559="",0,IF(COUNTIFS($B$5:$B559,$B559)=1,1,0))</f>
        <v/>
      </c>
    </row>
    <row r="560">
      <c r="A560" s="6" t="n"/>
      <c r="B560" s="6" t="n"/>
      <c r="C560" s="6" t="n"/>
      <c r="D560" s="6" t="n"/>
      <c r="E560" s="6" t="n"/>
      <c r="F560" s="9">
        <f>IF(OR($D560="",$E560=""),"",$E560-$D560)</f>
        <v/>
      </c>
      <c r="G560" s="6" t="n"/>
      <c r="H560" s="6" t="n"/>
      <c r="I560" s="6" t="n"/>
      <c r="J560" s="9">
        <f>IF(OR(NOT(ISNUMBER($H560)),NOT(ISNUMBER($I560)),$H560=0),"",$I560/$H560)</f>
        <v/>
      </c>
      <c r="K560" s="6" t="n"/>
      <c r="L560" s="8" t="n"/>
      <c r="M560" s="7" t="n"/>
      <c r="N560" s="7" t="n"/>
      <c r="O560" s="9">
        <f>IF(NOT(ISNUMBER($M560)),"",IF($L560="Fine earth / fine-earth volume",$M560*(1-IF(ISNUMBER($K560),$K560,0)/100),$M560))</f>
        <v/>
      </c>
      <c r="P560" s="9">
        <f>IF(OR(NOT(ISNUMBER($O560)),NOT(ISNUMBER($N560)),NOT(ISNUMBER($F560))),"",$O560*($N560/100)*$F560*10)</f>
        <v/>
      </c>
      <c r="Q560" s="9">
        <f>IF(OR(NOT(ISNUMBER($D560)),NOT(ISNUMBER($E560))),"",MAX(0,MIN($E560,SOIL_REPORTING_DEPTH_CM)-MIN($D560,SOIL_REPORTING_DEPTH_CM)))</f>
        <v/>
      </c>
      <c r="R560" s="9">
        <f>IF(OR(NOT(ISNUMBER($O560)),NOT(ISNUMBER($N560)),NOT(ISNUMBER($Q560))),"",$O560*($N560/100)*$Q560*10)</f>
        <v/>
      </c>
      <c r="S560" s="11">
        <f>IF(AND($A560="",$B560="",$D560=""),"",IF(AND($A560&lt;&gt;"",COUNTIF('1. Plot &amp; Site Log'!$A$5:$A$64,$A560)=0),"Plot ID not in the Plot &amp; Site Log. ","")&amp;IF(AND(ISNUMBER($D560),ISNUMBER($E560),$E560&lt;=$D560),"Bottom depth is not below top depth. ","")&amp;IF($L560="Not confirmed","Bulk-density basis not confirmed with the lab — the coarse-fragment correction may be wrong or doubled. ","")&amp;IF(AND(ISNUMBER($M560),OR($M560&lt;QC_BD_MIN,$M560&gt;QC_BD_MAX)),"Bulk density outside the plausible range for a mineral grassland soil. ","")&amp;IF(AND(ISNUMBER($N560),$N560&gt;QC_CARBON_PCT_MAX),"Organic carbon above the QC ceiling — check units, and whether this is an organic horizon. ","")&amp;IF(AND(ISNUMBER($J560),$J560&lt;QC_RECOVERY_MIN),"Recovered less than the QC minimum of the depth driven — the increments may not sit where you think. Do NOT stretch them back out. ","")&amp;IF(AND(ISNUMBER($K560),$K560&gt;0,$L560="Fine earth / total volume"),"Coarse fragments recorded and the lab basis already accounts for them — no further correction applied, which is correct. ",""))</f>
        <v/>
      </c>
      <c r="T560" s="6" t="n"/>
      <c r="U560" s="9">
        <f>IF($B560="",0,IF(COUNTIFS($B$5:$B560,$B560)=1,1,0))</f>
        <v/>
      </c>
    </row>
    <row r="561">
      <c r="A561" s="6" t="n"/>
      <c r="B561" s="6" t="n"/>
      <c r="C561" s="6" t="n"/>
      <c r="D561" s="6" t="n"/>
      <c r="E561" s="6" t="n"/>
      <c r="F561" s="9">
        <f>IF(OR($D561="",$E561=""),"",$E561-$D561)</f>
        <v/>
      </c>
      <c r="G561" s="6" t="n"/>
      <c r="H561" s="6" t="n"/>
      <c r="I561" s="6" t="n"/>
      <c r="J561" s="9">
        <f>IF(OR(NOT(ISNUMBER($H561)),NOT(ISNUMBER($I561)),$H561=0),"",$I561/$H561)</f>
        <v/>
      </c>
      <c r="K561" s="6" t="n"/>
      <c r="L561" s="8" t="n"/>
      <c r="M561" s="7" t="n"/>
      <c r="N561" s="7" t="n"/>
      <c r="O561" s="9">
        <f>IF(NOT(ISNUMBER($M561)),"",IF($L561="Fine earth / fine-earth volume",$M561*(1-IF(ISNUMBER($K561),$K561,0)/100),$M561))</f>
        <v/>
      </c>
      <c r="P561" s="9">
        <f>IF(OR(NOT(ISNUMBER($O561)),NOT(ISNUMBER($N561)),NOT(ISNUMBER($F561))),"",$O561*($N561/100)*$F561*10)</f>
        <v/>
      </c>
      <c r="Q561" s="9">
        <f>IF(OR(NOT(ISNUMBER($D561)),NOT(ISNUMBER($E561))),"",MAX(0,MIN($E561,SOIL_REPORTING_DEPTH_CM)-MIN($D561,SOIL_REPORTING_DEPTH_CM)))</f>
        <v/>
      </c>
      <c r="R561" s="9">
        <f>IF(OR(NOT(ISNUMBER($O561)),NOT(ISNUMBER($N561)),NOT(ISNUMBER($Q561))),"",$O561*($N561/100)*$Q561*10)</f>
        <v/>
      </c>
      <c r="S561" s="11">
        <f>IF(AND($A561="",$B561="",$D561=""),"",IF(AND($A561&lt;&gt;"",COUNTIF('1. Plot &amp; Site Log'!$A$5:$A$64,$A561)=0),"Plot ID not in the Plot &amp; Site Log. ","")&amp;IF(AND(ISNUMBER($D561),ISNUMBER($E561),$E561&lt;=$D561),"Bottom depth is not below top depth. ","")&amp;IF($L561="Not confirmed","Bulk-density basis not confirmed with the lab — the coarse-fragment correction may be wrong or doubled. ","")&amp;IF(AND(ISNUMBER($M561),OR($M561&lt;QC_BD_MIN,$M561&gt;QC_BD_MAX)),"Bulk density outside the plausible range for a mineral grassland soil. ","")&amp;IF(AND(ISNUMBER($N561),$N561&gt;QC_CARBON_PCT_MAX),"Organic carbon above the QC ceiling — check units, and whether this is an organic horizon. ","")&amp;IF(AND(ISNUMBER($J561),$J561&lt;QC_RECOVERY_MIN),"Recovered less than the QC minimum of the depth driven — the increments may not sit where you think. Do NOT stretch them back out. ","")&amp;IF(AND(ISNUMBER($K561),$K561&gt;0,$L561="Fine earth / total volume"),"Coarse fragments recorded and the lab basis already accounts for them — no further correction applied, which is correct. ",""))</f>
        <v/>
      </c>
      <c r="T561" s="6" t="n"/>
      <c r="U561" s="9">
        <f>IF($B561="",0,IF(COUNTIFS($B$5:$B561,$B561)=1,1,0))</f>
        <v/>
      </c>
    </row>
    <row r="562">
      <c r="A562" s="6" t="n"/>
      <c r="B562" s="6" t="n"/>
      <c r="C562" s="6" t="n"/>
      <c r="D562" s="6" t="n"/>
      <c r="E562" s="6" t="n"/>
      <c r="F562" s="9">
        <f>IF(OR($D562="",$E562=""),"",$E562-$D562)</f>
        <v/>
      </c>
      <c r="G562" s="6" t="n"/>
      <c r="H562" s="6" t="n"/>
      <c r="I562" s="6" t="n"/>
      <c r="J562" s="9">
        <f>IF(OR(NOT(ISNUMBER($H562)),NOT(ISNUMBER($I562)),$H562=0),"",$I562/$H562)</f>
        <v/>
      </c>
      <c r="K562" s="6" t="n"/>
      <c r="L562" s="8" t="n"/>
      <c r="M562" s="7" t="n"/>
      <c r="N562" s="7" t="n"/>
      <c r="O562" s="9">
        <f>IF(NOT(ISNUMBER($M562)),"",IF($L562="Fine earth / fine-earth volume",$M562*(1-IF(ISNUMBER($K562),$K562,0)/100),$M562))</f>
        <v/>
      </c>
      <c r="P562" s="9">
        <f>IF(OR(NOT(ISNUMBER($O562)),NOT(ISNUMBER($N562)),NOT(ISNUMBER($F562))),"",$O562*($N562/100)*$F562*10)</f>
        <v/>
      </c>
      <c r="Q562" s="9">
        <f>IF(OR(NOT(ISNUMBER($D562)),NOT(ISNUMBER($E562))),"",MAX(0,MIN($E562,SOIL_REPORTING_DEPTH_CM)-MIN($D562,SOIL_REPORTING_DEPTH_CM)))</f>
        <v/>
      </c>
      <c r="R562" s="9">
        <f>IF(OR(NOT(ISNUMBER($O562)),NOT(ISNUMBER($N562)),NOT(ISNUMBER($Q562))),"",$O562*($N562/100)*$Q562*10)</f>
        <v/>
      </c>
      <c r="S562" s="11">
        <f>IF(AND($A562="",$B562="",$D562=""),"",IF(AND($A562&lt;&gt;"",COUNTIF('1. Plot &amp; Site Log'!$A$5:$A$64,$A562)=0),"Plot ID not in the Plot &amp; Site Log. ","")&amp;IF(AND(ISNUMBER($D562),ISNUMBER($E562),$E562&lt;=$D562),"Bottom depth is not below top depth. ","")&amp;IF($L562="Not confirmed","Bulk-density basis not confirmed with the lab — the coarse-fragment correction may be wrong or doubled. ","")&amp;IF(AND(ISNUMBER($M562),OR($M562&lt;QC_BD_MIN,$M562&gt;QC_BD_MAX)),"Bulk density outside the plausible range for a mineral grassland soil. ","")&amp;IF(AND(ISNUMBER($N562),$N562&gt;QC_CARBON_PCT_MAX),"Organic carbon above the QC ceiling — check units, and whether this is an organic horizon. ","")&amp;IF(AND(ISNUMBER($J562),$J562&lt;QC_RECOVERY_MIN),"Recovered less than the QC minimum of the depth driven — the increments may not sit where you think. Do NOT stretch them back out. ","")&amp;IF(AND(ISNUMBER($K562),$K562&gt;0,$L562="Fine earth / total volume"),"Coarse fragments recorded and the lab basis already accounts for them — no further correction applied, which is correct. ",""))</f>
        <v/>
      </c>
      <c r="T562" s="6" t="n"/>
      <c r="U562" s="9">
        <f>IF($B562="",0,IF(COUNTIFS($B$5:$B562,$B562)=1,1,0))</f>
        <v/>
      </c>
    </row>
    <row r="563">
      <c r="A563" s="6" t="n"/>
      <c r="B563" s="6" t="n"/>
      <c r="C563" s="6" t="n"/>
      <c r="D563" s="6" t="n"/>
      <c r="E563" s="6" t="n"/>
      <c r="F563" s="9">
        <f>IF(OR($D563="",$E563=""),"",$E563-$D563)</f>
        <v/>
      </c>
      <c r="G563" s="6" t="n"/>
      <c r="H563" s="6" t="n"/>
      <c r="I563" s="6" t="n"/>
      <c r="J563" s="9">
        <f>IF(OR(NOT(ISNUMBER($H563)),NOT(ISNUMBER($I563)),$H563=0),"",$I563/$H563)</f>
        <v/>
      </c>
      <c r="K563" s="6" t="n"/>
      <c r="L563" s="8" t="n"/>
      <c r="M563" s="7" t="n"/>
      <c r="N563" s="7" t="n"/>
      <c r="O563" s="9">
        <f>IF(NOT(ISNUMBER($M563)),"",IF($L563="Fine earth / fine-earth volume",$M563*(1-IF(ISNUMBER($K563),$K563,0)/100),$M563))</f>
        <v/>
      </c>
      <c r="P563" s="9">
        <f>IF(OR(NOT(ISNUMBER($O563)),NOT(ISNUMBER($N563)),NOT(ISNUMBER($F563))),"",$O563*($N563/100)*$F563*10)</f>
        <v/>
      </c>
      <c r="Q563" s="9">
        <f>IF(OR(NOT(ISNUMBER($D563)),NOT(ISNUMBER($E563))),"",MAX(0,MIN($E563,SOIL_REPORTING_DEPTH_CM)-MIN($D563,SOIL_REPORTING_DEPTH_CM)))</f>
        <v/>
      </c>
      <c r="R563" s="9">
        <f>IF(OR(NOT(ISNUMBER($O563)),NOT(ISNUMBER($N563)),NOT(ISNUMBER($Q563))),"",$O563*($N563/100)*$Q563*10)</f>
        <v/>
      </c>
      <c r="S563" s="11">
        <f>IF(AND($A563="",$B563="",$D563=""),"",IF(AND($A563&lt;&gt;"",COUNTIF('1. Plot &amp; Site Log'!$A$5:$A$64,$A563)=0),"Plot ID not in the Plot &amp; Site Log. ","")&amp;IF(AND(ISNUMBER($D563),ISNUMBER($E563),$E563&lt;=$D563),"Bottom depth is not below top depth. ","")&amp;IF($L563="Not confirmed","Bulk-density basis not confirmed with the lab — the coarse-fragment correction may be wrong or doubled. ","")&amp;IF(AND(ISNUMBER($M563),OR($M563&lt;QC_BD_MIN,$M563&gt;QC_BD_MAX)),"Bulk density outside the plausible range for a mineral grassland soil. ","")&amp;IF(AND(ISNUMBER($N563),$N563&gt;QC_CARBON_PCT_MAX),"Organic carbon above the QC ceiling — check units, and whether this is an organic horizon. ","")&amp;IF(AND(ISNUMBER($J563),$J563&lt;QC_RECOVERY_MIN),"Recovered less than the QC minimum of the depth driven — the increments may not sit where you think. Do NOT stretch them back out. ","")&amp;IF(AND(ISNUMBER($K563),$K563&gt;0,$L563="Fine earth / total volume"),"Coarse fragments recorded and the lab basis already accounts for them — no further correction applied, which is correct. ",""))</f>
        <v/>
      </c>
      <c r="T563" s="6" t="n"/>
      <c r="U563" s="9">
        <f>IF($B563="",0,IF(COUNTIFS($B$5:$B563,$B563)=1,1,0))</f>
        <v/>
      </c>
    </row>
    <row r="564">
      <c r="A564" s="6" t="n"/>
      <c r="B564" s="6" t="n"/>
      <c r="C564" s="6" t="n"/>
      <c r="D564" s="6" t="n"/>
      <c r="E564" s="6" t="n"/>
      <c r="F564" s="9">
        <f>IF(OR($D564="",$E564=""),"",$E564-$D564)</f>
        <v/>
      </c>
      <c r="G564" s="6" t="n"/>
      <c r="H564" s="6" t="n"/>
      <c r="I564" s="6" t="n"/>
      <c r="J564" s="9">
        <f>IF(OR(NOT(ISNUMBER($H564)),NOT(ISNUMBER($I564)),$H564=0),"",$I564/$H564)</f>
        <v/>
      </c>
      <c r="K564" s="6" t="n"/>
      <c r="L564" s="8" t="n"/>
      <c r="M564" s="7" t="n"/>
      <c r="N564" s="7" t="n"/>
      <c r="O564" s="9">
        <f>IF(NOT(ISNUMBER($M564)),"",IF($L564="Fine earth / fine-earth volume",$M564*(1-IF(ISNUMBER($K564),$K564,0)/100),$M564))</f>
        <v/>
      </c>
      <c r="P564" s="9">
        <f>IF(OR(NOT(ISNUMBER($O564)),NOT(ISNUMBER($N564)),NOT(ISNUMBER($F564))),"",$O564*($N564/100)*$F564*10)</f>
        <v/>
      </c>
      <c r="Q564" s="9">
        <f>IF(OR(NOT(ISNUMBER($D564)),NOT(ISNUMBER($E564))),"",MAX(0,MIN($E564,SOIL_REPORTING_DEPTH_CM)-MIN($D564,SOIL_REPORTING_DEPTH_CM)))</f>
        <v/>
      </c>
      <c r="R564" s="9">
        <f>IF(OR(NOT(ISNUMBER($O564)),NOT(ISNUMBER($N564)),NOT(ISNUMBER($Q564))),"",$O564*($N564/100)*$Q564*10)</f>
        <v/>
      </c>
      <c r="S564" s="11">
        <f>IF(AND($A564="",$B564="",$D564=""),"",IF(AND($A564&lt;&gt;"",COUNTIF('1. Plot &amp; Site Log'!$A$5:$A$64,$A564)=0),"Plot ID not in the Plot &amp; Site Log. ","")&amp;IF(AND(ISNUMBER($D564),ISNUMBER($E564),$E564&lt;=$D564),"Bottom depth is not below top depth. ","")&amp;IF($L564="Not confirmed","Bulk-density basis not confirmed with the lab — the coarse-fragment correction may be wrong or doubled. ","")&amp;IF(AND(ISNUMBER($M564),OR($M564&lt;QC_BD_MIN,$M564&gt;QC_BD_MAX)),"Bulk density outside the plausible range for a mineral grassland soil. ","")&amp;IF(AND(ISNUMBER($N564),$N564&gt;QC_CARBON_PCT_MAX),"Organic carbon above the QC ceiling — check units, and whether this is an organic horizon. ","")&amp;IF(AND(ISNUMBER($J564),$J564&lt;QC_RECOVERY_MIN),"Recovered less than the QC minimum of the depth driven — the increments may not sit where you think. Do NOT stretch them back out. ","")&amp;IF(AND(ISNUMBER($K564),$K564&gt;0,$L564="Fine earth / total volume"),"Coarse fragments recorded and the lab basis already accounts for them — no further correction applied, which is correct. ",""))</f>
        <v/>
      </c>
      <c r="T564" s="6" t="n"/>
      <c r="U564" s="9">
        <f>IF($B564="",0,IF(COUNTIFS($B$5:$B564,$B564)=1,1,0))</f>
        <v/>
      </c>
    </row>
    <row r="565">
      <c r="A565" s="6" t="n"/>
      <c r="B565" s="6" t="n"/>
      <c r="C565" s="6" t="n"/>
      <c r="D565" s="6" t="n"/>
      <c r="E565" s="6" t="n"/>
      <c r="F565" s="9">
        <f>IF(OR($D565="",$E565=""),"",$E565-$D565)</f>
        <v/>
      </c>
      <c r="G565" s="6" t="n"/>
      <c r="H565" s="6" t="n"/>
      <c r="I565" s="6" t="n"/>
      <c r="J565" s="9">
        <f>IF(OR(NOT(ISNUMBER($H565)),NOT(ISNUMBER($I565)),$H565=0),"",$I565/$H565)</f>
        <v/>
      </c>
      <c r="K565" s="6" t="n"/>
      <c r="L565" s="8" t="n"/>
      <c r="M565" s="7" t="n"/>
      <c r="N565" s="7" t="n"/>
      <c r="O565" s="9">
        <f>IF(NOT(ISNUMBER($M565)),"",IF($L565="Fine earth / fine-earth volume",$M565*(1-IF(ISNUMBER($K565),$K565,0)/100),$M565))</f>
        <v/>
      </c>
      <c r="P565" s="9">
        <f>IF(OR(NOT(ISNUMBER($O565)),NOT(ISNUMBER($N565)),NOT(ISNUMBER($F565))),"",$O565*($N565/100)*$F565*10)</f>
        <v/>
      </c>
      <c r="Q565" s="9">
        <f>IF(OR(NOT(ISNUMBER($D565)),NOT(ISNUMBER($E565))),"",MAX(0,MIN($E565,SOIL_REPORTING_DEPTH_CM)-MIN($D565,SOIL_REPORTING_DEPTH_CM)))</f>
        <v/>
      </c>
      <c r="R565" s="9">
        <f>IF(OR(NOT(ISNUMBER($O565)),NOT(ISNUMBER($N565)),NOT(ISNUMBER($Q565))),"",$O565*($N565/100)*$Q565*10)</f>
        <v/>
      </c>
      <c r="S565" s="11">
        <f>IF(AND($A565="",$B565="",$D565=""),"",IF(AND($A565&lt;&gt;"",COUNTIF('1. Plot &amp; Site Log'!$A$5:$A$64,$A565)=0),"Plot ID not in the Plot &amp; Site Log. ","")&amp;IF(AND(ISNUMBER($D565),ISNUMBER($E565),$E565&lt;=$D565),"Bottom depth is not below top depth. ","")&amp;IF($L565="Not confirmed","Bulk-density basis not confirmed with the lab — the coarse-fragment correction may be wrong or doubled. ","")&amp;IF(AND(ISNUMBER($M565),OR($M565&lt;QC_BD_MIN,$M565&gt;QC_BD_MAX)),"Bulk density outside the plausible range for a mineral grassland soil. ","")&amp;IF(AND(ISNUMBER($N565),$N565&gt;QC_CARBON_PCT_MAX),"Organic carbon above the QC ceiling — check units, and whether this is an organic horizon. ","")&amp;IF(AND(ISNUMBER($J565),$J565&lt;QC_RECOVERY_MIN),"Recovered less than the QC minimum of the depth driven — the increments may not sit where you think. Do NOT stretch them back out. ","")&amp;IF(AND(ISNUMBER($K565),$K565&gt;0,$L565="Fine earth / total volume"),"Coarse fragments recorded and the lab basis already accounts for them — no further correction applied, which is correct. ",""))</f>
        <v/>
      </c>
      <c r="T565" s="6" t="n"/>
      <c r="U565" s="9">
        <f>IF($B565="",0,IF(COUNTIFS($B$5:$B565,$B565)=1,1,0))</f>
        <v/>
      </c>
    </row>
    <row r="566">
      <c r="A566" s="6" t="n"/>
      <c r="B566" s="6" t="n"/>
      <c r="C566" s="6" t="n"/>
      <c r="D566" s="6" t="n"/>
      <c r="E566" s="6" t="n"/>
      <c r="F566" s="9">
        <f>IF(OR($D566="",$E566=""),"",$E566-$D566)</f>
        <v/>
      </c>
      <c r="G566" s="6" t="n"/>
      <c r="H566" s="6" t="n"/>
      <c r="I566" s="6" t="n"/>
      <c r="J566" s="9">
        <f>IF(OR(NOT(ISNUMBER($H566)),NOT(ISNUMBER($I566)),$H566=0),"",$I566/$H566)</f>
        <v/>
      </c>
      <c r="K566" s="6" t="n"/>
      <c r="L566" s="8" t="n"/>
      <c r="M566" s="7" t="n"/>
      <c r="N566" s="7" t="n"/>
      <c r="O566" s="9">
        <f>IF(NOT(ISNUMBER($M566)),"",IF($L566="Fine earth / fine-earth volume",$M566*(1-IF(ISNUMBER($K566),$K566,0)/100),$M566))</f>
        <v/>
      </c>
      <c r="P566" s="9">
        <f>IF(OR(NOT(ISNUMBER($O566)),NOT(ISNUMBER($N566)),NOT(ISNUMBER($F566))),"",$O566*($N566/100)*$F566*10)</f>
        <v/>
      </c>
      <c r="Q566" s="9">
        <f>IF(OR(NOT(ISNUMBER($D566)),NOT(ISNUMBER($E566))),"",MAX(0,MIN($E566,SOIL_REPORTING_DEPTH_CM)-MIN($D566,SOIL_REPORTING_DEPTH_CM)))</f>
        <v/>
      </c>
      <c r="R566" s="9">
        <f>IF(OR(NOT(ISNUMBER($O566)),NOT(ISNUMBER($N566)),NOT(ISNUMBER($Q566))),"",$O566*($N566/100)*$Q566*10)</f>
        <v/>
      </c>
      <c r="S566" s="11">
        <f>IF(AND($A566="",$B566="",$D566=""),"",IF(AND($A566&lt;&gt;"",COUNTIF('1. Plot &amp; Site Log'!$A$5:$A$64,$A566)=0),"Plot ID not in the Plot &amp; Site Log. ","")&amp;IF(AND(ISNUMBER($D566),ISNUMBER($E566),$E566&lt;=$D566),"Bottom depth is not below top depth. ","")&amp;IF($L566="Not confirmed","Bulk-density basis not confirmed with the lab — the coarse-fragment correction may be wrong or doubled. ","")&amp;IF(AND(ISNUMBER($M566),OR($M566&lt;QC_BD_MIN,$M566&gt;QC_BD_MAX)),"Bulk density outside the plausible range for a mineral grassland soil. ","")&amp;IF(AND(ISNUMBER($N566),$N566&gt;QC_CARBON_PCT_MAX),"Organic carbon above the QC ceiling — check units, and whether this is an organic horizon. ","")&amp;IF(AND(ISNUMBER($J566),$J566&lt;QC_RECOVERY_MIN),"Recovered less than the QC minimum of the depth driven — the increments may not sit where you think. Do NOT stretch them back out. ","")&amp;IF(AND(ISNUMBER($K566),$K566&gt;0,$L566="Fine earth / total volume"),"Coarse fragments recorded and the lab basis already accounts for them — no further correction applied, which is correct. ",""))</f>
        <v/>
      </c>
      <c r="T566" s="6" t="n"/>
      <c r="U566" s="9">
        <f>IF($B566="",0,IF(COUNTIFS($B$5:$B566,$B566)=1,1,0))</f>
        <v/>
      </c>
    </row>
    <row r="567">
      <c r="A567" s="6" t="n"/>
      <c r="B567" s="6" t="n"/>
      <c r="C567" s="6" t="n"/>
      <c r="D567" s="6" t="n"/>
      <c r="E567" s="6" t="n"/>
      <c r="F567" s="9">
        <f>IF(OR($D567="",$E567=""),"",$E567-$D567)</f>
        <v/>
      </c>
      <c r="G567" s="6" t="n"/>
      <c r="H567" s="6" t="n"/>
      <c r="I567" s="6" t="n"/>
      <c r="J567" s="9">
        <f>IF(OR(NOT(ISNUMBER($H567)),NOT(ISNUMBER($I567)),$H567=0),"",$I567/$H567)</f>
        <v/>
      </c>
      <c r="K567" s="6" t="n"/>
      <c r="L567" s="8" t="n"/>
      <c r="M567" s="7" t="n"/>
      <c r="N567" s="7" t="n"/>
      <c r="O567" s="9">
        <f>IF(NOT(ISNUMBER($M567)),"",IF($L567="Fine earth / fine-earth volume",$M567*(1-IF(ISNUMBER($K567),$K567,0)/100),$M567))</f>
        <v/>
      </c>
      <c r="P567" s="9">
        <f>IF(OR(NOT(ISNUMBER($O567)),NOT(ISNUMBER($N567)),NOT(ISNUMBER($F567))),"",$O567*($N567/100)*$F567*10)</f>
        <v/>
      </c>
      <c r="Q567" s="9">
        <f>IF(OR(NOT(ISNUMBER($D567)),NOT(ISNUMBER($E567))),"",MAX(0,MIN($E567,SOIL_REPORTING_DEPTH_CM)-MIN($D567,SOIL_REPORTING_DEPTH_CM)))</f>
        <v/>
      </c>
      <c r="R567" s="9">
        <f>IF(OR(NOT(ISNUMBER($O567)),NOT(ISNUMBER($N567)),NOT(ISNUMBER($Q567))),"",$O567*($N567/100)*$Q567*10)</f>
        <v/>
      </c>
      <c r="S567" s="11">
        <f>IF(AND($A567="",$B567="",$D567=""),"",IF(AND($A567&lt;&gt;"",COUNTIF('1. Plot &amp; Site Log'!$A$5:$A$64,$A567)=0),"Plot ID not in the Plot &amp; Site Log. ","")&amp;IF(AND(ISNUMBER($D567),ISNUMBER($E567),$E567&lt;=$D567),"Bottom depth is not below top depth. ","")&amp;IF($L567="Not confirmed","Bulk-density basis not confirmed with the lab — the coarse-fragment correction may be wrong or doubled. ","")&amp;IF(AND(ISNUMBER($M567),OR($M567&lt;QC_BD_MIN,$M567&gt;QC_BD_MAX)),"Bulk density outside the plausible range for a mineral grassland soil. ","")&amp;IF(AND(ISNUMBER($N567),$N567&gt;QC_CARBON_PCT_MAX),"Organic carbon above the QC ceiling — check units, and whether this is an organic horizon. ","")&amp;IF(AND(ISNUMBER($J567),$J567&lt;QC_RECOVERY_MIN),"Recovered less than the QC minimum of the depth driven — the increments may not sit where you think. Do NOT stretch them back out. ","")&amp;IF(AND(ISNUMBER($K567),$K567&gt;0,$L567="Fine earth / total volume"),"Coarse fragments recorded and the lab basis already accounts for them — no further correction applied, which is correct. ",""))</f>
        <v/>
      </c>
      <c r="T567" s="6" t="n"/>
      <c r="U567" s="9">
        <f>IF($B567="",0,IF(COUNTIFS($B$5:$B567,$B567)=1,1,0))</f>
        <v/>
      </c>
    </row>
    <row r="568">
      <c r="A568" s="6" t="n"/>
      <c r="B568" s="6" t="n"/>
      <c r="C568" s="6" t="n"/>
      <c r="D568" s="6" t="n"/>
      <c r="E568" s="6" t="n"/>
      <c r="F568" s="9">
        <f>IF(OR($D568="",$E568=""),"",$E568-$D568)</f>
        <v/>
      </c>
      <c r="G568" s="6" t="n"/>
      <c r="H568" s="6" t="n"/>
      <c r="I568" s="6" t="n"/>
      <c r="J568" s="9">
        <f>IF(OR(NOT(ISNUMBER($H568)),NOT(ISNUMBER($I568)),$H568=0),"",$I568/$H568)</f>
        <v/>
      </c>
      <c r="K568" s="6" t="n"/>
      <c r="L568" s="8" t="n"/>
      <c r="M568" s="7" t="n"/>
      <c r="N568" s="7" t="n"/>
      <c r="O568" s="9">
        <f>IF(NOT(ISNUMBER($M568)),"",IF($L568="Fine earth / fine-earth volume",$M568*(1-IF(ISNUMBER($K568),$K568,0)/100),$M568))</f>
        <v/>
      </c>
      <c r="P568" s="9">
        <f>IF(OR(NOT(ISNUMBER($O568)),NOT(ISNUMBER($N568)),NOT(ISNUMBER($F568))),"",$O568*($N568/100)*$F568*10)</f>
        <v/>
      </c>
      <c r="Q568" s="9">
        <f>IF(OR(NOT(ISNUMBER($D568)),NOT(ISNUMBER($E568))),"",MAX(0,MIN($E568,SOIL_REPORTING_DEPTH_CM)-MIN($D568,SOIL_REPORTING_DEPTH_CM)))</f>
        <v/>
      </c>
      <c r="R568" s="9">
        <f>IF(OR(NOT(ISNUMBER($O568)),NOT(ISNUMBER($N568)),NOT(ISNUMBER($Q568))),"",$O568*($N568/100)*$Q568*10)</f>
        <v/>
      </c>
      <c r="S568" s="11">
        <f>IF(AND($A568="",$B568="",$D568=""),"",IF(AND($A568&lt;&gt;"",COUNTIF('1. Plot &amp; Site Log'!$A$5:$A$64,$A568)=0),"Plot ID not in the Plot &amp; Site Log. ","")&amp;IF(AND(ISNUMBER($D568),ISNUMBER($E568),$E568&lt;=$D568),"Bottom depth is not below top depth. ","")&amp;IF($L568="Not confirmed","Bulk-density basis not confirmed with the lab — the coarse-fragment correction may be wrong or doubled. ","")&amp;IF(AND(ISNUMBER($M568),OR($M568&lt;QC_BD_MIN,$M568&gt;QC_BD_MAX)),"Bulk density outside the plausible range for a mineral grassland soil. ","")&amp;IF(AND(ISNUMBER($N568),$N568&gt;QC_CARBON_PCT_MAX),"Organic carbon above the QC ceiling — check units, and whether this is an organic horizon. ","")&amp;IF(AND(ISNUMBER($J568),$J568&lt;QC_RECOVERY_MIN),"Recovered less than the QC minimum of the depth driven — the increments may not sit where you think. Do NOT stretch them back out. ","")&amp;IF(AND(ISNUMBER($K568),$K568&gt;0,$L568="Fine earth / total volume"),"Coarse fragments recorded and the lab basis already accounts for them — no further correction applied, which is correct. ",""))</f>
        <v/>
      </c>
      <c r="T568" s="6" t="n"/>
      <c r="U568" s="9">
        <f>IF($B568="",0,IF(COUNTIFS($B$5:$B568,$B568)=1,1,0))</f>
        <v/>
      </c>
    </row>
    <row r="569">
      <c r="A569" s="6" t="n"/>
      <c r="B569" s="6" t="n"/>
      <c r="C569" s="6" t="n"/>
      <c r="D569" s="6" t="n"/>
      <c r="E569" s="6" t="n"/>
      <c r="F569" s="9">
        <f>IF(OR($D569="",$E569=""),"",$E569-$D569)</f>
        <v/>
      </c>
      <c r="G569" s="6" t="n"/>
      <c r="H569" s="6" t="n"/>
      <c r="I569" s="6" t="n"/>
      <c r="J569" s="9">
        <f>IF(OR(NOT(ISNUMBER($H569)),NOT(ISNUMBER($I569)),$H569=0),"",$I569/$H569)</f>
        <v/>
      </c>
      <c r="K569" s="6" t="n"/>
      <c r="L569" s="8" t="n"/>
      <c r="M569" s="7" t="n"/>
      <c r="N569" s="7" t="n"/>
      <c r="O569" s="9">
        <f>IF(NOT(ISNUMBER($M569)),"",IF($L569="Fine earth / fine-earth volume",$M569*(1-IF(ISNUMBER($K569),$K569,0)/100),$M569))</f>
        <v/>
      </c>
      <c r="P569" s="9">
        <f>IF(OR(NOT(ISNUMBER($O569)),NOT(ISNUMBER($N569)),NOT(ISNUMBER($F569))),"",$O569*($N569/100)*$F569*10)</f>
        <v/>
      </c>
      <c r="Q569" s="9">
        <f>IF(OR(NOT(ISNUMBER($D569)),NOT(ISNUMBER($E569))),"",MAX(0,MIN($E569,SOIL_REPORTING_DEPTH_CM)-MIN($D569,SOIL_REPORTING_DEPTH_CM)))</f>
        <v/>
      </c>
      <c r="R569" s="9">
        <f>IF(OR(NOT(ISNUMBER($O569)),NOT(ISNUMBER($N569)),NOT(ISNUMBER($Q569))),"",$O569*($N569/100)*$Q569*10)</f>
        <v/>
      </c>
      <c r="S569" s="11">
        <f>IF(AND($A569="",$B569="",$D569=""),"",IF(AND($A569&lt;&gt;"",COUNTIF('1. Plot &amp; Site Log'!$A$5:$A$64,$A569)=0),"Plot ID not in the Plot &amp; Site Log. ","")&amp;IF(AND(ISNUMBER($D569),ISNUMBER($E569),$E569&lt;=$D569),"Bottom depth is not below top depth. ","")&amp;IF($L569="Not confirmed","Bulk-density basis not confirmed with the lab — the coarse-fragment correction may be wrong or doubled. ","")&amp;IF(AND(ISNUMBER($M569),OR($M569&lt;QC_BD_MIN,$M569&gt;QC_BD_MAX)),"Bulk density outside the plausible range for a mineral grassland soil. ","")&amp;IF(AND(ISNUMBER($N569),$N569&gt;QC_CARBON_PCT_MAX),"Organic carbon above the QC ceiling — check units, and whether this is an organic horizon. ","")&amp;IF(AND(ISNUMBER($J569),$J569&lt;QC_RECOVERY_MIN),"Recovered less than the QC minimum of the depth driven — the increments may not sit where you think. Do NOT stretch them back out. ","")&amp;IF(AND(ISNUMBER($K569),$K569&gt;0,$L569="Fine earth / total volume"),"Coarse fragments recorded and the lab basis already accounts for them — no further correction applied, which is correct. ",""))</f>
        <v/>
      </c>
      <c r="T569" s="6" t="n"/>
      <c r="U569" s="9">
        <f>IF($B569="",0,IF(COUNTIFS($B$5:$B569,$B569)=1,1,0))</f>
        <v/>
      </c>
    </row>
    <row r="570">
      <c r="A570" s="6" t="n"/>
      <c r="B570" s="6" t="n"/>
      <c r="C570" s="6" t="n"/>
      <c r="D570" s="6" t="n"/>
      <c r="E570" s="6" t="n"/>
      <c r="F570" s="9">
        <f>IF(OR($D570="",$E570=""),"",$E570-$D570)</f>
        <v/>
      </c>
      <c r="G570" s="6" t="n"/>
      <c r="H570" s="6" t="n"/>
      <c r="I570" s="6" t="n"/>
      <c r="J570" s="9">
        <f>IF(OR(NOT(ISNUMBER($H570)),NOT(ISNUMBER($I570)),$H570=0),"",$I570/$H570)</f>
        <v/>
      </c>
      <c r="K570" s="6" t="n"/>
      <c r="L570" s="8" t="n"/>
      <c r="M570" s="7" t="n"/>
      <c r="N570" s="7" t="n"/>
      <c r="O570" s="9">
        <f>IF(NOT(ISNUMBER($M570)),"",IF($L570="Fine earth / fine-earth volume",$M570*(1-IF(ISNUMBER($K570),$K570,0)/100),$M570))</f>
        <v/>
      </c>
      <c r="P570" s="9">
        <f>IF(OR(NOT(ISNUMBER($O570)),NOT(ISNUMBER($N570)),NOT(ISNUMBER($F570))),"",$O570*($N570/100)*$F570*10)</f>
        <v/>
      </c>
      <c r="Q570" s="9">
        <f>IF(OR(NOT(ISNUMBER($D570)),NOT(ISNUMBER($E570))),"",MAX(0,MIN($E570,SOIL_REPORTING_DEPTH_CM)-MIN($D570,SOIL_REPORTING_DEPTH_CM)))</f>
        <v/>
      </c>
      <c r="R570" s="9">
        <f>IF(OR(NOT(ISNUMBER($O570)),NOT(ISNUMBER($N570)),NOT(ISNUMBER($Q570))),"",$O570*($N570/100)*$Q570*10)</f>
        <v/>
      </c>
      <c r="S570" s="11">
        <f>IF(AND($A570="",$B570="",$D570=""),"",IF(AND($A570&lt;&gt;"",COUNTIF('1. Plot &amp; Site Log'!$A$5:$A$64,$A570)=0),"Plot ID not in the Plot &amp; Site Log. ","")&amp;IF(AND(ISNUMBER($D570),ISNUMBER($E570),$E570&lt;=$D570),"Bottom depth is not below top depth. ","")&amp;IF($L570="Not confirmed","Bulk-density basis not confirmed with the lab — the coarse-fragment correction may be wrong or doubled. ","")&amp;IF(AND(ISNUMBER($M570),OR($M570&lt;QC_BD_MIN,$M570&gt;QC_BD_MAX)),"Bulk density outside the plausible range for a mineral grassland soil. ","")&amp;IF(AND(ISNUMBER($N570),$N570&gt;QC_CARBON_PCT_MAX),"Organic carbon above the QC ceiling — check units, and whether this is an organic horizon. ","")&amp;IF(AND(ISNUMBER($J570),$J570&lt;QC_RECOVERY_MIN),"Recovered less than the QC minimum of the depth driven — the increments may not sit where you think. Do NOT stretch them back out. ","")&amp;IF(AND(ISNUMBER($K570),$K570&gt;0,$L570="Fine earth / total volume"),"Coarse fragments recorded and the lab basis already accounts for them — no further correction applied, which is correct. ",""))</f>
        <v/>
      </c>
      <c r="T570" s="6" t="n"/>
      <c r="U570" s="9">
        <f>IF($B570="",0,IF(COUNTIFS($B$5:$B570,$B570)=1,1,0))</f>
        <v/>
      </c>
    </row>
    <row r="571">
      <c r="A571" s="6" t="n"/>
      <c r="B571" s="6" t="n"/>
      <c r="C571" s="6" t="n"/>
      <c r="D571" s="6" t="n"/>
      <c r="E571" s="6" t="n"/>
      <c r="F571" s="9">
        <f>IF(OR($D571="",$E571=""),"",$E571-$D571)</f>
        <v/>
      </c>
      <c r="G571" s="6" t="n"/>
      <c r="H571" s="6" t="n"/>
      <c r="I571" s="6" t="n"/>
      <c r="J571" s="9">
        <f>IF(OR(NOT(ISNUMBER($H571)),NOT(ISNUMBER($I571)),$H571=0),"",$I571/$H571)</f>
        <v/>
      </c>
      <c r="K571" s="6" t="n"/>
      <c r="L571" s="8" t="n"/>
      <c r="M571" s="7" t="n"/>
      <c r="N571" s="7" t="n"/>
      <c r="O571" s="9">
        <f>IF(NOT(ISNUMBER($M571)),"",IF($L571="Fine earth / fine-earth volume",$M571*(1-IF(ISNUMBER($K571),$K571,0)/100),$M571))</f>
        <v/>
      </c>
      <c r="P571" s="9">
        <f>IF(OR(NOT(ISNUMBER($O571)),NOT(ISNUMBER($N571)),NOT(ISNUMBER($F571))),"",$O571*($N571/100)*$F571*10)</f>
        <v/>
      </c>
      <c r="Q571" s="9">
        <f>IF(OR(NOT(ISNUMBER($D571)),NOT(ISNUMBER($E571))),"",MAX(0,MIN($E571,SOIL_REPORTING_DEPTH_CM)-MIN($D571,SOIL_REPORTING_DEPTH_CM)))</f>
        <v/>
      </c>
      <c r="R571" s="9">
        <f>IF(OR(NOT(ISNUMBER($O571)),NOT(ISNUMBER($N571)),NOT(ISNUMBER($Q571))),"",$O571*($N571/100)*$Q571*10)</f>
        <v/>
      </c>
      <c r="S571" s="11">
        <f>IF(AND($A571="",$B571="",$D571=""),"",IF(AND($A571&lt;&gt;"",COUNTIF('1. Plot &amp; Site Log'!$A$5:$A$64,$A571)=0),"Plot ID not in the Plot &amp; Site Log. ","")&amp;IF(AND(ISNUMBER($D571),ISNUMBER($E571),$E571&lt;=$D571),"Bottom depth is not below top depth. ","")&amp;IF($L571="Not confirmed","Bulk-density basis not confirmed with the lab — the coarse-fragment correction may be wrong or doubled. ","")&amp;IF(AND(ISNUMBER($M571),OR($M571&lt;QC_BD_MIN,$M571&gt;QC_BD_MAX)),"Bulk density outside the plausible range for a mineral grassland soil. ","")&amp;IF(AND(ISNUMBER($N571),$N571&gt;QC_CARBON_PCT_MAX),"Organic carbon above the QC ceiling — check units, and whether this is an organic horizon. ","")&amp;IF(AND(ISNUMBER($J571),$J571&lt;QC_RECOVERY_MIN),"Recovered less than the QC minimum of the depth driven — the increments may not sit where you think. Do NOT stretch them back out. ","")&amp;IF(AND(ISNUMBER($K571),$K571&gt;0,$L571="Fine earth / total volume"),"Coarse fragments recorded and the lab basis already accounts for them — no further correction applied, which is correct. ",""))</f>
        <v/>
      </c>
      <c r="T571" s="6" t="n"/>
      <c r="U571" s="9">
        <f>IF($B571="",0,IF(COUNTIFS($B$5:$B571,$B571)=1,1,0))</f>
        <v/>
      </c>
    </row>
    <row r="572">
      <c r="A572" s="6" t="n"/>
      <c r="B572" s="6" t="n"/>
      <c r="C572" s="6" t="n"/>
      <c r="D572" s="6" t="n"/>
      <c r="E572" s="6" t="n"/>
      <c r="F572" s="9">
        <f>IF(OR($D572="",$E572=""),"",$E572-$D572)</f>
        <v/>
      </c>
      <c r="G572" s="6" t="n"/>
      <c r="H572" s="6" t="n"/>
      <c r="I572" s="6" t="n"/>
      <c r="J572" s="9">
        <f>IF(OR(NOT(ISNUMBER($H572)),NOT(ISNUMBER($I572)),$H572=0),"",$I572/$H572)</f>
        <v/>
      </c>
      <c r="K572" s="6" t="n"/>
      <c r="L572" s="8" t="n"/>
      <c r="M572" s="7" t="n"/>
      <c r="N572" s="7" t="n"/>
      <c r="O572" s="9">
        <f>IF(NOT(ISNUMBER($M572)),"",IF($L572="Fine earth / fine-earth volume",$M572*(1-IF(ISNUMBER($K572),$K572,0)/100),$M572))</f>
        <v/>
      </c>
      <c r="P572" s="9">
        <f>IF(OR(NOT(ISNUMBER($O572)),NOT(ISNUMBER($N572)),NOT(ISNUMBER($F572))),"",$O572*($N572/100)*$F572*10)</f>
        <v/>
      </c>
      <c r="Q572" s="9">
        <f>IF(OR(NOT(ISNUMBER($D572)),NOT(ISNUMBER($E572))),"",MAX(0,MIN($E572,SOIL_REPORTING_DEPTH_CM)-MIN($D572,SOIL_REPORTING_DEPTH_CM)))</f>
        <v/>
      </c>
      <c r="R572" s="9">
        <f>IF(OR(NOT(ISNUMBER($O572)),NOT(ISNUMBER($N572)),NOT(ISNUMBER($Q572))),"",$O572*($N572/100)*$Q572*10)</f>
        <v/>
      </c>
      <c r="S572" s="11">
        <f>IF(AND($A572="",$B572="",$D572=""),"",IF(AND($A572&lt;&gt;"",COUNTIF('1. Plot &amp; Site Log'!$A$5:$A$64,$A572)=0),"Plot ID not in the Plot &amp; Site Log. ","")&amp;IF(AND(ISNUMBER($D572),ISNUMBER($E572),$E572&lt;=$D572),"Bottom depth is not below top depth. ","")&amp;IF($L572="Not confirmed","Bulk-density basis not confirmed with the lab — the coarse-fragment correction may be wrong or doubled. ","")&amp;IF(AND(ISNUMBER($M572),OR($M572&lt;QC_BD_MIN,$M572&gt;QC_BD_MAX)),"Bulk density outside the plausible range for a mineral grassland soil. ","")&amp;IF(AND(ISNUMBER($N572),$N572&gt;QC_CARBON_PCT_MAX),"Organic carbon above the QC ceiling — check units, and whether this is an organic horizon. ","")&amp;IF(AND(ISNUMBER($J572),$J572&lt;QC_RECOVERY_MIN),"Recovered less than the QC minimum of the depth driven — the increments may not sit where you think. Do NOT stretch them back out. ","")&amp;IF(AND(ISNUMBER($K572),$K572&gt;0,$L572="Fine earth / total volume"),"Coarse fragments recorded and the lab basis already accounts for them — no further correction applied, which is correct. ",""))</f>
        <v/>
      </c>
      <c r="T572" s="6" t="n"/>
      <c r="U572" s="9">
        <f>IF($B572="",0,IF(COUNTIFS($B$5:$B572,$B572)=1,1,0))</f>
        <v/>
      </c>
    </row>
    <row r="573">
      <c r="A573" s="6" t="n"/>
      <c r="B573" s="6" t="n"/>
      <c r="C573" s="6" t="n"/>
      <c r="D573" s="6" t="n"/>
      <c r="E573" s="6" t="n"/>
      <c r="F573" s="9">
        <f>IF(OR($D573="",$E573=""),"",$E573-$D573)</f>
        <v/>
      </c>
      <c r="G573" s="6" t="n"/>
      <c r="H573" s="6" t="n"/>
      <c r="I573" s="6" t="n"/>
      <c r="J573" s="9">
        <f>IF(OR(NOT(ISNUMBER($H573)),NOT(ISNUMBER($I573)),$H573=0),"",$I573/$H573)</f>
        <v/>
      </c>
      <c r="K573" s="6" t="n"/>
      <c r="L573" s="8" t="n"/>
      <c r="M573" s="7" t="n"/>
      <c r="N573" s="7" t="n"/>
      <c r="O573" s="9">
        <f>IF(NOT(ISNUMBER($M573)),"",IF($L573="Fine earth / fine-earth volume",$M573*(1-IF(ISNUMBER($K573),$K573,0)/100),$M573))</f>
        <v/>
      </c>
      <c r="P573" s="9">
        <f>IF(OR(NOT(ISNUMBER($O573)),NOT(ISNUMBER($N573)),NOT(ISNUMBER($F573))),"",$O573*($N573/100)*$F573*10)</f>
        <v/>
      </c>
      <c r="Q573" s="9">
        <f>IF(OR(NOT(ISNUMBER($D573)),NOT(ISNUMBER($E573))),"",MAX(0,MIN($E573,SOIL_REPORTING_DEPTH_CM)-MIN($D573,SOIL_REPORTING_DEPTH_CM)))</f>
        <v/>
      </c>
      <c r="R573" s="9">
        <f>IF(OR(NOT(ISNUMBER($O573)),NOT(ISNUMBER($N573)),NOT(ISNUMBER($Q573))),"",$O573*($N573/100)*$Q573*10)</f>
        <v/>
      </c>
      <c r="S573" s="11">
        <f>IF(AND($A573="",$B573="",$D573=""),"",IF(AND($A573&lt;&gt;"",COUNTIF('1. Plot &amp; Site Log'!$A$5:$A$64,$A573)=0),"Plot ID not in the Plot &amp; Site Log. ","")&amp;IF(AND(ISNUMBER($D573),ISNUMBER($E573),$E573&lt;=$D573),"Bottom depth is not below top depth. ","")&amp;IF($L573="Not confirmed","Bulk-density basis not confirmed with the lab — the coarse-fragment correction may be wrong or doubled. ","")&amp;IF(AND(ISNUMBER($M573),OR($M573&lt;QC_BD_MIN,$M573&gt;QC_BD_MAX)),"Bulk density outside the plausible range for a mineral grassland soil. ","")&amp;IF(AND(ISNUMBER($N573),$N573&gt;QC_CARBON_PCT_MAX),"Organic carbon above the QC ceiling — check units, and whether this is an organic horizon. ","")&amp;IF(AND(ISNUMBER($J573),$J573&lt;QC_RECOVERY_MIN),"Recovered less than the QC minimum of the depth driven — the increments may not sit where you think. Do NOT stretch them back out. ","")&amp;IF(AND(ISNUMBER($K573),$K573&gt;0,$L573="Fine earth / total volume"),"Coarse fragments recorded and the lab basis already accounts for them — no further correction applied, which is correct. ",""))</f>
        <v/>
      </c>
      <c r="T573" s="6" t="n"/>
      <c r="U573" s="9">
        <f>IF($B573="",0,IF(COUNTIFS($B$5:$B573,$B573)=1,1,0))</f>
        <v/>
      </c>
    </row>
    <row r="574">
      <c r="A574" s="6" t="n"/>
      <c r="B574" s="6" t="n"/>
      <c r="C574" s="6" t="n"/>
      <c r="D574" s="6" t="n"/>
      <c r="E574" s="6" t="n"/>
      <c r="F574" s="9">
        <f>IF(OR($D574="",$E574=""),"",$E574-$D574)</f>
        <v/>
      </c>
      <c r="G574" s="6" t="n"/>
      <c r="H574" s="6" t="n"/>
      <c r="I574" s="6" t="n"/>
      <c r="J574" s="9">
        <f>IF(OR(NOT(ISNUMBER($H574)),NOT(ISNUMBER($I574)),$H574=0),"",$I574/$H574)</f>
        <v/>
      </c>
      <c r="K574" s="6" t="n"/>
      <c r="L574" s="8" t="n"/>
      <c r="M574" s="7" t="n"/>
      <c r="N574" s="7" t="n"/>
      <c r="O574" s="9">
        <f>IF(NOT(ISNUMBER($M574)),"",IF($L574="Fine earth / fine-earth volume",$M574*(1-IF(ISNUMBER($K574),$K574,0)/100),$M574))</f>
        <v/>
      </c>
      <c r="P574" s="9">
        <f>IF(OR(NOT(ISNUMBER($O574)),NOT(ISNUMBER($N574)),NOT(ISNUMBER($F574))),"",$O574*($N574/100)*$F574*10)</f>
        <v/>
      </c>
      <c r="Q574" s="9">
        <f>IF(OR(NOT(ISNUMBER($D574)),NOT(ISNUMBER($E574))),"",MAX(0,MIN($E574,SOIL_REPORTING_DEPTH_CM)-MIN($D574,SOIL_REPORTING_DEPTH_CM)))</f>
        <v/>
      </c>
      <c r="R574" s="9">
        <f>IF(OR(NOT(ISNUMBER($O574)),NOT(ISNUMBER($N574)),NOT(ISNUMBER($Q574))),"",$O574*($N574/100)*$Q574*10)</f>
        <v/>
      </c>
      <c r="S574" s="11">
        <f>IF(AND($A574="",$B574="",$D574=""),"",IF(AND($A574&lt;&gt;"",COUNTIF('1. Plot &amp; Site Log'!$A$5:$A$64,$A574)=0),"Plot ID not in the Plot &amp; Site Log. ","")&amp;IF(AND(ISNUMBER($D574),ISNUMBER($E574),$E574&lt;=$D574),"Bottom depth is not below top depth. ","")&amp;IF($L574="Not confirmed","Bulk-density basis not confirmed with the lab — the coarse-fragment correction may be wrong or doubled. ","")&amp;IF(AND(ISNUMBER($M574),OR($M574&lt;QC_BD_MIN,$M574&gt;QC_BD_MAX)),"Bulk density outside the plausible range for a mineral grassland soil. ","")&amp;IF(AND(ISNUMBER($N574),$N574&gt;QC_CARBON_PCT_MAX),"Organic carbon above the QC ceiling — check units, and whether this is an organic horizon. ","")&amp;IF(AND(ISNUMBER($J574),$J574&lt;QC_RECOVERY_MIN),"Recovered less than the QC minimum of the depth driven — the increments may not sit where you think. Do NOT stretch them back out. ","")&amp;IF(AND(ISNUMBER($K574),$K574&gt;0,$L574="Fine earth / total volume"),"Coarse fragments recorded and the lab basis already accounts for them — no further correction applied, which is correct. ",""))</f>
        <v/>
      </c>
      <c r="T574" s="6" t="n"/>
      <c r="U574" s="9">
        <f>IF($B574="",0,IF(COUNTIFS($B$5:$B574,$B574)=1,1,0))</f>
        <v/>
      </c>
    </row>
    <row r="575">
      <c r="A575" s="6" t="n"/>
      <c r="B575" s="6" t="n"/>
      <c r="C575" s="6" t="n"/>
      <c r="D575" s="6" t="n"/>
      <c r="E575" s="6" t="n"/>
      <c r="F575" s="9">
        <f>IF(OR($D575="",$E575=""),"",$E575-$D575)</f>
        <v/>
      </c>
      <c r="G575" s="6" t="n"/>
      <c r="H575" s="6" t="n"/>
      <c r="I575" s="6" t="n"/>
      <c r="J575" s="9">
        <f>IF(OR(NOT(ISNUMBER($H575)),NOT(ISNUMBER($I575)),$H575=0),"",$I575/$H575)</f>
        <v/>
      </c>
      <c r="K575" s="6" t="n"/>
      <c r="L575" s="8" t="n"/>
      <c r="M575" s="7" t="n"/>
      <c r="N575" s="7" t="n"/>
      <c r="O575" s="9">
        <f>IF(NOT(ISNUMBER($M575)),"",IF($L575="Fine earth / fine-earth volume",$M575*(1-IF(ISNUMBER($K575),$K575,0)/100),$M575))</f>
        <v/>
      </c>
      <c r="P575" s="9">
        <f>IF(OR(NOT(ISNUMBER($O575)),NOT(ISNUMBER($N575)),NOT(ISNUMBER($F575))),"",$O575*($N575/100)*$F575*10)</f>
        <v/>
      </c>
      <c r="Q575" s="9">
        <f>IF(OR(NOT(ISNUMBER($D575)),NOT(ISNUMBER($E575))),"",MAX(0,MIN($E575,SOIL_REPORTING_DEPTH_CM)-MIN($D575,SOIL_REPORTING_DEPTH_CM)))</f>
        <v/>
      </c>
      <c r="R575" s="9">
        <f>IF(OR(NOT(ISNUMBER($O575)),NOT(ISNUMBER($N575)),NOT(ISNUMBER($Q575))),"",$O575*($N575/100)*$Q575*10)</f>
        <v/>
      </c>
      <c r="S575" s="11">
        <f>IF(AND($A575="",$B575="",$D575=""),"",IF(AND($A575&lt;&gt;"",COUNTIF('1. Plot &amp; Site Log'!$A$5:$A$64,$A575)=0),"Plot ID not in the Plot &amp; Site Log. ","")&amp;IF(AND(ISNUMBER($D575),ISNUMBER($E575),$E575&lt;=$D575),"Bottom depth is not below top depth. ","")&amp;IF($L575="Not confirmed","Bulk-density basis not confirmed with the lab — the coarse-fragment correction may be wrong or doubled. ","")&amp;IF(AND(ISNUMBER($M575),OR($M575&lt;QC_BD_MIN,$M575&gt;QC_BD_MAX)),"Bulk density outside the plausible range for a mineral grassland soil. ","")&amp;IF(AND(ISNUMBER($N575),$N575&gt;QC_CARBON_PCT_MAX),"Organic carbon above the QC ceiling — check units, and whether this is an organic horizon. ","")&amp;IF(AND(ISNUMBER($J575),$J575&lt;QC_RECOVERY_MIN),"Recovered less than the QC minimum of the depth driven — the increments may not sit where you think. Do NOT stretch them back out. ","")&amp;IF(AND(ISNUMBER($K575),$K575&gt;0,$L575="Fine earth / total volume"),"Coarse fragments recorded and the lab basis already accounts for them — no further correction applied, which is correct. ",""))</f>
        <v/>
      </c>
      <c r="T575" s="6" t="n"/>
      <c r="U575" s="9">
        <f>IF($B575="",0,IF(COUNTIFS($B$5:$B575,$B575)=1,1,0))</f>
        <v/>
      </c>
    </row>
    <row r="576">
      <c r="A576" s="6" t="n"/>
      <c r="B576" s="6" t="n"/>
      <c r="C576" s="6" t="n"/>
      <c r="D576" s="6" t="n"/>
      <c r="E576" s="6" t="n"/>
      <c r="F576" s="9">
        <f>IF(OR($D576="",$E576=""),"",$E576-$D576)</f>
        <v/>
      </c>
      <c r="G576" s="6" t="n"/>
      <c r="H576" s="6" t="n"/>
      <c r="I576" s="6" t="n"/>
      <c r="J576" s="9">
        <f>IF(OR(NOT(ISNUMBER($H576)),NOT(ISNUMBER($I576)),$H576=0),"",$I576/$H576)</f>
        <v/>
      </c>
      <c r="K576" s="6" t="n"/>
      <c r="L576" s="8" t="n"/>
      <c r="M576" s="7" t="n"/>
      <c r="N576" s="7" t="n"/>
      <c r="O576" s="9">
        <f>IF(NOT(ISNUMBER($M576)),"",IF($L576="Fine earth / fine-earth volume",$M576*(1-IF(ISNUMBER($K576),$K576,0)/100),$M576))</f>
        <v/>
      </c>
      <c r="P576" s="9">
        <f>IF(OR(NOT(ISNUMBER($O576)),NOT(ISNUMBER($N576)),NOT(ISNUMBER($F576))),"",$O576*($N576/100)*$F576*10)</f>
        <v/>
      </c>
      <c r="Q576" s="9">
        <f>IF(OR(NOT(ISNUMBER($D576)),NOT(ISNUMBER($E576))),"",MAX(0,MIN($E576,SOIL_REPORTING_DEPTH_CM)-MIN($D576,SOIL_REPORTING_DEPTH_CM)))</f>
        <v/>
      </c>
      <c r="R576" s="9">
        <f>IF(OR(NOT(ISNUMBER($O576)),NOT(ISNUMBER($N576)),NOT(ISNUMBER($Q576))),"",$O576*($N576/100)*$Q576*10)</f>
        <v/>
      </c>
      <c r="S576" s="11">
        <f>IF(AND($A576="",$B576="",$D576=""),"",IF(AND($A576&lt;&gt;"",COUNTIF('1. Plot &amp; Site Log'!$A$5:$A$64,$A576)=0),"Plot ID not in the Plot &amp; Site Log. ","")&amp;IF(AND(ISNUMBER($D576),ISNUMBER($E576),$E576&lt;=$D576),"Bottom depth is not below top depth. ","")&amp;IF($L576="Not confirmed","Bulk-density basis not confirmed with the lab — the coarse-fragment correction may be wrong or doubled. ","")&amp;IF(AND(ISNUMBER($M576),OR($M576&lt;QC_BD_MIN,$M576&gt;QC_BD_MAX)),"Bulk density outside the plausible range for a mineral grassland soil. ","")&amp;IF(AND(ISNUMBER($N576),$N576&gt;QC_CARBON_PCT_MAX),"Organic carbon above the QC ceiling — check units, and whether this is an organic horizon. ","")&amp;IF(AND(ISNUMBER($J576),$J576&lt;QC_RECOVERY_MIN),"Recovered less than the QC minimum of the depth driven — the increments may not sit where you think. Do NOT stretch them back out. ","")&amp;IF(AND(ISNUMBER($K576),$K576&gt;0,$L576="Fine earth / total volume"),"Coarse fragments recorded and the lab basis already accounts for them — no further correction applied, which is correct. ",""))</f>
        <v/>
      </c>
      <c r="T576" s="6" t="n"/>
      <c r="U576" s="9">
        <f>IF($B576="",0,IF(COUNTIFS($B$5:$B576,$B576)=1,1,0))</f>
        <v/>
      </c>
    </row>
    <row r="577">
      <c r="A577" s="6" t="n"/>
      <c r="B577" s="6" t="n"/>
      <c r="C577" s="6" t="n"/>
      <c r="D577" s="6" t="n"/>
      <c r="E577" s="6" t="n"/>
      <c r="F577" s="9">
        <f>IF(OR($D577="",$E577=""),"",$E577-$D577)</f>
        <v/>
      </c>
      <c r="G577" s="6" t="n"/>
      <c r="H577" s="6" t="n"/>
      <c r="I577" s="6" t="n"/>
      <c r="J577" s="9">
        <f>IF(OR(NOT(ISNUMBER($H577)),NOT(ISNUMBER($I577)),$H577=0),"",$I577/$H577)</f>
        <v/>
      </c>
      <c r="K577" s="6" t="n"/>
      <c r="L577" s="8" t="n"/>
      <c r="M577" s="7" t="n"/>
      <c r="N577" s="7" t="n"/>
      <c r="O577" s="9">
        <f>IF(NOT(ISNUMBER($M577)),"",IF($L577="Fine earth / fine-earth volume",$M577*(1-IF(ISNUMBER($K577),$K577,0)/100),$M577))</f>
        <v/>
      </c>
      <c r="P577" s="9">
        <f>IF(OR(NOT(ISNUMBER($O577)),NOT(ISNUMBER($N577)),NOT(ISNUMBER($F577))),"",$O577*($N577/100)*$F577*10)</f>
        <v/>
      </c>
      <c r="Q577" s="9">
        <f>IF(OR(NOT(ISNUMBER($D577)),NOT(ISNUMBER($E577))),"",MAX(0,MIN($E577,SOIL_REPORTING_DEPTH_CM)-MIN($D577,SOIL_REPORTING_DEPTH_CM)))</f>
        <v/>
      </c>
      <c r="R577" s="9">
        <f>IF(OR(NOT(ISNUMBER($O577)),NOT(ISNUMBER($N577)),NOT(ISNUMBER($Q577))),"",$O577*($N577/100)*$Q577*10)</f>
        <v/>
      </c>
      <c r="S577" s="11">
        <f>IF(AND($A577="",$B577="",$D577=""),"",IF(AND($A577&lt;&gt;"",COUNTIF('1. Plot &amp; Site Log'!$A$5:$A$64,$A577)=0),"Plot ID not in the Plot &amp; Site Log. ","")&amp;IF(AND(ISNUMBER($D577),ISNUMBER($E577),$E577&lt;=$D577),"Bottom depth is not below top depth. ","")&amp;IF($L577="Not confirmed","Bulk-density basis not confirmed with the lab — the coarse-fragment correction may be wrong or doubled. ","")&amp;IF(AND(ISNUMBER($M577),OR($M577&lt;QC_BD_MIN,$M577&gt;QC_BD_MAX)),"Bulk density outside the plausible range for a mineral grassland soil. ","")&amp;IF(AND(ISNUMBER($N577),$N577&gt;QC_CARBON_PCT_MAX),"Organic carbon above the QC ceiling — check units, and whether this is an organic horizon. ","")&amp;IF(AND(ISNUMBER($J577),$J577&lt;QC_RECOVERY_MIN),"Recovered less than the QC minimum of the depth driven — the increments may not sit where you think. Do NOT stretch them back out. ","")&amp;IF(AND(ISNUMBER($K577),$K577&gt;0,$L577="Fine earth / total volume"),"Coarse fragments recorded and the lab basis already accounts for them — no further correction applied, which is correct. ",""))</f>
        <v/>
      </c>
      <c r="T577" s="6" t="n"/>
      <c r="U577" s="9">
        <f>IF($B577="",0,IF(COUNTIFS($B$5:$B577,$B577)=1,1,0))</f>
        <v/>
      </c>
    </row>
    <row r="578">
      <c r="A578" s="6" t="n"/>
      <c r="B578" s="6" t="n"/>
      <c r="C578" s="6" t="n"/>
      <c r="D578" s="6" t="n"/>
      <c r="E578" s="6" t="n"/>
      <c r="F578" s="9">
        <f>IF(OR($D578="",$E578=""),"",$E578-$D578)</f>
        <v/>
      </c>
      <c r="G578" s="6" t="n"/>
      <c r="H578" s="6" t="n"/>
      <c r="I578" s="6" t="n"/>
      <c r="J578" s="9">
        <f>IF(OR(NOT(ISNUMBER($H578)),NOT(ISNUMBER($I578)),$H578=0),"",$I578/$H578)</f>
        <v/>
      </c>
      <c r="K578" s="6" t="n"/>
      <c r="L578" s="8" t="n"/>
      <c r="M578" s="7" t="n"/>
      <c r="N578" s="7" t="n"/>
      <c r="O578" s="9">
        <f>IF(NOT(ISNUMBER($M578)),"",IF($L578="Fine earth / fine-earth volume",$M578*(1-IF(ISNUMBER($K578),$K578,0)/100),$M578))</f>
        <v/>
      </c>
      <c r="P578" s="9">
        <f>IF(OR(NOT(ISNUMBER($O578)),NOT(ISNUMBER($N578)),NOT(ISNUMBER($F578))),"",$O578*($N578/100)*$F578*10)</f>
        <v/>
      </c>
      <c r="Q578" s="9">
        <f>IF(OR(NOT(ISNUMBER($D578)),NOT(ISNUMBER($E578))),"",MAX(0,MIN($E578,SOIL_REPORTING_DEPTH_CM)-MIN($D578,SOIL_REPORTING_DEPTH_CM)))</f>
        <v/>
      </c>
      <c r="R578" s="9">
        <f>IF(OR(NOT(ISNUMBER($O578)),NOT(ISNUMBER($N578)),NOT(ISNUMBER($Q578))),"",$O578*($N578/100)*$Q578*10)</f>
        <v/>
      </c>
      <c r="S578" s="11">
        <f>IF(AND($A578="",$B578="",$D578=""),"",IF(AND($A578&lt;&gt;"",COUNTIF('1. Plot &amp; Site Log'!$A$5:$A$64,$A578)=0),"Plot ID not in the Plot &amp; Site Log. ","")&amp;IF(AND(ISNUMBER($D578),ISNUMBER($E578),$E578&lt;=$D578),"Bottom depth is not below top depth. ","")&amp;IF($L578="Not confirmed","Bulk-density basis not confirmed with the lab — the coarse-fragment correction may be wrong or doubled. ","")&amp;IF(AND(ISNUMBER($M578),OR($M578&lt;QC_BD_MIN,$M578&gt;QC_BD_MAX)),"Bulk density outside the plausible range for a mineral grassland soil. ","")&amp;IF(AND(ISNUMBER($N578),$N578&gt;QC_CARBON_PCT_MAX),"Organic carbon above the QC ceiling — check units, and whether this is an organic horizon. ","")&amp;IF(AND(ISNUMBER($J578),$J578&lt;QC_RECOVERY_MIN),"Recovered less than the QC minimum of the depth driven — the increments may not sit where you think. Do NOT stretch them back out. ","")&amp;IF(AND(ISNUMBER($K578),$K578&gt;0,$L578="Fine earth / total volume"),"Coarse fragments recorded and the lab basis already accounts for them — no further correction applied, which is correct. ",""))</f>
        <v/>
      </c>
      <c r="T578" s="6" t="n"/>
      <c r="U578" s="9">
        <f>IF($B578="",0,IF(COUNTIFS($B$5:$B578,$B578)=1,1,0))</f>
        <v/>
      </c>
    </row>
    <row r="579">
      <c r="A579" s="6" t="n"/>
      <c r="B579" s="6" t="n"/>
      <c r="C579" s="6" t="n"/>
      <c r="D579" s="6" t="n"/>
      <c r="E579" s="6" t="n"/>
      <c r="F579" s="9">
        <f>IF(OR($D579="",$E579=""),"",$E579-$D579)</f>
        <v/>
      </c>
      <c r="G579" s="6" t="n"/>
      <c r="H579" s="6" t="n"/>
      <c r="I579" s="6" t="n"/>
      <c r="J579" s="9">
        <f>IF(OR(NOT(ISNUMBER($H579)),NOT(ISNUMBER($I579)),$H579=0),"",$I579/$H579)</f>
        <v/>
      </c>
      <c r="K579" s="6" t="n"/>
      <c r="L579" s="8" t="n"/>
      <c r="M579" s="7" t="n"/>
      <c r="N579" s="7" t="n"/>
      <c r="O579" s="9">
        <f>IF(NOT(ISNUMBER($M579)),"",IF($L579="Fine earth / fine-earth volume",$M579*(1-IF(ISNUMBER($K579),$K579,0)/100),$M579))</f>
        <v/>
      </c>
      <c r="P579" s="9">
        <f>IF(OR(NOT(ISNUMBER($O579)),NOT(ISNUMBER($N579)),NOT(ISNUMBER($F579))),"",$O579*($N579/100)*$F579*10)</f>
        <v/>
      </c>
      <c r="Q579" s="9">
        <f>IF(OR(NOT(ISNUMBER($D579)),NOT(ISNUMBER($E579))),"",MAX(0,MIN($E579,SOIL_REPORTING_DEPTH_CM)-MIN($D579,SOIL_REPORTING_DEPTH_CM)))</f>
        <v/>
      </c>
      <c r="R579" s="9">
        <f>IF(OR(NOT(ISNUMBER($O579)),NOT(ISNUMBER($N579)),NOT(ISNUMBER($Q579))),"",$O579*($N579/100)*$Q579*10)</f>
        <v/>
      </c>
      <c r="S579" s="11">
        <f>IF(AND($A579="",$B579="",$D579=""),"",IF(AND($A579&lt;&gt;"",COUNTIF('1. Plot &amp; Site Log'!$A$5:$A$64,$A579)=0),"Plot ID not in the Plot &amp; Site Log. ","")&amp;IF(AND(ISNUMBER($D579),ISNUMBER($E579),$E579&lt;=$D579),"Bottom depth is not below top depth. ","")&amp;IF($L579="Not confirmed","Bulk-density basis not confirmed with the lab — the coarse-fragment correction may be wrong or doubled. ","")&amp;IF(AND(ISNUMBER($M579),OR($M579&lt;QC_BD_MIN,$M579&gt;QC_BD_MAX)),"Bulk density outside the plausible range for a mineral grassland soil. ","")&amp;IF(AND(ISNUMBER($N579),$N579&gt;QC_CARBON_PCT_MAX),"Organic carbon above the QC ceiling — check units, and whether this is an organic horizon. ","")&amp;IF(AND(ISNUMBER($J579),$J579&lt;QC_RECOVERY_MIN),"Recovered less than the QC minimum of the depth driven — the increments may not sit where you think. Do NOT stretch them back out. ","")&amp;IF(AND(ISNUMBER($K579),$K579&gt;0,$L579="Fine earth / total volume"),"Coarse fragments recorded and the lab basis already accounts for them — no further correction applied, which is correct. ",""))</f>
        <v/>
      </c>
      <c r="T579" s="6" t="n"/>
      <c r="U579" s="9">
        <f>IF($B579="",0,IF(COUNTIFS($B$5:$B579,$B579)=1,1,0))</f>
        <v/>
      </c>
    </row>
    <row r="580">
      <c r="A580" s="6" t="n"/>
      <c r="B580" s="6" t="n"/>
      <c r="C580" s="6" t="n"/>
      <c r="D580" s="6" t="n"/>
      <c r="E580" s="6" t="n"/>
      <c r="F580" s="9">
        <f>IF(OR($D580="",$E580=""),"",$E580-$D580)</f>
        <v/>
      </c>
      <c r="G580" s="6" t="n"/>
      <c r="H580" s="6" t="n"/>
      <c r="I580" s="6" t="n"/>
      <c r="J580" s="9">
        <f>IF(OR(NOT(ISNUMBER($H580)),NOT(ISNUMBER($I580)),$H580=0),"",$I580/$H580)</f>
        <v/>
      </c>
      <c r="K580" s="6" t="n"/>
      <c r="L580" s="8" t="n"/>
      <c r="M580" s="7" t="n"/>
      <c r="N580" s="7" t="n"/>
      <c r="O580" s="9">
        <f>IF(NOT(ISNUMBER($M580)),"",IF($L580="Fine earth / fine-earth volume",$M580*(1-IF(ISNUMBER($K580),$K580,0)/100),$M580))</f>
        <v/>
      </c>
      <c r="P580" s="9">
        <f>IF(OR(NOT(ISNUMBER($O580)),NOT(ISNUMBER($N580)),NOT(ISNUMBER($F580))),"",$O580*($N580/100)*$F580*10)</f>
        <v/>
      </c>
      <c r="Q580" s="9">
        <f>IF(OR(NOT(ISNUMBER($D580)),NOT(ISNUMBER($E580))),"",MAX(0,MIN($E580,SOIL_REPORTING_DEPTH_CM)-MIN($D580,SOIL_REPORTING_DEPTH_CM)))</f>
        <v/>
      </c>
      <c r="R580" s="9">
        <f>IF(OR(NOT(ISNUMBER($O580)),NOT(ISNUMBER($N580)),NOT(ISNUMBER($Q580))),"",$O580*($N580/100)*$Q580*10)</f>
        <v/>
      </c>
      <c r="S580" s="11">
        <f>IF(AND($A580="",$B580="",$D580=""),"",IF(AND($A580&lt;&gt;"",COUNTIF('1. Plot &amp; Site Log'!$A$5:$A$64,$A580)=0),"Plot ID not in the Plot &amp; Site Log. ","")&amp;IF(AND(ISNUMBER($D580),ISNUMBER($E580),$E580&lt;=$D580),"Bottom depth is not below top depth. ","")&amp;IF($L580="Not confirmed","Bulk-density basis not confirmed with the lab — the coarse-fragment correction may be wrong or doubled. ","")&amp;IF(AND(ISNUMBER($M580),OR($M580&lt;QC_BD_MIN,$M580&gt;QC_BD_MAX)),"Bulk density outside the plausible range for a mineral grassland soil. ","")&amp;IF(AND(ISNUMBER($N580),$N580&gt;QC_CARBON_PCT_MAX),"Organic carbon above the QC ceiling — check units, and whether this is an organic horizon. ","")&amp;IF(AND(ISNUMBER($J580),$J580&lt;QC_RECOVERY_MIN),"Recovered less than the QC minimum of the depth driven — the increments may not sit where you think. Do NOT stretch them back out. ","")&amp;IF(AND(ISNUMBER($K580),$K580&gt;0,$L580="Fine earth / total volume"),"Coarse fragments recorded and the lab basis already accounts for them — no further correction applied, which is correct. ",""))</f>
        <v/>
      </c>
      <c r="T580" s="6" t="n"/>
      <c r="U580" s="9">
        <f>IF($B580="",0,IF(COUNTIFS($B$5:$B580,$B580)=1,1,0))</f>
        <v/>
      </c>
    </row>
    <row r="581">
      <c r="A581" s="6" t="n"/>
      <c r="B581" s="6" t="n"/>
      <c r="C581" s="6" t="n"/>
      <c r="D581" s="6" t="n"/>
      <c r="E581" s="6" t="n"/>
      <c r="F581" s="9">
        <f>IF(OR($D581="",$E581=""),"",$E581-$D581)</f>
        <v/>
      </c>
      <c r="G581" s="6" t="n"/>
      <c r="H581" s="6" t="n"/>
      <c r="I581" s="6" t="n"/>
      <c r="J581" s="9">
        <f>IF(OR(NOT(ISNUMBER($H581)),NOT(ISNUMBER($I581)),$H581=0),"",$I581/$H581)</f>
        <v/>
      </c>
      <c r="K581" s="6" t="n"/>
      <c r="L581" s="8" t="n"/>
      <c r="M581" s="7" t="n"/>
      <c r="N581" s="7" t="n"/>
      <c r="O581" s="9">
        <f>IF(NOT(ISNUMBER($M581)),"",IF($L581="Fine earth / fine-earth volume",$M581*(1-IF(ISNUMBER($K581),$K581,0)/100),$M581))</f>
        <v/>
      </c>
      <c r="P581" s="9">
        <f>IF(OR(NOT(ISNUMBER($O581)),NOT(ISNUMBER($N581)),NOT(ISNUMBER($F581))),"",$O581*($N581/100)*$F581*10)</f>
        <v/>
      </c>
      <c r="Q581" s="9">
        <f>IF(OR(NOT(ISNUMBER($D581)),NOT(ISNUMBER($E581))),"",MAX(0,MIN($E581,SOIL_REPORTING_DEPTH_CM)-MIN($D581,SOIL_REPORTING_DEPTH_CM)))</f>
        <v/>
      </c>
      <c r="R581" s="9">
        <f>IF(OR(NOT(ISNUMBER($O581)),NOT(ISNUMBER($N581)),NOT(ISNUMBER($Q581))),"",$O581*($N581/100)*$Q581*10)</f>
        <v/>
      </c>
      <c r="S581" s="11">
        <f>IF(AND($A581="",$B581="",$D581=""),"",IF(AND($A581&lt;&gt;"",COUNTIF('1. Plot &amp; Site Log'!$A$5:$A$64,$A581)=0),"Plot ID not in the Plot &amp; Site Log. ","")&amp;IF(AND(ISNUMBER($D581),ISNUMBER($E581),$E581&lt;=$D581),"Bottom depth is not below top depth. ","")&amp;IF($L581="Not confirmed","Bulk-density basis not confirmed with the lab — the coarse-fragment correction may be wrong or doubled. ","")&amp;IF(AND(ISNUMBER($M581),OR($M581&lt;QC_BD_MIN,$M581&gt;QC_BD_MAX)),"Bulk density outside the plausible range for a mineral grassland soil. ","")&amp;IF(AND(ISNUMBER($N581),$N581&gt;QC_CARBON_PCT_MAX),"Organic carbon above the QC ceiling — check units, and whether this is an organic horizon. ","")&amp;IF(AND(ISNUMBER($J581),$J581&lt;QC_RECOVERY_MIN),"Recovered less than the QC minimum of the depth driven — the increments may not sit where you think. Do NOT stretch them back out. ","")&amp;IF(AND(ISNUMBER($K581),$K581&gt;0,$L581="Fine earth / total volume"),"Coarse fragments recorded and the lab basis already accounts for them — no further correction applied, which is correct. ",""))</f>
        <v/>
      </c>
      <c r="T581" s="6" t="n"/>
      <c r="U581" s="9">
        <f>IF($B581="",0,IF(COUNTIFS($B$5:$B581,$B581)=1,1,0))</f>
        <v/>
      </c>
    </row>
    <row r="582">
      <c r="A582" s="6" t="n"/>
      <c r="B582" s="6" t="n"/>
      <c r="C582" s="6" t="n"/>
      <c r="D582" s="6" t="n"/>
      <c r="E582" s="6" t="n"/>
      <c r="F582" s="9">
        <f>IF(OR($D582="",$E582=""),"",$E582-$D582)</f>
        <v/>
      </c>
      <c r="G582" s="6" t="n"/>
      <c r="H582" s="6" t="n"/>
      <c r="I582" s="6" t="n"/>
      <c r="J582" s="9">
        <f>IF(OR(NOT(ISNUMBER($H582)),NOT(ISNUMBER($I582)),$H582=0),"",$I582/$H582)</f>
        <v/>
      </c>
      <c r="K582" s="6" t="n"/>
      <c r="L582" s="8" t="n"/>
      <c r="M582" s="7" t="n"/>
      <c r="N582" s="7" t="n"/>
      <c r="O582" s="9">
        <f>IF(NOT(ISNUMBER($M582)),"",IF($L582="Fine earth / fine-earth volume",$M582*(1-IF(ISNUMBER($K582),$K582,0)/100),$M582))</f>
        <v/>
      </c>
      <c r="P582" s="9">
        <f>IF(OR(NOT(ISNUMBER($O582)),NOT(ISNUMBER($N582)),NOT(ISNUMBER($F582))),"",$O582*($N582/100)*$F582*10)</f>
        <v/>
      </c>
      <c r="Q582" s="9">
        <f>IF(OR(NOT(ISNUMBER($D582)),NOT(ISNUMBER($E582))),"",MAX(0,MIN($E582,SOIL_REPORTING_DEPTH_CM)-MIN($D582,SOIL_REPORTING_DEPTH_CM)))</f>
        <v/>
      </c>
      <c r="R582" s="9">
        <f>IF(OR(NOT(ISNUMBER($O582)),NOT(ISNUMBER($N582)),NOT(ISNUMBER($Q582))),"",$O582*($N582/100)*$Q582*10)</f>
        <v/>
      </c>
      <c r="S582" s="11">
        <f>IF(AND($A582="",$B582="",$D582=""),"",IF(AND($A582&lt;&gt;"",COUNTIF('1. Plot &amp; Site Log'!$A$5:$A$64,$A582)=0),"Plot ID not in the Plot &amp; Site Log. ","")&amp;IF(AND(ISNUMBER($D582),ISNUMBER($E582),$E582&lt;=$D582),"Bottom depth is not below top depth. ","")&amp;IF($L582="Not confirmed","Bulk-density basis not confirmed with the lab — the coarse-fragment correction may be wrong or doubled. ","")&amp;IF(AND(ISNUMBER($M582),OR($M582&lt;QC_BD_MIN,$M582&gt;QC_BD_MAX)),"Bulk density outside the plausible range for a mineral grassland soil. ","")&amp;IF(AND(ISNUMBER($N582),$N582&gt;QC_CARBON_PCT_MAX),"Organic carbon above the QC ceiling — check units, and whether this is an organic horizon. ","")&amp;IF(AND(ISNUMBER($J582),$J582&lt;QC_RECOVERY_MIN),"Recovered less than the QC minimum of the depth driven — the increments may not sit where you think. Do NOT stretch them back out. ","")&amp;IF(AND(ISNUMBER($K582),$K582&gt;0,$L582="Fine earth / total volume"),"Coarse fragments recorded and the lab basis already accounts for them — no further correction applied, which is correct. ",""))</f>
        <v/>
      </c>
      <c r="T582" s="6" t="n"/>
      <c r="U582" s="9">
        <f>IF($B582="",0,IF(COUNTIFS($B$5:$B582,$B582)=1,1,0))</f>
        <v/>
      </c>
    </row>
    <row r="583">
      <c r="A583" s="6" t="n"/>
      <c r="B583" s="6" t="n"/>
      <c r="C583" s="6" t="n"/>
      <c r="D583" s="6" t="n"/>
      <c r="E583" s="6" t="n"/>
      <c r="F583" s="9">
        <f>IF(OR($D583="",$E583=""),"",$E583-$D583)</f>
        <v/>
      </c>
      <c r="G583" s="6" t="n"/>
      <c r="H583" s="6" t="n"/>
      <c r="I583" s="6" t="n"/>
      <c r="J583" s="9">
        <f>IF(OR(NOT(ISNUMBER($H583)),NOT(ISNUMBER($I583)),$H583=0),"",$I583/$H583)</f>
        <v/>
      </c>
      <c r="K583" s="6" t="n"/>
      <c r="L583" s="8" t="n"/>
      <c r="M583" s="7" t="n"/>
      <c r="N583" s="7" t="n"/>
      <c r="O583" s="9">
        <f>IF(NOT(ISNUMBER($M583)),"",IF($L583="Fine earth / fine-earth volume",$M583*(1-IF(ISNUMBER($K583),$K583,0)/100),$M583))</f>
        <v/>
      </c>
      <c r="P583" s="9">
        <f>IF(OR(NOT(ISNUMBER($O583)),NOT(ISNUMBER($N583)),NOT(ISNUMBER($F583))),"",$O583*($N583/100)*$F583*10)</f>
        <v/>
      </c>
      <c r="Q583" s="9">
        <f>IF(OR(NOT(ISNUMBER($D583)),NOT(ISNUMBER($E583))),"",MAX(0,MIN($E583,SOIL_REPORTING_DEPTH_CM)-MIN($D583,SOIL_REPORTING_DEPTH_CM)))</f>
        <v/>
      </c>
      <c r="R583" s="9">
        <f>IF(OR(NOT(ISNUMBER($O583)),NOT(ISNUMBER($N583)),NOT(ISNUMBER($Q583))),"",$O583*($N583/100)*$Q583*10)</f>
        <v/>
      </c>
      <c r="S583" s="11">
        <f>IF(AND($A583="",$B583="",$D583=""),"",IF(AND($A583&lt;&gt;"",COUNTIF('1. Plot &amp; Site Log'!$A$5:$A$64,$A583)=0),"Plot ID not in the Plot &amp; Site Log. ","")&amp;IF(AND(ISNUMBER($D583),ISNUMBER($E583),$E583&lt;=$D583),"Bottom depth is not below top depth. ","")&amp;IF($L583="Not confirmed","Bulk-density basis not confirmed with the lab — the coarse-fragment correction may be wrong or doubled. ","")&amp;IF(AND(ISNUMBER($M583),OR($M583&lt;QC_BD_MIN,$M583&gt;QC_BD_MAX)),"Bulk density outside the plausible range for a mineral grassland soil. ","")&amp;IF(AND(ISNUMBER($N583),$N583&gt;QC_CARBON_PCT_MAX),"Organic carbon above the QC ceiling — check units, and whether this is an organic horizon. ","")&amp;IF(AND(ISNUMBER($J583),$J583&lt;QC_RECOVERY_MIN),"Recovered less than the QC minimum of the depth driven — the increments may not sit where you think. Do NOT stretch them back out. ","")&amp;IF(AND(ISNUMBER($K583),$K583&gt;0,$L583="Fine earth / total volume"),"Coarse fragments recorded and the lab basis already accounts for them — no further correction applied, which is correct. ",""))</f>
        <v/>
      </c>
      <c r="T583" s="6" t="n"/>
      <c r="U583" s="9">
        <f>IF($B583="",0,IF(COUNTIFS($B$5:$B583,$B583)=1,1,0))</f>
        <v/>
      </c>
    </row>
    <row r="584">
      <c r="A584" s="6" t="n"/>
      <c r="B584" s="6" t="n"/>
      <c r="C584" s="6" t="n"/>
      <c r="D584" s="6" t="n"/>
      <c r="E584" s="6" t="n"/>
      <c r="F584" s="9">
        <f>IF(OR($D584="",$E584=""),"",$E584-$D584)</f>
        <v/>
      </c>
      <c r="G584" s="6" t="n"/>
      <c r="H584" s="6" t="n"/>
      <c r="I584" s="6" t="n"/>
      <c r="J584" s="9">
        <f>IF(OR(NOT(ISNUMBER($H584)),NOT(ISNUMBER($I584)),$H584=0),"",$I584/$H584)</f>
        <v/>
      </c>
      <c r="K584" s="6" t="n"/>
      <c r="L584" s="8" t="n"/>
      <c r="M584" s="7" t="n"/>
      <c r="N584" s="7" t="n"/>
      <c r="O584" s="9">
        <f>IF(NOT(ISNUMBER($M584)),"",IF($L584="Fine earth / fine-earth volume",$M584*(1-IF(ISNUMBER($K584),$K584,0)/100),$M584))</f>
        <v/>
      </c>
      <c r="P584" s="9">
        <f>IF(OR(NOT(ISNUMBER($O584)),NOT(ISNUMBER($N584)),NOT(ISNUMBER($F584))),"",$O584*($N584/100)*$F584*10)</f>
        <v/>
      </c>
      <c r="Q584" s="9">
        <f>IF(OR(NOT(ISNUMBER($D584)),NOT(ISNUMBER($E584))),"",MAX(0,MIN($E584,SOIL_REPORTING_DEPTH_CM)-MIN($D584,SOIL_REPORTING_DEPTH_CM)))</f>
        <v/>
      </c>
      <c r="R584" s="9">
        <f>IF(OR(NOT(ISNUMBER($O584)),NOT(ISNUMBER($N584)),NOT(ISNUMBER($Q584))),"",$O584*($N584/100)*$Q584*10)</f>
        <v/>
      </c>
      <c r="S584" s="11">
        <f>IF(AND($A584="",$B584="",$D584=""),"",IF(AND($A584&lt;&gt;"",COUNTIF('1. Plot &amp; Site Log'!$A$5:$A$64,$A584)=0),"Plot ID not in the Plot &amp; Site Log. ","")&amp;IF(AND(ISNUMBER($D584),ISNUMBER($E584),$E584&lt;=$D584),"Bottom depth is not below top depth. ","")&amp;IF($L584="Not confirmed","Bulk-density basis not confirmed with the lab — the coarse-fragment correction may be wrong or doubled. ","")&amp;IF(AND(ISNUMBER($M584),OR($M584&lt;QC_BD_MIN,$M584&gt;QC_BD_MAX)),"Bulk density outside the plausible range for a mineral grassland soil. ","")&amp;IF(AND(ISNUMBER($N584),$N584&gt;QC_CARBON_PCT_MAX),"Organic carbon above the QC ceiling — check units, and whether this is an organic horizon. ","")&amp;IF(AND(ISNUMBER($J584),$J584&lt;QC_RECOVERY_MIN),"Recovered less than the QC minimum of the depth driven — the increments may not sit where you think. Do NOT stretch them back out. ","")&amp;IF(AND(ISNUMBER($K584),$K584&gt;0,$L584="Fine earth / total volume"),"Coarse fragments recorded and the lab basis already accounts for them — no further correction applied, which is correct. ",""))</f>
        <v/>
      </c>
      <c r="T584" s="6" t="n"/>
      <c r="U584" s="9">
        <f>IF($B584="",0,IF(COUNTIFS($B$5:$B584,$B584)=1,1,0))</f>
        <v/>
      </c>
    </row>
    <row r="585">
      <c r="A585" s="6" t="n"/>
      <c r="B585" s="6" t="n"/>
      <c r="C585" s="6" t="n"/>
      <c r="D585" s="6" t="n"/>
      <c r="E585" s="6" t="n"/>
      <c r="F585" s="9">
        <f>IF(OR($D585="",$E585=""),"",$E585-$D585)</f>
        <v/>
      </c>
      <c r="G585" s="6" t="n"/>
      <c r="H585" s="6" t="n"/>
      <c r="I585" s="6" t="n"/>
      <c r="J585" s="9">
        <f>IF(OR(NOT(ISNUMBER($H585)),NOT(ISNUMBER($I585)),$H585=0),"",$I585/$H585)</f>
        <v/>
      </c>
      <c r="K585" s="6" t="n"/>
      <c r="L585" s="8" t="n"/>
      <c r="M585" s="7" t="n"/>
      <c r="N585" s="7" t="n"/>
      <c r="O585" s="9">
        <f>IF(NOT(ISNUMBER($M585)),"",IF($L585="Fine earth / fine-earth volume",$M585*(1-IF(ISNUMBER($K585),$K585,0)/100),$M585))</f>
        <v/>
      </c>
      <c r="P585" s="9">
        <f>IF(OR(NOT(ISNUMBER($O585)),NOT(ISNUMBER($N585)),NOT(ISNUMBER($F585))),"",$O585*($N585/100)*$F585*10)</f>
        <v/>
      </c>
      <c r="Q585" s="9">
        <f>IF(OR(NOT(ISNUMBER($D585)),NOT(ISNUMBER($E585))),"",MAX(0,MIN($E585,SOIL_REPORTING_DEPTH_CM)-MIN($D585,SOIL_REPORTING_DEPTH_CM)))</f>
        <v/>
      </c>
      <c r="R585" s="9">
        <f>IF(OR(NOT(ISNUMBER($O585)),NOT(ISNUMBER($N585)),NOT(ISNUMBER($Q585))),"",$O585*($N585/100)*$Q585*10)</f>
        <v/>
      </c>
      <c r="S585" s="11">
        <f>IF(AND($A585="",$B585="",$D585=""),"",IF(AND($A585&lt;&gt;"",COUNTIF('1. Plot &amp; Site Log'!$A$5:$A$64,$A585)=0),"Plot ID not in the Plot &amp; Site Log. ","")&amp;IF(AND(ISNUMBER($D585),ISNUMBER($E585),$E585&lt;=$D585),"Bottom depth is not below top depth. ","")&amp;IF($L585="Not confirmed","Bulk-density basis not confirmed with the lab — the coarse-fragment correction may be wrong or doubled. ","")&amp;IF(AND(ISNUMBER($M585),OR($M585&lt;QC_BD_MIN,$M585&gt;QC_BD_MAX)),"Bulk density outside the plausible range for a mineral grassland soil. ","")&amp;IF(AND(ISNUMBER($N585),$N585&gt;QC_CARBON_PCT_MAX),"Organic carbon above the QC ceiling — check units, and whether this is an organic horizon. ","")&amp;IF(AND(ISNUMBER($J585),$J585&lt;QC_RECOVERY_MIN),"Recovered less than the QC minimum of the depth driven — the increments may not sit where you think. Do NOT stretch them back out. ","")&amp;IF(AND(ISNUMBER($K585),$K585&gt;0,$L585="Fine earth / total volume"),"Coarse fragments recorded and the lab basis already accounts for them — no further correction applied, which is correct. ",""))</f>
        <v/>
      </c>
      <c r="T585" s="6" t="n"/>
      <c r="U585" s="9">
        <f>IF($B585="",0,IF(COUNTIFS($B$5:$B585,$B585)=1,1,0))</f>
        <v/>
      </c>
    </row>
    <row r="586">
      <c r="A586" s="6" t="n"/>
      <c r="B586" s="6" t="n"/>
      <c r="C586" s="6" t="n"/>
      <c r="D586" s="6" t="n"/>
      <c r="E586" s="6" t="n"/>
      <c r="F586" s="9">
        <f>IF(OR($D586="",$E586=""),"",$E586-$D586)</f>
        <v/>
      </c>
      <c r="G586" s="6" t="n"/>
      <c r="H586" s="6" t="n"/>
      <c r="I586" s="6" t="n"/>
      <c r="J586" s="9">
        <f>IF(OR(NOT(ISNUMBER($H586)),NOT(ISNUMBER($I586)),$H586=0),"",$I586/$H586)</f>
        <v/>
      </c>
      <c r="K586" s="6" t="n"/>
      <c r="L586" s="8" t="n"/>
      <c r="M586" s="7" t="n"/>
      <c r="N586" s="7" t="n"/>
      <c r="O586" s="9">
        <f>IF(NOT(ISNUMBER($M586)),"",IF($L586="Fine earth / fine-earth volume",$M586*(1-IF(ISNUMBER($K586),$K586,0)/100),$M586))</f>
        <v/>
      </c>
      <c r="P586" s="9">
        <f>IF(OR(NOT(ISNUMBER($O586)),NOT(ISNUMBER($N586)),NOT(ISNUMBER($F586))),"",$O586*($N586/100)*$F586*10)</f>
        <v/>
      </c>
      <c r="Q586" s="9">
        <f>IF(OR(NOT(ISNUMBER($D586)),NOT(ISNUMBER($E586))),"",MAX(0,MIN($E586,SOIL_REPORTING_DEPTH_CM)-MIN($D586,SOIL_REPORTING_DEPTH_CM)))</f>
        <v/>
      </c>
      <c r="R586" s="9">
        <f>IF(OR(NOT(ISNUMBER($O586)),NOT(ISNUMBER($N586)),NOT(ISNUMBER($Q586))),"",$O586*($N586/100)*$Q586*10)</f>
        <v/>
      </c>
      <c r="S586" s="11">
        <f>IF(AND($A586="",$B586="",$D586=""),"",IF(AND($A586&lt;&gt;"",COUNTIF('1. Plot &amp; Site Log'!$A$5:$A$64,$A586)=0),"Plot ID not in the Plot &amp; Site Log. ","")&amp;IF(AND(ISNUMBER($D586),ISNUMBER($E586),$E586&lt;=$D586),"Bottom depth is not below top depth. ","")&amp;IF($L586="Not confirmed","Bulk-density basis not confirmed with the lab — the coarse-fragment correction may be wrong or doubled. ","")&amp;IF(AND(ISNUMBER($M586),OR($M586&lt;QC_BD_MIN,$M586&gt;QC_BD_MAX)),"Bulk density outside the plausible range for a mineral grassland soil. ","")&amp;IF(AND(ISNUMBER($N586),$N586&gt;QC_CARBON_PCT_MAX),"Organic carbon above the QC ceiling — check units, and whether this is an organic horizon. ","")&amp;IF(AND(ISNUMBER($J586),$J586&lt;QC_RECOVERY_MIN),"Recovered less than the QC minimum of the depth driven — the increments may not sit where you think. Do NOT stretch them back out. ","")&amp;IF(AND(ISNUMBER($K586),$K586&gt;0,$L586="Fine earth / total volume"),"Coarse fragments recorded and the lab basis already accounts for them — no further correction applied, which is correct. ",""))</f>
        <v/>
      </c>
      <c r="T586" s="6" t="n"/>
      <c r="U586" s="9">
        <f>IF($B586="",0,IF(COUNTIFS($B$5:$B586,$B586)=1,1,0))</f>
        <v/>
      </c>
    </row>
    <row r="587">
      <c r="A587" s="6" t="n"/>
      <c r="B587" s="6" t="n"/>
      <c r="C587" s="6" t="n"/>
      <c r="D587" s="6" t="n"/>
      <c r="E587" s="6" t="n"/>
      <c r="F587" s="9">
        <f>IF(OR($D587="",$E587=""),"",$E587-$D587)</f>
        <v/>
      </c>
      <c r="G587" s="6" t="n"/>
      <c r="H587" s="6" t="n"/>
      <c r="I587" s="6" t="n"/>
      <c r="J587" s="9">
        <f>IF(OR(NOT(ISNUMBER($H587)),NOT(ISNUMBER($I587)),$H587=0),"",$I587/$H587)</f>
        <v/>
      </c>
      <c r="K587" s="6" t="n"/>
      <c r="L587" s="8" t="n"/>
      <c r="M587" s="7" t="n"/>
      <c r="N587" s="7" t="n"/>
      <c r="O587" s="9">
        <f>IF(NOT(ISNUMBER($M587)),"",IF($L587="Fine earth / fine-earth volume",$M587*(1-IF(ISNUMBER($K587),$K587,0)/100),$M587))</f>
        <v/>
      </c>
      <c r="P587" s="9">
        <f>IF(OR(NOT(ISNUMBER($O587)),NOT(ISNUMBER($N587)),NOT(ISNUMBER($F587))),"",$O587*($N587/100)*$F587*10)</f>
        <v/>
      </c>
      <c r="Q587" s="9">
        <f>IF(OR(NOT(ISNUMBER($D587)),NOT(ISNUMBER($E587))),"",MAX(0,MIN($E587,SOIL_REPORTING_DEPTH_CM)-MIN($D587,SOIL_REPORTING_DEPTH_CM)))</f>
        <v/>
      </c>
      <c r="R587" s="9">
        <f>IF(OR(NOT(ISNUMBER($O587)),NOT(ISNUMBER($N587)),NOT(ISNUMBER($Q587))),"",$O587*($N587/100)*$Q587*10)</f>
        <v/>
      </c>
      <c r="S587" s="11">
        <f>IF(AND($A587="",$B587="",$D587=""),"",IF(AND($A587&lt;&gt;"",COUNTIF('1. Plot &amp; Site Log'!$A$5:$A$64,$A587)=0),"Plot ID not in the Plot &amp; Site Log. ","")&amp;IF(AND(ISNUMBER($D587),ISNUMBER($E587),$E587&lt;=$D587),"Bottom depth is not below top depth. ","")&amp;IF($L587="Not confirmed","Bulk-density basis not confirmed with the lab — the coarse-fragment correction may be wrong or doubled. ","")&amp;IF(AND(ISNUMBER($M587),OR($M587&lt;QC_BD_MIN,$M587&gt;QC_BD_MAX)),"Bulk density outside the plausible range for a mineral grassland soil. ","")&amp;IF(AND(ISNUMBER($N587),$N587&gt;QC_CARBON_PCT_MAX),"Organic carbon above the QC ceiling — check units, and whether this is an organic horizon. ","")&amp;IF(AND(ISNUMBER($J587),$J587&lt;QC_RECOVERY_MIN),"Recovered less than the QC minimum of the depth driven — the increments may not sit where you think. Do NOT stretch them back out. ","")&amp;IF(AND(ISNUMBER($K587),$K587&gt;0,$L587="Fine earth / total volume"),"Coarse fragments recorded and the lab basis already accounts for them — no further correction applied, which is correct. ",""))</f>
        <v/>
      </c>
      <c r="T587" s="6" t="n"/>
      <c r="U587" s="9">
        <f>IF($B587="",0,IF(COUNTIFS($B$5:$B587,$B587)=1,1,0))</f>
        <v/>
      </c>
    </row>
    <row r="588">
      <c r="A588" s="6" t="n"/>
      <c r="B588" s="6" t="n"/>
      <c r="C588" s="6" t="n"/>
      <c r="D588" s="6" t="n"/>
      <c r="E588" s="6" t="n"/>
      <c r="F588" s="9">
        <f>IF(OR($D588="",$E588=""),"",$E588-$D588)</f>
        <v/>
      </c>
      <c r="G588" s="6" t="n"/>
      <c r="H588" s="6" t="n"/>
      <c r="I588" s="6" t="n"/>
      <c r="J588" s="9">
        <f>IF(OR(NOT(ISNUMBER($H588)),NOT(ISNUMBER($I588)),$H588=0),"",$I588/$H588)</f>
        <v/>
      </c>
      <c r="K588" s="6" t="n"/>
      <c r="L588" s="8" t="n"/>
      <c r="M588" s="7" t="n"/>
      <c r="N588" s="7" t="n"/>
      <c r="O588" s="9">
        <f>IF(NOT(ISNUMBER($M588)),"",IF($L588="Fine earth / fine-earth volume",$M588*(1-IF(ISNUMBER($K588),$K588,0)/100),$M588))</f>
        <v/>
      </c>
      <c r="P588" s="9">
        <f>IF(OR(NOT(ISNUMBER($O588)),NOT(ISNUMBER($N588)),NOT(ISNUMBER($F588))),"",$O588*($N588/100)*$F588*10)</f>
        <v/>
      </c>
      <c r="Q588" s="9">
        <f>IF(OR(NOT(ISNUMBER($D588)),NOT(ISNUMBER($E588))),"",MAX(0,MIN($E588,SOIL_REPORTING_DEPTH_CM)-MIN($D588,SOIL_REPORTING_DEPTH_CM)))</f>
        <v/>
      </c>
      <c r="R588" s="9">
        <f>IF(OR(NOT(ISNUMBER($O588)),NOT(ISNUMBER($N588)),NOT(ISNUMBER($Q588))),"",$O588*($N588/100)*$Q588*10)</f>
        <v/>
      </c>
      <c r="S588" s="11">
        <f>IF(AND($A588="",$B588="",$D588=""),"",IF(AND($A588&lt;&gt;"",COUNTIF('1. Plot &amp; Site Log'!$A$5:$A$64,$A588)=0),"Plot ID not in the Plot &amp; Site Log. ","")&amp;IF(AND(ISNUMBER($D588),ISNUMBER($E588),$E588&lt;=$D588),"Bottom depth is not below top depth. ","")&amp;IF($L588="Not confirmed","Bulk-density basis not confirmed with the lab — the coarse-fragment correction may be wrong or doubled. ","")&amp;IF(AND(ISNUMBER($M588),OR($M588&lt;QC_BD_MIN,$M588&gt;QC_BD_MAX)),"Bulk density outside the plausible range for a mineral grassland soil. ","")&amp;IF(AND(ISNUMBER($N588),$N588&gt;QC_CARBON_PCT_MAX),"Organic carbon above the QC ceiling — check units, and whether this is an organic horizon. ","")&amp;IF(AND(ISNUMBER($J588),$J588&lt;QC_RECOVERY_MIN),"Recovered less than the QC minimum of the depth driven — the increments may not sit where you think. Do NOT stretch them back out. ","")&amp;IF(AND(ISNUMBER($K588),$K588&gt;0,$L588="Fine earth / total volume"),"Coarse fragments recorded and the lab basis already accounts for them — no further correction applied, which is correct. ",""))</f>
        <v/>
      </c>
      <c r="T588" s="6" t="n"/>
      <c r="U588" s="9">
        <f>IF($B588="",0,IF(COUNTIFS($B$5:$B588,$B588)=1,1,0))</f>
        <v/>
      </c>
    </row>
    <row r="589">
      <c r="A589" s="6" t="n"/>
      <c r="B589" s="6" t="n"/>
      <c r="C589" s="6" t="n"/>
      <c r="D589" s="6" t="n"/>
      <c r="E589" s="6" t="n"/>
      <c r="F589" s="9">
        <f>IF(OR($D589="",$E589=""),"",$E589-$D589)</f>
        <v/>
      </c>
      <c r="G589" s="6" t="n"/>
      <c r="H589" s="6" t="n"/>
      <c r="I589" s="6" t="n"/>
      <c r="J589" s="9">
        <f>IF(OR(NOT(ISNUMBER($H589)),NOT(ISNUMBER($I589)),$H589=0),"",$I589/$H589)</f>
        <v/>
      </c>
      <c r="K589" s="6" t="n"/>
      <c r="L589" s="8" t="n"/>
      <c r="M589" s="7" t="n"/>
      <c r="N589" s="7" t="n"/>
      <c r="O589" s="9">
        <f>IF(NOT(ISNUMBER($M589)),"",IF($L589="Fine earth / fine-earth volume",$M589*(1-IF(ISNUMBER($K589),$K589,0)/100),$M589))</f>
        <v/>
      </c>
      <c r="P589" s="9">
        <f>IF(OR(NOT(ISNUMBER($O589)),NOT(ISNUMBER($N589)),NOT(ISNUMBER($F589))),"",$O589*($N589/100)*$F589*10)</f>
        <v/>
      </c>
      <c r="Q589" s="9">
        <f>IF(OR(NOT(ISNUMBER($D589)),NOT(ISNUMBER($E589))),"",MAX(0,MIN($E589,SOIL_REPORTING_DEPTH_CM)-MIN($D589,SOIL_REPORTING_DEPTH_CM)))</f>
        <v/>
      </c>
      <c r="R589" s="9">
        <f>IF(OR(NOT(ISNUMBER($O589)),NOT(ISNUMBER($N589)),NOT(ISNUMBER($Q589))),"",$O589*($N589/100)*$Q589*10)</f>
        <v/>
      </c>
      <c r="S589" s="11">
        <f>IF(AND($A589="",$B589="",$D589=""),"",IF(AND($A589&lt;&gt;"",COUNTIF('1. Plot &amp; Site Log'!$A$5:$A$64,$A589)=0),"Plot ID not in the Plot &amp; Site Log. ","")&amp;IF(AND(ISNUMBER($D589),ISNUMBER($E589),$E589&lt;=$D589),"Bottom depth is not below top depth. ","")&amp;IF($L589="Not confirmed","Bulk-density basis not confirmed with the lab — the coarse-fragment correction may be wrong or doubled. ","")&amp;IF(AND(ISNUMBER($M589),OR($M589&lt;QC_BD_MIN,$M589&gt;QC_BD_MAX)),"Bulk density outside the plausible range for a mineral grassland soil. ","")&amp;IF(AND(ISNUMBER($N589),$N589&gt;QC_CARBON_PCT_MAX),"Organic carbon above the QC ceiling — check units, and whether this is an organic horizon. ","")&amp;IF(AND(ISNUMBER($J589),$J589&lt;QC_RECOVERY_MIN),"Recovered less than the QC minimum of the depth driven — the increments may not sit where you think. Do NOT stretch them back out. ","")&amp;IF(AND(ISNUMBER($K589),$K589&gt;0,$L589="Fine earth / total volume"),"Coarse fragments recorded and the lab basis already accounts for them — no further correction applied, which is correct. ",""))</f>
        <v/>
      </c>
      <c r="T589" s="6" t="n"/>
      <c r="U589" s="9">
        <f>IF($B589="",0,IF(COUNTIFS($B$5:$B589,$B589)=1,1,0))</f>
        <v/>
      </c>
    </row>
    <row r="590">
      <c r="A590" s="6" t="n"/>
      <c r="B590" s="6" t="n"/>
      <c r="C590" s="6" t="n"/>
      <c r="D590" s="6" t="n"/>
      <c r="E590" s="6" t="n"/>
      <c r="F590" s="9">
        <f>IF(OR($D590="",$E590=""),"",$E590-$D590)</f>
        <v/>
      </c>
      <c r="G590" s="6" t="n"/>
      <c r="H590" s="6" t="n"/>
      <c r="I590" s="6" t="n"/>
      <c r="J590" s="9">
        <f>IF(OR(NOT(ISNUMBER($H590)),NOT(ISNUMBER($I590)),$H590=0),"",$I590/$H590)</f>
        <v/>
      </c>
      <c r="K590" s="6" t="n"/>
      <c r="L590" s="8" t="n"/>
      <c r="M590" s="7" t="n"/>
      <c r="N590" s="7" t="n"/>
      <c r="O590" s="9">
        <f>IF(NOT(ISNUMBER($M590)),"",IF($L590="Fine earth / fine-earth volume",$M590*(1-IF(ISNUMBER($K590),$K590,0)/100),$M590))</f>
        <v/>
      </c>
      <c r="P590" s="9">
        <f>IF(OR(NOT(ISNUMBER($O590)),NOT(ISNUMBER($N590)),NOT(ISNUMBER($F590))),"",$O590*($N590/100)*$F590*10)</f>
        <v/>
      </c>
      <c r="Q590" s="9">
        <f>IF(OR(NOT(ISNUMBER($D590)),NOT(ISNUMBER($E590))),"",MAX(0,MIN($E590,SOIL_REPORTING_DEPTH_CM)-MIN($D590,SOIL_REPORTING_DEPTH_CM)))</f>
        <v/>
      </c>
      <c r="R590" s="9">
        <f>IF(OR(NOT(ISNUMBER($O590)),NOT(ISNUMBER($N590)),NOT(ISNUMBER($Q590))),"",$O590*($N590/100)*$Q590*10)</f>
        <v/>
      </c>
      <c r="S590" s="11">
        <f>IF(AND($A590="",$B590="",$D590=""),"",IF(AND($A590&lt;&gt;"",COUNTIF('1. Plot &amp; Site Log'!$A$5:$A$64,$A590)=0),"Plot ID not in the Plot &amp; Site Log. ","")&amp;IF(AND(ISNUMBER($D590),ISNUMBER($E590),$E590&lt;=$D590),"Bottom depth is not below top depth. ","")&amp;IF($L590="Not confirmed","Bulk-density basis not confirmed with the lab — the coarse-fragment correction may be wrong or doubled. ","")&amp;IF(AND(ISNUMBER($M590),OR($M590&lt;QC_BD_MIN,$M590&gt;QC_BD_MAX)),"Bulk density outside the plausible range for a mineral grassland soil. ","")&amp;IF(AND(ISNUMBER($N590),$N590&gt;QC_CARBON_PCT_MAX),"Organic carbon above the QC ceiling — check units, and whether this is an organic horizon. ","")&amp;IF(AND(ISNUMBER($J590),$J590&lt;QC_RECOVERY_MIN),"Recovered less than the QC minimum of the depth driven — the increments may not sit where you think. Do NOT stretch them back out. ","")&amp;IF(AND(ISNUMBER($K590),$K590&gt;0,$L590="Fine earth / total volume"),"Coarse fragments recorded and the lab basis already accounts for them — no further correction applied, which is correct. ",""))</f>
        <v/>
      </c>
      <c r="T590" s="6" t="n"/>
      <c r="U590" s="9">
        <f>IF($B590="",0,IF(COUNTIFS($B$5:$B590,$B590)=1,1,0))</f>
        <v/>
      </c>
    </row>
    <row r="591">
      <c r="A591" s="6" t="n"/>
      <c r="B591" s="6" t="n"/>
      <c r="C591" s="6" t="n"/>
      <c r="D591" s="6" t="n"/>
      <c r="E591" s="6" t="n"/>
      <c r="F591" s="9">
        <f>IF(OR($D591="",$E591=""),"",$E591-$D591)</f>
        <v/>
      </c>
      <c r="G591" s="6" t="n"/>
      <c r="H591" s="6" t="n"/>
      <c r="I591" s="6" t="n"/>
      <c r="J591" s="9">
        <f>IF(OR(NOT(ISNUMBER($H591)),NOT(ISNUMBER($I591)),$H591=0),"",$I591/$H591)</f>
        <v/>
      </c>
      <c r="K591" s="6" t="n"/>
      <c r="L591" s="8" t="n"/>
      <c r="M591" s="7" t="n"/>
      <c r="N591" s="7" t="n"/>
      <c r="O591" s="9">
        <f>IF(NOT(ISNUMBER($M591)),"",IF($L591="Fine earth / fine-earth volume",$M591*(1-IF(ISNUMBER($K591),$K591,0)/100),$M591))</f>
        <v/>
      </c>
      <c r="P591" s="9">
        <f>IF(OR(NOT(ISNUMBER($O591)),NOT(ISNUMBER($N591)),NOT(ISNUMBER($F591))),"",$O591*($N591/100)*$F591*10)</f>
        <v/>
      </c>
      <c r="Q591" s="9">
        <f>IF(OR(NOT(ISNUMBER($D591)),NOT(ISNUMBER($E591))),"",MAX(0,MIN($E591,SOIL_REPORTING_DEPTH_CM)-MIN($D591,SOIL_REPORTING_DEPTH_CM)))</f>
        <v/>
      </c>
      <c r="R591" s="9">
        <f>IF(OR(NOT(ISNUMBER($O591)),NOT(ISNUMBER($N591)),NOT(ISNUMBER($Q591))),"",$O591*($N591/100)*$Q591*10)</f>
        <v/>
      </c>
      <c r="S591" s="11">
        <f>IF(AND($A591="",$B591="",$D591=""),"",IF(AND($A591&lt;&gt;"",COUNTIF('1. Plot &amp; Site Log'!$A$5:$A$64,$A591)=0),"Plot ID not in the Plot &amp; Site Log. ","")&amp;IF(AND(ISNUMBER($D591),ISNUMBER($E591),$E591&lt;=$D591),"Bottom depth is not below top depth. ","")&amp;IF($L591="Not confirmed","Bulk-density basis not confirmed with the lab — the coarse-fragment correction may be wrong or doubled. ","")&amp;IF(AND(ISNUMBER($M591),OR($M591&lt;QC_BD_MIN,$M591&gt;QC_BD_MAX)),"Bulk density outside the plausible range for a mineral grassland soil. ","")&amp;IF(AND(ISNUMBER($N591),$N591&gt;QC_CARBON_PCT_MAX),"Organic carbon above the QC ceiling — check units, and whether this is an organic horizon. ","")&amp;IF(AND(ISNUMBER($J591),$J591&lt;QC_RECOVERY_MIN),"Recovered less than the QC minimum of the depth driven — the increments may not sit where you think. Do NOT stretch them back out. ","")&amp;IF(AND(ISNUMBER($K591),$K591&gt;0,$L591="Fine earth / total volume"),"Coarse fragments recorded and the lab basis already accounts for them — no further correction applied, which is correct. ",""))</f>
        <v/>
      </c>
      <c r="T591" s="6" t="n"/>
      <c r="U591" s="9">
        <f>IF($B591="",0,IF(COUNTIFS($B$5:$B591,$B591)=1,1,0))</f>
        <v/>
      </c>
    </row>
    <row r="592">
      <c r="A592" s="6" t="n"/>
      <c r="B592" s="6" t="n"/>
      <c r="C592" s="6" t="n"/>
      <c r="D592" s="6" t="n"/>
      <c r="E592" s="6" t="n"/>
      <c r="F592" s="9">
        <f>IF(OR($D592="",$E592=""),"",$E592-$D592)</f>
        <v/>
      </c>
      <c r="G592" s="6" t="n"/>
      <c r="H592" s="6" t="n"/>
      <c r="I592" s="6" t="n"/>
      <c r="J592" s="9">
        <f>IF(OR(NOT(ISNUMBER($H592)),NOT(ISNUMBER($I592)),$H592=0),"",$I592/$H592)</f>
        <v/>
      </c>
      <c r="K592" s="6" t="n"/>
      <c r="L592" s="8" t="n"/>
      <c r="M592" s="7" t="n"/>
      <c r="N592" s="7" t="n"/>
      <c r="O592" s="9">
        <f>IF(NOT(ISNUMBER($M592)),"",IF($L592="Fine earth / fine-earth volume",$M592*(1-IF(ISNUMBER($K592),$K592,0)/100),$M592))</f>
        <v/>
      </c>
      <c r="P592" s="9">
        <f>IF(OR(NOT(ISNUMBER($O592)),NOT(ISNUMBER($N592)),NOT(ISNUMBER($F592))),"",$O592*($N592/100)*$F592*10)</f>
        <v/>
      </c>
      <c r="Q592" s="9">
        <f>IF(OR(NOT(ISNUMBER($D592)),NOT(ISNUMBER($E592))),"",MAX(0,MIN($E592,SOIL_REPORTING_DEPTH_CM)-MIN($D592,SOIL_REPORTING_DEPTH_CM)))</f>
        <v/>
      </c>
      <c r="R592" s="9">
        <f>IF(OR(NOT(ISNUMBER($O592)),NOT(ISNUMBER($N592)),NOT(ISNUMBER($Q592))),"",$O592*($N592/100)*$Q592*10)</f>
        <v/>
      </c>
      <c r="S592" s="11">
        <f>IF(AND($A592="",$B592="",$D592=""),"",IF(AND($A592&lt;&gt;"",COUNTIF('1. Plot &amp; Site Log'!$A$5:$A$64,$A592)=0),"Plot ID not in the Plot &amp; Site Log. ","")&amp;IF(AND(ISNUMBER($D592),ISNUMBER($E592),$E592&lt;=$D592),"Bottom depth is not below top depth. ","")&amp;IF($L592="Not confirmed","Bulk-density basis not confirmed with the lab — the coarse-fragment correction may be wrong or doubled. ","")&amp;IF(AND(ISNUMBER($M592),OR($M592&lt;QC_BD_MIN,$M592&gt;QC_BD_MAX)),"Bulk density outside the plausible range for a mineral grassland soil. ","")&amp;IF(AND(ISNUMBER($N592),$N592&gt;QC_CARBON_PCT_MAX),"Organic carbon above the QC ceiling — check units, and whether this is an organic horizon. ","")&amp;IF(AND(ISNUMBER($J592),$J592&lt;QC_RECOVERY_MIN),"Recovered less than the QC minimum of the depth driven — the increments may not sit where you think. Do NOT stretch them back out. ","")&amp;IF(AND(ISNUMBER($K592),$K592&gt;0,$L592="Fine earth / total volume"),"Coarse fragments recorded and the lab basis already accounts for them — no further correction applied, which is correct. ",""))</f>
        <v/>
      </c>
      <c r="T592" s="6" t="n"/>
      <c r="U592" s="9">
        <f>IF($B592="",0,IF(COUNTIFS($B$5:$B592,$B592)=1,1,0))</f>
        <v/>
      </c>
    </row>
    <row r="593">
      <c r="A593" s="6" t="n"/>
      <c r="B593" s="6" t="n"/>
      <c r="C593" s="6" t="n"/>
      <c r="D593" s="6" t="n"/>
      <c r="E593" s="6" t="n"/>
      <c r="F593" s="9">
        <f>IF(OR($D593="",$E593=""),"",$E593-$D593)</f>
        <v/>
      </c>
      <c r="G593" s="6" t="n"/>
      <c r="H593" s="6" t="n"/>
      <c r="I593" s="6" t="n"/>
      <c r="J593" s="9">
        <f>IF(OR(NOT(ISNUMBER($H593)),NOT(ISNUMBER($I593)),$H593=0),"",$I593/$H593)</f>
        <v/>
      </c>
      <c r="K593" s="6" t="n"/>
      <c r="L593" s="8" t="n"/>
      <c r="M593" s="7" t="n"/>
      <c r="N593" s="7" t="n"/>
      <c r="O593" s="9">
        <f>IF(NOT(ISNUMBER($M593)),"",IF($L593="Fine earth / fine-earth volume",$M593*(1-IF(ISNUMBER($K593),$K593,0)/100),$M593))</f>
        <v/>
      </c>
      <c r="P593" s="9">
        <f>IF(OR(NOT(ISNUMBER($O593)),NOT(ISNUMBER($N593)),NOT(ISNUMBER($F593))),"",$O593*($N593/100)*$F593*10)</f>
        <v/>
      </c>
      <c r="Q593" s="9">
        <f>IF(OR(NOT(ISNUMBER($D593)),NOT(ISNUMBER($E593))),"",MAX(0,MIN($E593,SOIL_REPORTING_DEPTH_CM)-MIN($D593,SOIL_REPORTING_DEPTH_CM)))</f>
        <v/>
      </c>
      <c r="R593" s="9">
        <f>IF(OR(NOT(ISNUMBER($O593)),NOT(ISNUMBER($N593)),NOT(ISNUMBER($Q593))),"",$O593*($N593/100)*$Q593*10)</f>
        <v/>
      </c>
      <c r="S593" s="11">
        <f>IF(AND($A593="",$B593="",$D593=""),"",IF(AND($A593&lt;&gt;"",COUNTIF('1. Plot &amp; Site Log'!$A$5:$A$64,$A593)=0),"Plot ID not in the Plot &amp; Site Log. ","")&amp;IF(AND(ISNUMBER($D593),ISNUMBER($E593),$E593&lt;=$D593),"Bottom depth is not below top depth. ","")&amp;IF($L593="Not confirmed","Bulk-density basis not confirmed with the lab — the coarse-fragment correction may be wrong or doubled. ","")&amp;IF(AND(ISNUMBER($M593),OR($M593&lt;QC_BD_MIN,$M593&gt;QC_BD_MAX)),"Bulk density outside the plausible range for a mineral grassland soil. ","")&amp;IF(AND(ISNUMBER($N593),$N593&gt;QC_CARBON_PCT_MAX),"Organic carbon above the QC ceiling — check units, and whether this is an organic horizon. ","")&amp;IF(AND(ISNUMBER($J593),$J593&lt;QC_RECOVERY_MIN),"Recovered less than the QC minimum of the depth driven — the increments may not sit where you think. Do NOT stretch them back out. ","")&amp;IF(AND(ISNUMBER($K593),$K593&gt;0,$L593="Fine earth / total volume"),"Coarse fragments recorded and the lab basis already accounts for them — no further correction applied, which is correct. ",""))</f>
        <v/>
      </c>
      <c r="T593" s="6" t="n"/>
      <c r="U593" s="9">
        <f>IF($B593="",0,IF(COUNTIFS($B$5:$B593,$B593)=1,1,0))</f>
        <v/>
      </c>
    </row>
    <row r="594">
      <c r="A594" s="6" t="n"/>
      <c r="B594" s="6" t="n"/>
      <c r="C594" s="6" t="n"/>
      <c r="D594" s="6" t="n"/>
      <c r="E594" s="6" t="n"/>
      <c r="F594" s="9">
        <f>IF(OR($D594="",$E594=""),"",$E594-$D594)</f>
        <v/>
      </c>
      <c r="G594" s="6" t="n"/>
      <c r="H594" s="6" t="n"/>
      <c r="I594" s="6" t="n"/>
      <c r="J594" s="9">
        <f>IF(OR(NOT(ISNUMBER($H594)),NOT(ISNUMBER($I594)),$H594=0),"",$I594/$H594)</f>
        <v/>
      </c>
      <c r="K594" s="6" t="n"/>
      <c r="L594" s="8" t="n"/>
      <c r="M594" s="7" t="n"/>
      <c r="N594" s="7" t="n"/>
      <c r="O594" s="9">
        <f>IF(NOT(ISNUMBER($M594)),"",IF($L594="Fine earth / fine-earth volume",$M594*(1-IF(ISNUMBER($K594),$K594,0)/100),$M594))</f>
        <v/>
      </c>
      <c r="P594" s="9">
        <f>IF(OR(NOT(ISNUMBER($O594)),NOT(ISNUMBER($N594)),NOT(ISNUMBER($F594))),"",$O594*($N594/100)*$F594*10)</f>
        <v/>
      </c>
      <c r="Q594" s="9">
        <f>IF(OR(NOT(ISNUMBER($D594)),NOT(ISNUMBER($E594))),"",MAX(0,MIN($E594,SOIL_REPORTING_DEPTH_CM)-MIN($D594,SOIL_REPORTING_DEPTH_CM)))</f>
        <v/>
      </c>
      <c r="R594" s="9">
        <f>IF(OR(NOT(ISNUMBER($O594)),NOT(ISNUMBER($N594)),NOT(ISNUMBER($Q594))),"",$O594*($N594/100)*$Q594*10)</f>
        <v/>
      </c>
      <c r="S594" s="11">
        <f>IF(AND($A594="",$B594="",$D594=""),"",IF(AND($A594&lt;&gt;"",COUNTIF('1. Plot &amp; Site Log'!$A$5:$A$64,$A594)=0),"Plot ID not in the Plot &amp; Site Log. ","")&amp;IF(AND(ISNUMBER($D594),ISNUMBER($E594),$E594&lt;=$D594),"Bottom depth is not below top depth. ","")&amp;IF($L594="Not confirmed","Bulk-density basis not confirmed with the lab — the coarse-fragment correction may be wrong or doubled. ","")&amp;IF(AND(ISNUMBER($M594),OR($M594&lt;QC_BD_MIN,$M594&gt;QC_BD_MAX)),"Bulk density outside the plausible range for a mineral grassland soil. ","")&amp;IF(AND(ISNUMBER($N594),$N594&gt;QC_CARBON_PCT_MAX),"Organic carbon above the QC ceiling — check units, and whether this is an organic horizon. ","")&amp;IF(AND(ISNUMBER($J594),$J594&lt;QC_RECOVERY_MIN),"Recovered less than the QC minimum of the depth driven — the increments may not sit where you think. Do NOT stretch them back out. ","")&amp;IF(AND(ISNUMBER($K594),$K594&gt;0,$L594="Fine earth / total volume"),"Coarse fragments recorded and the lab basis already accounts for them — no further correction applied, which is correct. ",""))</f>
        <v/>
      </c>
      <c r="T594" s="6" t="n"/>
      <c r="U594" s="9">
        <f>IF($B594="",0,IF(COUNTIFS($B$5:$B594,$B594)=1,1,0))</f>
        <v/>
      </c>
    </row>
    <row r="595">
      <c r="A595" s="6" t="n"/>
      <c r="B595" s="6" t="n"/>
      <c r="C595" s="6" t="n"/>
      <c r="D595" s="6" t="n"/>
      <c r="E595" s="6" t="n"/>
      <c r="F595" s="9">
        <f>IF(OR($D595="",$E595=""),"",$E595-$D595)</f>
        <v/>
      </c>
      <c r="G595" s="6" t="n"/>
      <c r="H595" s="6" t="n"/>
      <c r="I595" s="6" t="n"/>
      <c r="J595" s="9">
        <f>IF(OR(NOT(ISNUMBER($H595)),NOT(ISNUMBER($I595)),$H595=0),"",$I595/$H595)</f>
        <v/>
      </c>
      <c r="K595" s="6" t="n"/>
      <c r="L595" s="8" t="n"/>
      <c r="M595" s="7" t="n"/>
      <c r="N595" s="7" t="n"/>
      <c r="O595" s="9">
        <f>IF(NOT(ISNUMBER($M595)),"",IF($L595="Fine earth / fine-earth volume",$M595*(1-IF(ISNUMBER($K595),$K595,0)/100),$M595))</f>
        <v/>
      </c>
      <c r="P595" s="9">
        <f>IF(OR(NOT(ISNUMBER($O595)),NOT(ISNUMBER($N595)),NOT(ISNUMBER($F595))),"",$O595*($N595/100)*$F595*10)</f>
        <v/>
      </c>
      <c r="Q595" s="9">
        <f>IF(OR(NOT(ISNUMBER($D595)),NOT(ISNUMBER($E595))),"",MAX(0,MIN($E595,SOIL_REPORTING_DEPTH_CM)-MIN($D595,SOIL_REPORTING_DEPTH_CM)))</f>
        <v/>
      </c>
      <c r="R595" s="9">
        <f>IF(OR(NOT(ISNUMBER($O595)),NOT(ISNUMBER($N595)),NOT(ISNUMBER($Q595))),"",$O595*($N595/100)*$Q595*10)</f>
        <v/>
      </c>
      <c r="S595" s="11">
        <f>IF(AND($A595="",$B595="",$D595=""),"",IF(AND($A595&lt;&gt;"",COUNTIF('1. Plot &amp; Site Log'!$A$5:$A$64,$A595)=0),"Plot ID not in the Plot &amp; Site Log. ","")&amp;IF(AND(ISNUMBER($D595),ISNUMBER($E595),$E595&lt;=$D595),"Bottom depth is not below top depth. ","")&amp;IF($L595="Not confirmed","Bulk-density basis not confirmed with the lab — the coarse-fragment correction may be wrong or doubled. ","")&amp;IF(AND(ISNUMBER($M595),OR($M595&lt;QC_BD_MIN,$M595&gt;QC_BD_MAX)),"Bulk density outside the plausible range for a mineral grassland soil. ","")&amp;IF(AND(ISNUMBER($N595),$N595&gt;QC_CARBON_PCT_MAX),"Organic carbon above the QC ceiling — check units, and whether this is an organic horizon. ","")&amp;IF(AND(ISNUMBER($J595),$J595&lt;QC_RECOVERY_MIN),"Recovered less than the QC minimum of the depth driven — the increments may not sit where you think. Do NOT stretch them back out. ","")&amp;IF(AND(ISNUMBER($K595),$K595&gt;0,$L595="Fine earth / total volume"),"Coarse fragments recorded and the lab basis already accounts for them — no further correction applied, which is correct. ",""))</f>
        <v/>
      </c>
      <c r="T595" s="6" t="n"/>
      <c r="U595" s="9">
        <f>IF($B595="",0,IF(COUNTIFS($B$5:$B595,$B595)=1,1,0))</f>
        <v/>
      </c>
    </row>
    <row r="596">
      <c r="A596" s="6" t="n"/>
      <c r="B596" s="6" t="n"/>
      <c r="C596" s="6" t="n"/>
      <c r="D596" s="6" t="n"/>
      <c r="E596" s="6" t="n"/>
      <c r="F596" s="9">
        <f>IF(OR($D596="",$E596=""),"",$E596-$D596)</f>
        <v/>
      </c>
      <c r="G596" s="6" t="n"/>
      <c r="H596" s="6" t="n"/>
      <c r="I596" s="6" t="n"/>
      <c r="J596" s="9">
        <f>IF(OR(NOT(ISNUMBER($H596)),NOT(ISNUMBER($I596)),$H596=0),"",$I596/$H596)</f>
        <v/>
      </c>
      <c r="K596" s="6" t="n"/>
      <c r="L596" s="8" t="n"/>
      <c r="M596" s="7" t="n"/>
      <c r="N596" s="7" t="n"/>
      <c r="O596" s="9">
        <f>IF(NOT(ISNUMBER($M596)),"",IF($L596="Fine earth / fine-earth volume",$M596*(1-IF(ISNUMBER($K596),$K596,0)/100),$M596))</f>
        <v/>
      </c>
      <c r="P596" s="9">
        <f>IF(OR(NOT(ISNUMBER($O596)),NOT(ISNUMBER($N596)),NOT(ISNUMBER($F596))),"",$O596*($N596/100)*$F596*10)</f>
        <v/>
      </c>
      <c r="Q596" s="9">
        <f>IF(OR(NOT(ISNUMBER($D596)),NOT(ISNUMBER($E596))),"",MAX(0,MIN($E596,SOIL_REPORTING_DEPTH_CM)-MIN($D596,SOIL_REPORTING_DEPTH_CM)))</f>
        <v/>
      </c>
      <c r="R596" s="9">
        <f>IF(OR(NOT(ISNUMBER($O596)),NOT(ISNUMBER($N596)),NOT(ISNUMBER($Q596))),"",$O596*($N596/100)*$Q596*10)</f>
        <v/>
      </c>
      <c r="S596" s="11">
        <f>IF(AND($A596="",$B596="",$D596=""),"",IF(AND($A596&lt;&gt;"",COUNTIF('1. Plot &amp; Site Log'!$A$5:$A$64,$A596)=0),"Plot ID not in the Plot &amp; Site Log. ","")&amp;IF(AND(ISNUMBER($D596),ISNUMBER($E596),$E596&lt;=$D596),"Bottom depth is not below top depth. ","")&amp;IF($L596="Not confirmed","Bulk-density basis not confirmed with the lab — the coarse-fragment correction may be wrong or doubled. ","")&amp;IF(AND(ISNUMBER($M596),OR($M596&lt;QC_BD_MIN,$M596&gt;QC_BD_MAX)),"Bulk density outside the plausible range for a mineral grassland soil. ","")&amp;IF(AND(ISNUMBER($N596),$N596&gt;QC_CARBON_PCT_MAX),"Organic carbon above the QC ceiling — check units, and whether this is an organic horizon. ","")&amp;IF(AND(ISNUMBER($J596),$J596&lt;QC_RECOVERY_MIN),"Recovered less than the QC minimum of the depth driven — the increments may not sit where you think. Do NOT stretch them back out. ","")&amp;IF(AND(ISNUMBER($K596),$K596&gt;0,$L596="Fine earth / total volume"),"Coarse fragments recorded and the lab basis already accounts for them — no further correction applied, which is correct. ",""))</f>
        <v/>
      </c>
      <c r="T596" s="6" t="n"/>
      <c r="U596" s="9">
        <f>IF($B596="",0,IF(COUNTIFS($B$5:$B596,$B596)=1,1,0))</f>
        <v/>
      </c>
    </row>
    <row r="597">
      <c r="A597" s="6" t="n"/>
      <c r="B597" s="6" t="n"/>
      <c r="C597" s="6" t="n"/>
      <c r="D597" s="6" t="n"/>
      <c r="E597" s="6" t="n"/>
      <c r="F597" s="9">
        <f>IF(OR($D597="",$E597=""),"",$E597-$D597)</f>
        <v/>
      </c>
      <c r="G597" s="6" t="n"/>
      <c r="H597" s="6" t="n"/>
      <c r="I597" s="6" t="n"/>
      <c r="J597" s="9">
        <f>IF(OR(NOT(ISNUMBER($H597)),NOT(ISNUMBER($I597)),$H597=0),"",$I597/$H597)</f>
        <v/>
      </c>
      <c r="K597" s="6" t="n"/>
      <c r="L597" s="8" t="n"/>
      <c r="M597" s="7" t="n"/>
      <c r="N597" s="7" t="n"/>
      <c r="O597" s="9">
        <f>IF(NOT(ISNUMBER($M597)),"",IF($L597="Fine earth / fine-earth volume",$M597*(1-IF(ISNUMBER($K597),$K597,0)/100),$M597))</f>
        <v/>
      </c>
      <c r="P597" s="9">
        <f>IF(OR(NOT(ISNUMBER($O597)),NOT(ISNUMBER($N597)),NOT(ISNUMBER($F597))),"",$O597*($N597/100)*$F597*10)</f>
        <v/>
      </c>
      <c r="Q597" s="9">
        <f>IF(OR(NOT(ISNUMBER($D597)),NOT(ISNUMBER($E597))),"",MAX(0,MIN($E597,SOIL_REPORTING_DEPTH_CM)-MIN($D597,SOIL_REPORTING_DEPTH_CM)))</f>
        <v/>
      </c>
      <c r="R597" s="9">
        <f>IF(OR(NOT(ISNUMBER($O597)),NOT(ISNUMBER($N597)),NOT(ISNUMBER($Q597))),"",$O597*($N597/100)*$Q597*10)</f>
        <v/>
      </c>
      <c r="S597" s="11">
        <f>IF(AND($A597="",$B597="",$D597=""),"",IF(AND($A597&lt;&gt;"",COUNTIF('1. Plot &amp; Site Log'!$A$5:$A$64,$A597)=0),"Plot ID not in the Plot &amp; Site Log. ","")&amp;IF(AND(ISNUMBER($D597),ISNUMBER($E597),$E597&lt;=$D597),"Bottom depth is not below top depth. ","")&amp;IF($L597="Not confirmed","Bulk-density basis not confirmed with the lab — the coarse-fragment correction may be wrong or doubled. ","")&amp;IF(AND(ISNUMBER($M597),OR($M597&lt;QC_BD_MIN,$M597&gt;QC_BD_MAX)),"Bulk density outside the plausible range for a mineral grassland soil. ","")&amp;IF(AND(ISNUMBER($N597),$N597&gt;QC_CARBON_PCT_MAX),"Organic carbon above the QC ceiling — check units, and whether this is an organic horizon. ","")&amp;IF(AND(ISNUMBER($J597),$J597&lt;QC_RECOVERY_MIN),"Recovered less than the QC minimum of the depth driven — the increments may not sit where you think. Do NOT stretch them back out. ","")&amp;IF(AND(ISNUMBER($K597),$K597&gt;0,$L597="Fine earth / total volume"),"Coarse fragments recorded and the lab basis already accounts for them — no further correction applied, which is correct. ",""))</f>
        <v/>
      </c>
      <c r="T597" s="6" t="n"/>
      <c r="U597" s="9">
        <f>IF($B597="",0,IF(COUNTIFS($B$5:$B597,$B597)=1,1,0))</f>
        <v/>
      </c>
    </row>
    <row r="598">
      <c r="A598" s="6" t="n"/>
      <c r="B598" s="6" t="n"/>
      <c r="C598" s="6" t="n"/>
      <c r="D598" s="6" t="n"/>
      <c r="E598" s="6" t="n"/>
      <c r="F598" s="9">
        <f>IF(OR($D598="",$E598=""),"",$E598-$D598)</f>
        <v/>
      </c>
      <c r="G598" s="6" t="n"/>
      <c r="H598" s="6" t="n"/>
      <c r="I598" s="6" t="n"/>
      <c r="J598" s="9">
        <f>IF(OR(NOT(ISNUMBER($H598)),NOT(ISNUMBER($I598)),$H598=0),"",$I598/$H598)</f>
        <v/>
      </c>
      <c r="K598" s="6" t="n"/>
      <c r="L598" s="8" t="n"/>
      <c r="M598" s="7" t="n"/>
      <c r="N598" s="7" t="n"/>
      <c r="O598" s="9">
        <f>IF(NOT(ISNUMBER($M598)),"",IF($L598="Fine earth / fine-earth volume",$M598*(1-IF(ISNUMBER($K598),$K598,0)/100),$M598))</f>
        <v/>
      </c>
      <c r="P598" s="9">
        <f>IF(OR(NOT(ISNUMBER($O598)),NOT(ISNUMBER($N598)),NOT(ISNUMBER($F598))),"",$O598*($N598/100)*$F598*10)</f>
        <v/>
      </c>
      <c r="Q598" s="9">
        <f>IF(OR(NOT(ISNUMBER($D598)),NOT(ISNUMBER($E598))),"",MAX(0,MIN($E598,SOIL_REPORTING_DEPTH_CM)-MIN($D598,SOIL_REPORTING_DEPTH_CM)))</f>
        <v/>
      </c>
      <c r="R598" s="9">
        <f>IF(OR(NOT(ISNUMBER($O598)),NOT(ISNUMBER($N598)),NOT(ISNUMBER($Q598))),"",$O598*($N598/100)*$Q598*10)</f>
        <v/>
      </c>
      <c r="S598" s="11">
        <f>IF(AND($A598="",$B598="",$D598=""),"",IF(AND($A598&lt;&gt;"",COUNTIF('1. Plot &amp; Site Log'!$A$5:$A$64,$A598)=0),"Plot ID not in the Plot &amp; Site Log. ","")&amp;IF(AND(ISNUMBER($D598),ISNUMBER($E598),$E598&lt;=$D598),"Bottom depth is not below top depth. ","")&amp;IF($L598="Not confirmed","Bulk-density basis not confirmed with the lab — the coarse-fragment correction may be wrong or doubled. ","")&amp;IF(AND(ISNUMBER($M598),OR($M598&lt;QC_BD_MIN,$M598&gt;QC_BD_MAX)),"Bulk density outside the plausible range for a mineral grassland soil. ","")&amp;IF(AND(ISNUMBER($N598),$N598&gt;QC_CARBON_PCT_MAX),"Organic carbon above the QC ceiling — check units, and whether this is an organic horizon. ","")&amp;IF(AND(ISNUMBER($J598),$J598&lt;QC_RECOVERY_MIN),"Recovered less than the QC minimum of the depth driven — the increments may not sit where you think. Do NOT stretch them back out. ","")&amp;IF(AND(ISNUMBER($K598),$K598&gt;0,$L598="Fine earth / total volume"),"Coarse fragments recorded and the lab basis already accounts for them — no further correction applied, which is correct. ",""))</f>
        <v/>
      </c>
      <c r="T598" s="6" t="n"/>
      <c r="U598" s="9">
        <f>IF($B598="",0,IF(COUNTIFS($B$5:$B598,$B598)=1,1,0))</f>
        <v/>
      </c>
    </row>
    <row r="599">
      <c r="A599" s="6" t="n"/>
      <c r="B599" s="6" t="n"/>
      <c r="C599" s="6" t="n"/>
      <c r="D599" s="6" t="n"/>
      <c r="E599" s="6" t="n"/>
      <c r="F599" s="9">
        <f>IF(OR($D599="",$E599=""),"",$E599-$D599)</f>
        <v/>
      </c>
      <c r="G599" s="6" t="n"/>
      <c r="H599" s="6" t="n"/>
      <c r="I599" s="6" t="n"/>
      <c r="J599" s="9">
        <f>IF(OR(NOT(ISNUMBER($H599)),NOT(ISNUMBER($I599)),$H599=0),"",$I599/$H599)</f>
        <v/>
      </c>
      <c r="K599" s="6" t="n"/>
      <c r="L599" s="8" t="n"/>
      <c r="M599" s="7" t="n"/>
      <c r="N599" s="7" t="n"/>
      <c r="O599" s="9">
        <f>IF(NOT(ISNUMBER($M599)),"",IF($L599="Fine earth / fine-earth volume",$M599*(1-IF(ISNUMBER($K599),$K599,0)/100),$M599))</f>
        <v/>
      </c>
      <c r="P599" s="9">
        <f>IF(OR(NOT(ISNUMBER($O599)),NOT(ISNUMBER($N599)),NOT(ISNUMBER($F599))),"",$O599*($N599/100)*$F599*10)</f>
        <v/>
      </c>
      <c r="Q599" s="9">
        <f>IF(OR(NOT(ISNUMBER($D599)),NOT(ISNUMBER($E599))),"",MAX(0,MIN($E599,SOIL_REPORTING_DEPTH_CM)-MIN($D599,SOIL_REPORTING_DEPTH_CM)))</f>
        <v/>
      </c>
      <c r="R599" s="9">
        <f>IF(OR(NOT(ISNUMBER($O599)),NOT(ISNUMBER($N599)),NOT(ISNUMBER($Q599))),"",$O599*($N599/100)*$Q599*10)</f>
        <v/>
      </c>
      <c r="S599" s="11">
        <f>IF(AND($A599="",$B599="",$D599=""),"",IF(AND($A599&lt;&gt;"",COUNTIF('1. Plot &amp; Site Log'!$A$5:$A$64,$A599)=0),"Plot ID not in the Plot &amp; Site Log. ","")&amp;IF(AND(ISNUMBER($D599),ISNUMBER($E599),$E599&lt;=$D599),"Bottom depth is not below top depth. ","")&amp;IF($L599="Not confirmed","Bulk-density basis not confirmed with the lab — the coarse-fragment correction may be wrong or doubled. ","")&amp;IF(AND(ISNUMBER($M599),OR($M599&lt;QC_BD_MIN,$M599&gt;QC_BD_MAX)),"Bulk density outside the plausible range for a mineral grassland soil. ","")&amp;IF(AND(ISNUMBER($N599),$N599&gt;QC_CARBON_PCT_MAX),"Organic carbon above the QC ceiling — check units, and whether this is an organic horizon. ","")&amp;IF(AND(ISNUMBER($J599),$J599&lt;QC_RECOVERY_MIN),"Recovered less than the QC minimum of the depth driven — the increments may not sit where you think. Do NOT stretch them back out. ","")&amp;IF(AND(ISNUMBER($K599),$K599&gt;0,$L599="Fine earth / total volume"),"Coarse fragments recorded and the lab basis already accounts for them — no further correction applied, which is correct. ",""))</f>
        <v/>
      </c>
      <c r="T599" s="6" t="n"/>
      <c r="U599" s="9">
        <f>IF($B599="",0,IF(COUNTIFS($B$5:$B599,$B599)=1,1,0))</f>
        <v/>
      </c>
    </row>
    <row r="600">
      <c r="A600" s="6" t="n"/>
      <c r="B600" s="6" t="n"/>
      <c r="C600" s="6" t="n"/>
      <c r="D600" s="6" t="n"/>
      <c r="E600" s="6" t="n"/>
      <c r="F600" s="9">
        <f>IF(OR($D600="",$E600=""),"",$E600-$D600)</f>
        <v/>
      </c>
      <c r="G600" s="6" t="n"/>
      <c r="H600" s="6" t="n"/>
      <c r="I600" s="6" t="n"/>
      <c r="J600" s="9">
        <f>IF(OR(NOT(ISNUMBER($H600)),NOT(ISNUMBER($I600)),$H600=0),"",$I600/$H600)</f>
        <v/>
      </c>
      <c r="K600" s="6" t="n"/>
      <c r="L600" s="8" t="n"/>
      <c r="M600" s="7" t="n"/>
      <c r="N600" s="7" t="n"/>
      <c r="O600" s="9">
        <f>IF(NOT(ISNUMBER($M600)),"",IF($L600="Fine earth / fine-earth volume",$M600*(1-IF(ISNUMBER($K600),$K600,0)/100),$M600))</f>
        <v/>
      </c>
      <c r="P600" s="9">
        <f>IF(OR(NOT(ISNUMBER($O600)),NOT(ISNUMBER($N600)),NOT(ISNUMBER($F600))),"",$O600*($N600/100)*$F600*10)</f>
        <v/>
      </c>
      <c r="Q600" s="9">
        <f>IF(OR(NOT(ISNUMBER($D600)),NOT(ISNUMBER($E600))),"",MAX(0,MIN($E600,SOIL_REPORTING_DEPTH_CM)-MIN($D600,SOIL_REPORTING_DEPTH_CM)))</f>
        <v/>
      </c>
      <c r="R600" s="9">
        <f>IF(OR(NOT(ISNUMBER($O600)),NOT(ISNUMBER($N600)),NOT(ISNUMBER($Q600))),"",$O600*($N600/100)*$Q600*10)</f>
        <v/>
      </c>
      <c r="S600" s="11">
        <f>IF(AND($A600="",$B600="",$D600=""),"",IF(AND($A600&lt;&gt;"",COUNTIF('1. Plot &amp; Site Log'!$A$5:$A$64,$A600)=0),"Plot ID not in the Plot &amp; Site Log. ","")&amp;IF(AND(ISNUMBER($D600),ISNUMBER($E600),$E600&lt;=$D600),"Bottom depth is not below top depth. ","")&amp;IF($L600="Not confirmed","Bulk-density basis not confirmed with the lab — the coarse-fragment correction may be wrong or doubled. ","")&amp;IF(AND(ISNUMBER($M600),OR($M600&lt;QC_BD_MIN,$M600&gt;QC_BD_MAX)),"Bulk density outside the plausible range for a mineral grassland soil. ","")&amp;IF(AND(ISNUMBER($N600),$N600&gt;QC_CARBON_PCT_MAX),"Organic carbon above the QC ceiling — check units, and whether this is an organic horizon. ","")&amp;IF(AND(ISNUMBER($J600),$J600&lt;QC_RECOVERY_MIN),"Recovered less than the QC minimum of the depth driven — the increments may not sit where you think. Do NOT stretch them back out. ","")&amp;IF(AND(ISNUMBER($K600),$K600&gt;0,$L600="Fine earth / total volume"),"Coarse fragments recorded and the lab basis already accounts for them — no further correction applied, which is correct. ",""))</f>
        <v/>
      </c>
      <c r="T600" s="6" t="n"/>
      <c r="U600" s="9">
        <f>IF($B600="",0,IF(COUNTIFS($B$5:$B600,$B600)=1,1,0))</f>
        <v/>
      </c>
    </row>
    <row r="601">
      <c r="A601" s="6" t="n"/>
      <c r="B601" s="6" t="n"/>
      <c r="C601" s="6" t="n"/>
      <c r="D601" s="6" t="n"/>
      <c r="E601" s="6" t="n"/>
      <c r="F601" s="9">
        <f>IF(OR($D601="",$E601=""),"",$E601-$D601)</f>
        <v/>
      </c>
      <c r="G601" s="6" t="n"/>
      <c r="H601" s="6" t="n"/>
      <c r="I601" s="6" t="n"/>
      <c r="J601" s="9">
        <f>IF(OR(NOT(ISNUMBER($H601)),NOT(ISNUMBER($I601)),$H601=0),"",$I601/$H601)</f>
        <v/>
      </c>
      <c r="K601" s="6" t="n"/>
      <c r="L601" s="8" t="n"/>
      <c r="M601" s="7" t="n"/>
      <c r="N601" s="7" t="n"/>
      <c r="O601" s="9">
        <f>IF(NOT(ISNUMBER($M601)),"",IF($L601="Fine earth / fine-earth volume",$M601*(1-IF(ISNUMBER($K601),$K601,0)/100),$M601))</f>
        <v/>
      </c>
      <c r="P601" s="9">
        <f>IF(OR(NOT(ISNUMBER($O601)),NOT(ISNUMBER($N601)),NOT(ISNUMBER($F601))),"",$O601*($N601/100)*$F601*10)</f>
        <v/>
      </c>
      <c r="Q601" s="9">
        <f>IF(OR(NOT(ISNUMBER($D601)),NOT(ISNUMBER($E601))),"",MAX(0,MIN($E601,SOIL_REPORTING_DEPTH_CM)-MIN($D601,SOIL_REPORTING_DEPTH_CM)))</f>
        <v/>
      </c>
      <c r="R601" s="9">
        <f>IF(OR(NOT(ISNUMBER($O601)),NOT(ISNUMBER($N601)),NOT(ISNUMBER($Q601))),"",$O601*($N601/100)*$Q601*10)</f>
        <v/>
      </c>
      <c r="S601" s="11">
        <f>IF(AND($A601="",$B601="",$D601=""),"",IF(AND($A601&lt;&gt;"",COUNTIF('1. Plot &amp; Site Log'!$A$5:$A$64,$A601)=0),"Plot ID not in the Plot &amp; Site Log. ","")&amp;IF(AND(ISNUMBER($D601),ISNUMBER($E601),$E601&lt;=$D601),"Bottom depth is not below top depth. ","")&amp;IF($L601="Not confirmed","Bulk-density basis not confirmed with the lab — the coarse-fragment correction may be wrong or doubled. ","")&amp;IF(AND(ISNUMBER($M601),OR($M601&lt;QC_BD_MIN,$M601&gt;QC_BD_MAX)),"Bulk density outside the plausible range for a mineral grassland soil. ","")&amp;IF(AND(ISNUMBER($N601),$N601&gt;QC_CARBON_PCT_MAX),"Organic carbon above the QC ceiling — check units, and whether this is an organic horizon. ","")&amp;IF(AND(ISNUMBER($J601),$J601&lt;QC_RECOVERY_MIN),"Recovered less than the QC minimum of the depth driven — the increments may not sit where you think. Do NOT stretch them back out. ","")&amp;IF(AND(ISNUMBER($K601),$K601&gt;0,$L601="Fine earth / total volume"),"Coarse fragments recorded and the lab basis already accounts for them — no further correction applied, which is correct. ",""))</f>
        <v/>
      </c>
      <c r="T601" s="6" t="n"/>
      <c r="U601" s="9">
        <f>IF($B601="",0,IF(COUNTIFS($B$5:$B601,$B601)=1,1,0))</f>
        <v/>
      </c>
    </row>
    <row r="602">
      <c r="A602" s="6" t="n"/>
      <c r="B602" s="6" t="n"/>
      <c r="C602" s="6" t="n"/>
      <c r="D602" s="6" t="n"/>
      <c r="E602" s="6" t="n"/>
      <c r="F602" s="9">
        <f>IF(OR($D602="",$E602=""),"",$E602-$D602)</f>
        <v/>
      </c>
      <c r="G602" s="6" t="n"/>
      <c r="H602" s="6" t="n"/>
      <c r="I602" s="6" t="n"/>
      <c r="J602" s="9">
        <f>IF(OR(NOT(ISNUMBER($H602)),NOT(ISNUMBER($I602)),$H602=0),"",$I602/$H602)</f>
        <v/>
      </c>
      <c r="K602" s="6" t="n"/>
      <c r="L602" s="8" t="n"/>
      <c r="M602" s="7" t="n"/>
      <c r="N602" s="7" t="n"/>
      <c r="O602" s="9">
        <f>IF(NOT(ISNUMBER($M602)),"",IF($L602="Fine earth / fine-earth volume",$M602*(1-IF(ISNUMBER($K602),$K602,0)/100),$M602))</f>
        <v/>
      </c>
      <c r="P602" s="9">
        <f>IF(OR(NOT(ISNUMBER($O602)),NOT(ISNUMBER($N602)),NOT(ISNUMBER($F602))),"",$O602*($N602/100)*$F602*10)</f>
        <v/>
      </c>
      <c r="Q602" s="9">
        <f>IF(OR(NOT(ISNUMBER($D602)),NOT(ISNUMBER($E602))),"",MAX(0,MIN($E602,SOIL_REPORTING_DEPTH_CM)-MIN($D602,SOIL_REPORTING_DEPTH_CM)))</f>
        <v/>
      </c>
      <c r="R602" s="9">
        <f>IF(OR(NOT(ISNUMBER($O602)),NOT(ISNUMBER($N602)),NOT(ISNUMBER($Q602))),"",$O602*($N602/100)*$Q602*10)</f>
        <v/>
      </c>
      <c r="S602" s="11">
        <f>IF(AND($A602="",$B602="",$D602=""),"",IF(AND($A602&lt;&gt;"",COUNTIF('1. Plot &amp; Site Log'!$A$5:$A$64,$A602)=0),"Plot ID not in the Plot &amp; Site Log. ","")&amp;IF(AND(ISNUMBER($D602),ISNUMBER($E602),$E602&lt;=$D602),"Bottom depth is not below top depth. ","")&amp;IF($L602="Not confirmed","Bulk-density basis not confirmed with the lab — the coarse-fragment correction may be wrong or doubled. ","")&amp;IF(AND(ISNUMBER($M602),OR($M602&lt;QC_BD_MIN,$M602&gt;QC_BD_MAX)),"Bulk density outside the plausible range for a mineral grassland soil. ","")&amp;IF(AND(ISNUMBER($N602),$N602&gt;QC_CARBON_PCT_MAX),"Organic carbon above the QC ceiling — check units, and whether this is an organic horizon. ","")&amp;IF(AND(ISNUMBER($J602),$J602&lt;QC_RECOVERY_MIN),"Recovered less than the QC minimum of the depth driven — the increments may not sit where you think. Do NOT stretch them back out. ","")&amp;IF(AND(ISNUMBER($K602),$K602&gt;0,$L602="Fine earth / total volume"),"Coarse fragments recorded and the lab basis already accounts for them — no further correction applied, which is correct. ",""))</f>
        <v/>
      </c>
      <c r="T602" s="6" t="n"/>
      <c r="U602" s="9">
        <f>IF($B602="",0,IF(COUNTIFS($B$5:$B602,$B602)=1,1,0))</f>
        <v/>
      </c>
    </row>
    <row r="603">
      <c r="A603" s="6" t="n"/>
      <c r="B603" s="6" t="n"/>
      <c r="C603" s="6" t="n"/>
      <c r="D603" s="6" t="n"/>
      <c r="E603" s="6" t="n"/>
      <c r="F603" s="9">
        <f>IF(OR($D603="",$E603=""),"",$E603-$D603)</f>
        <v/>
      </c>
      <c r="G603" s="6" t="n"/>
      <c r="H603" s="6" t="n"/>
      <c r="I603" s="6" t="n"/>
      <c r="J603" s="9">
        <f>IF(OR(NOT(ISNUMBER($H603)),NOT(ISNUMBER($I603)),$H603=0),"",$I603/$H603)</f>
        <v/>
      </c>
      <c r="K603" s="6" t="n"/>
      <c r="L603" s="8" t="n"/>
      <c r="M603" s="7" t="n"/>
      <c r="N603" s="7" t="n"/>
      <c r="O603" s="9">
        <f>IF(NOT(ISNUMBER($M603)),"",IF($L603="Fine earth / fine-earth volume",$M603*(1-IF(ISNUMBER($K603),$K603,0)/100),$M603))</f>
        <v/>
      </c>
      <c r="P603" s="9">
        <f>IF(OR(NOT(ISNUMBER($O603)),NOT(ISNUMBER($N603)),NOT(ISNUMBER($F603))),"",$O603*($N603/100)*$F603*10)</f>
        <v/>
      </c>
      <c r="Q603" s="9">
        <f>IF(OR(NOT(ISNUMBER($D603)),NOT(ISNUMBER($E603))),"",MAX(0,MIN($E603,SOIL_REPORTING_DEPTH_CM)-MIN($D603,SOIL_REPORTING_DEPTH_CM)))</f>
        <v/>
      </c>
      <c r="R603" s="9">
        <f>IF(OR(NOT(ISNUMBER($O603)),NOT(ISNUMBER($N603)),NOT(ISNUMBER($Q603))),"",$O603*($N603/100)*$Q603*10)</f>
        <v/>
      </c>
      <c r="S603" s="11">
        <f>IF(AND($A603="",$B603="",$D603=""),"",IF(AND($A603&lt;&gt;"",COUNTIF('1. Plot &amp; Site Log'!$A$5:$A$64,$A603)=0),"Plot ID not in the Plot &amp; Site Log. ","")&amp;IF(AND(ISNUMBER($D603),ISNUMBER($E603),$E603&lt;=$D603),"Bottom depth is not below top depth. ","")&amp;IF($L603="Not confirmed","Bulk-density basis not confirmed with the lab — the coarse-fragment correction may be wrong or doubled. ","")&amp;IF(AND(ISNUMBER($M603),OR($M603&lt;QC_BD_MIN,$M603&gt;QC_BD_MAX)),"Bulk density outside the plausible range for a mineral grassland soil. ","")&amp;IF(AND(ISNUMBER($N603),$N603&gt;QC_CARBON_PCT_MAX),"Organic carbon above the QC ceiling — check units, and whether this is an organic horizon. ","")&amp;IF(AND(ISNUMBER($J603),$J603&lt;QC_RECOVERY_MIN),"Recovered less than the QC minimum of the depth driven — the increments may not sit where you think. Do NOT stretch them back out. ","")&amp;IF(AND(ISNUMBER($K603),$K603&gt;0,$L603="Fine earth / total volume"),"Coarse fragments recorded and the lab basis already accounts for them — no further correction applied, which is correct. ",""))</f>
        <v/>
      </c>
      <c r="T603" s="6" t="n"/>
      <c r="U603" s="9">
        <f>IF($B603="",0,IF(COUNTIFS($B$5:$B603,$B603)=1,1,0))</f>
        <v/>
      </c>
    </row>
    <row r="604">
      <c r="A604" s="6" t="n"/>
      <c r="B604" s="6" t="n"/>
      <c r="C604" s="6" t="n"/>
      <c r="D604" s="6" t="n"/>
      <c r="E604" s="6" t="n"/>
      <c r="F604" s="9">
        <f>IF(OR($D604="",$E604=""),"",$E604-$D604)</f>
        <v/>
      </c>
      <c r="G604" s="6" t="n"/>
      <c r="H604" s="6" t="n"/>
      <c r="I604" s="6" t="n"/>
      <c r="J604" s="9">
        <f>IF(OR(NOT(ISNUMBER($H604)),NOT(ISNUMBER($I604)),$H604=0),"",$I604/$H604)</f>
        <v/>
      </c>
      <c r="K604" s="6" t="n"/>
      <c r="L604" s="8" t="n"/>
      <c r="M604" s="7" t="n"/>
      <c r="N604" s="7" t="n"/>
      <c r="O604" s="9">
        <f>IF(NOT(ISNUMBER($M604)),"",IF($L604="Fine earth / fine-earth volume",$M604*(1-IF(ISNUMBER($K604),$K604,0)/100),$M604))</f>
        <v/>
      </c>
      <c r="P604" s="9">
        <f>IF(OR(NOT(ISNUMBER($O604)),NOT(ISNUMBER($N604)),NOT(ISNUMBER($F604))),"",$O604*($N604/100)*$F604*10)</f>
        <v/>
      </c>
      <c r="Q604" s="9">
        <f>IF(OR(NOT(ISNUMBER($D604)),NOT(ISNUMBER($E604))),"",MAX(0,MIN($E604,SOIL_REPORTING_DEPTH_CM)-MIN($D604,SOIL_REPORTING_DEPTH_CM)))</f>
        <v/>
      </c>
      <c r="R604" s="9">
        <f>IF(OR(NOT(ISNUMBER($O604)),NOT(ISNUMBER($N604)),NOT(ISNUMBER($Q604))),"",$O604*($N604/100)*$Q604*10)</f>
        <v/>
      </c>
      <c r="S604" s="11">
        <f>IF(AND($A604="",$B604="",$D604=""),"",IF(AND($A604&lt;&gt;"",COUNTIF('1. Plot &amp; Site Log'!$A$5:$A$64,$A604)=0),"Plot ID not in the Plot &amp; Site Log. ","")&amp;IF(AND(ISNUMBER($D604),ISNUMBER($E604),$E604&lt;=$D604),"Bottom depth is not below top depth. ","")&amp;IF($L604="Not confirmed","Bulk-density basis not confirmed with the lab — the coarse-fragment correction may be wrong or doubled. ","")&amp;IF(AND(ISNUMBER($M604),OR($M604&lt;QC_BD_MIN,$M604&gt;QC_BD_MAX)),"Bulk density outside the plausible range for a mineral grassland soil. ","")&amp;IF(AND(ISNUMBER($N604),$N604&gt;QC_CARBON_PCT_MAX),"Organic carbon above the QC ceiling — check units, and whether this is an organic horizon. ","")&amp;IF(AND(ISNUMBER($J604),$J604&lt;QC_RECOVERY_MIN),"Recovered less than the QC minimum of the depth driven — the increments may not sit where you think. Do NOT stretch them back out. ","")&amp;IF(AND(ISNUMBER($K604),$K604&gt;0,$L604="Fine earth / total volume"),"Coarse fragments recorded and the lab basis already accounts for them — no further correction applied, which is correct. ",""))</f>
        <v/>
      </c>
      <c r="T604" s="6" t="n"/>
      <c r="U604" s="9">
        <f>IF($B604="",0,IF(COUNTIFS($B$5:$B604,$B604)=1,1,0))</f>
        <v/>
      </c>
    </row>
  </sheetData>
  <mergeCells count="2">
    <mergeCell ref="A1:U1"/>
    <mergeCell ref="A2:U2"/>
  </mergeCells>
  <dataValidations count="1">
    <dataValidation sqref="L5:L604" showDropDown="0" showInputMessage="0" showErrorMessage="0" allowBlank="1" type="list">
      <formula1>"Fine earth / total volume,Fine earth / fine-earth volume,Not confirmed"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4"/>
  <sheetViews>
    <sheetView workbookViewId="0">
      <pane ySplit="4" topLeftCell="A5" activePane="bottomLeft" state="frozen"/>
      <selection pane="bottomLeft" activeCell="A1" sqref="A1"/>
    </sheetView>
  </sheetViews>
  <sheetFormatPr baseColWidth="8" defaultRowHeight="15"/>
  <cols>
    <col width="12" customWidth="1" min="1" max="1"/>
    <col width="12" customWidth="1" min="2" max="2"/>
    <col width="11" customWidth="1" min="3" max="3"/>
    <col width="12" customWidth="1" min="4" max="4"/>
    <col width="16" customWidth="1" min="5" max="5"/>
    <col width="12" customWidth="1" min="6" max="6"/>
    <col width="13" customWidth="1" min="7" max="7"/>
    <col width="13" customWidth="1" min="8" max="8"/>
    <col width="12" customWidth="1" min="9" max="9"/>
    <col width="13" customWidth="1" min="10" max="10"/>
    <col width="12" customWidth="1" min="11" max="11"/>
    <col width="12" customWidth="1" min="12" max="12"/>
    <col width="13" customWidth="1" min="13" max="13"/>
    <col width="14" customWidth="1" min="14" max="14"/>
    <col width="46" customWidth="1" min="15" max="15"/>
    <col width="30" customWidth="1" min="16" max="16"/>
    <col width="8" customWidth="1" min="17" max="17"/>
  </cols>
  <sheetData>
    <row r="1">
      <c r="A1" s="1" t="inlineStr">
        <is>
          <t>ROOT BIOMASS</t>
        </is>
      </c>
    </row>
    <row r="2" ht="32" customHeight="1">
      <c r="A2" s="2" t="inlineStr">
        <is>
          <t>ONE ROW PER INCREMENT PER DIAMETER CLASS PER LIVE/DEAD STATE. This is MEASURED root mass, not a root:shoot ratio. Mass is oven-dry at 60–70 °C — not the 105 °C used for soil bulk density. Ash fraction corrects for mineral soil still clinging to the roots after washing; without it root mass is systematically too high.</t>
        </is>
      </c>
    </row>
    <row r="4" ht="46" customHeight="1">
      <c r="A4" s="14" t="inlineStr">
        <is>
          <t>Plot ID</t>
        </is>
      </c>
      <c r="B4" s="14" t="inlineStr">
        <is>
          <t>Core ID</t>
        </is>
      </c>
      <c r="C4" s="14" t="inlineStr">
        <is>
          <t>Top depth (cm)</t>
        </is>
      </c>
      <c r="D4" s="14" t="inlineStr">
        <is>
          <t>Bottom depth (cm)</t>
        </is>
      </c>
      <c r="E4" s="14" t="inlineStr">
        <is>
          <t>Diameter class</t>
        </is>
      </c>
      <c r="F4" s="14" t="inlineStr">
        <is>
          <t>Live or dead</t>
        </is>
      </c>
      <c r="G4" s="14" t="inlineStr">
        <is>
          <t>Oven-dry mass (g)</t>
        </is>
      </c>
      <c r="H4" s="14" t="inlineStr">
        <is>
          <t>Ash fraction (0–1)</t>
        </is>
      </c>
      <c r="I4" s="14" t="inlineStr">
        <is>
          <t>Sieve mesh (mm)</t>
        </is>
      </c>
      <c r="J4" s="14" t="inlineStr">
        <is>
          <t>Corrected mass (g)</t>
        </is>
      </c>
      <c r="K4" s="14" t="inlineStr">
        <is>
          <t>Corer internal diameter (cm)</t>
        </is>
      </c>
      <c r="L4" s="14" t="inlineStr">
        <is>
          <t>Core area (cm²)</t>
        </is>
      </c>
      <c r="M4" s="14" t="inlineStr">
        <is>
          <t>Root mass (g/m²)</t>
        </is>
      </c>
      <c r="N4" s="14" t="inlineStr">
        <is>
          <t>Root carbon (kg C/m²)</t>
        </is>
      </c>
      <c r="O4" s="14" t="inlineStr">
        <is>
          <t>QC flags</t>
        </is>
      </c>
      <c r="P4" s="14" t="inlineStr">
        <is>
          <t>Notes</t>
        </is>
      </c>
      <c r="Q4" s="14" t="inlineStr">
        <is>
          <t>_first_of_core</t>
        </is>
      </c>
    </row>
    <row r="5">
      <c r="A5" s="6" t="n"/>
      <c r="B5" s="6" t="n"/>
      <c r="C5" s="6" t="n"/>
      <c r="D5" s="6" t="n"/>
      <c r="E5" s="6" t="n"/>
      <c r="F5" s="6" t="n"/>
      <c r="G5" s="7" t="n"/>
      <c r="H5" s="7" t="n"/>
      <c r="I5" s="6" t="n"/>
      <c r="J5" s="9">
        <f>IF(NOT(ISNUMBER($G5)),"",IF(AND(ASH_CORRECTED="Yes",ISNUMBER($H5)),$G5*(1-$H5),$G5))</f>
        <v/>
      </c>
      <c r="K5" s="9">
        <f>IF($B5="","",IFERROR(AVERAGEIFS('2. Soil Data'!$G$5:$G$604,'2. Soil Data'!$B$5:$B$604,$B5),""))</f>
        <v/>
      </c>
      <c r="L5" s="9">
        <f>IF(NOT(ISNUMBER($K5)),"",PI()*($K5/2)^2)</f>
        <v/>
      </c>
      <c r="M5" s="9">
        <f>IF(OR(NOT(ISNUMBER($J5)),NOT(ISNUMBER($L5)),$L5=0),"",$J5/$L5*10000)</f>
        <v/>
      </c>
      <c r="N5" s="9">
        <f>IF(NOT(ISNUMBER($M5)),"",$M5*CARBON_FRACTION_ROOT/1000)</f>
        <v/>
      </c>
      <c r="O5" s="11">
        <f>IF(AND($A5="",$B5="",$G5=""),"",IF(AND($B5&lt;&gt;"",COUNTIFS('2. Soil Data'!$B$5:$B$604,$B5)=0),"Core ID not found in Soil Data, so the corer diameter cannot be looked up. ","")&amp;IF(ASH_CORRECTED&lt;&gt;"Yes","Root mass is NOT ash-corrected, so it includes adhering mineral soil and is too high. Set ASH_CORRECTED once you have done it. ","")&amp;IF(AND(ASH_CORRECTED="Yes",NOT(ISNUMBER($H5))),"Ash correction is switched on but no ash fraction is given for this row. ","")&amp;IF($I5="","Sieve mesh not recorded — a fine-root figure cannot be interpreted without it. ","")&amp;IF(AND(ISNUMBER($H5),$H5&gt;0.5),"Ash fraction above 0.5 — over half this sample was mineral soil. Re-wash. ","")&amp;IF($F5="Not separated","Live and dead not separated. Fine for a stock, but "&amp;"note it in reporting. ",""))</f>
        <v/>
      </c>
      <c r="P5" s="6" t="n"/>
      <c r="Q5" s="9">
        <f>IF($B5="",0,IF(COUNTIFS($B$5:$B5,$B5)=1,1,0))</f>
        <v/>
      </c>
    </row>
    <row r="6">
      <c r="A6" s="6" t="n"/>
      <c r="B6" s="6" t="n"/>
      <c r="C6" s="6" t="n"/>
      <c r="D6" s="6" t="n"/>
      <c r="E6" s="6" t="n"/>
      <c r="F6" s="6" t="n"/>
      <c r="G6" s="7" t="n"/>
      <c r="H6" s="7" t="n"/>
      <c r="I6" s="6" t="n"/>
      <c r="J6" s="9">
        <f>IF(NOT(ISNUMBER($G6)),"",IF(AND(ASH_CORRECTED="Yes",ISNUMBER($H6)),$G6*(1-$H6),$G6))</f>
        <v/>
      </c>
      <c r="K6" s="9">
        <f>IF($B6="","",IFERROR(AVERAGEIFS('2. Soil Data'!$G$5:$G$604,'2. Soil Data'!$B$5:$B$604,$B6),""))</f>
        <v/>
      </c>
      <c r="L6" s="9">
        <f>IF(NOT(ISNUMBER($K6)),"",PI()*($K6/2)^2)</f>
        <v/>
      </c>
      <c r="M6" s="9">
        <f>IF(OR(NOT(ISNUMBER($J6)),NOT(ISNUMBER($L6)),$L6=0),"",$J6/$L6*10000)</f>
        <v/>
      </c>
      <c r="N6" s="9">
        <f>IF(NOT(ISNUMBER($M6)),"",$M6*CARBON_FRACTION_ROOT/1000)</f>
        <v/>
      </c>
      <c r="O6" s="11">
        <f>IF(AND($A6="",$B6="",$G6=""),"",IF(AND($B6&lt;&gt;"",COUNTIFS('2. Soil Data'!$B$5:$B$604,$B6)=0),"Core ID not found in Soil Data, so the corer diameter cannot be looked up. ","")&amp;IF(ASH_CORRECTED&lt;&gt;"Yes","Root mass is NOT ash-corrected, so it includes adhering mineral soil and is too high. Set ASH_CORRECTED once you have done it. ","")&amp;IF(AND(ASH_CORRECTED="Yes",NOT(ISNUMBER($H6))),"Ash correction is switched on but no ash fraction is given for this row. ","")&amp;IF($I6="","Sieve mesh not recorded — a fine-root figure cannot be interpreted without it. ","")&amp;IF(AND(ISNUMBER($H6),$H6&gt;0.5),"Ash fraction above 0.5 — over half this sample was mineral soil. Re-wash. ","")&amp;IF($F6="Not separated","Live and dead not separated. Fine for a stock, but "&amp;"note it in reporting. ",""))</f>
        <v/>
      </c>
      <c r="P6" s="6" t="n"/>
      <c r="Q6" s="9">
        <f>IF($B6="",0,IF(COUNTIFS($B$5:$B6,$B6)=1,1,0))</f>
        <v/>
      </c>
    </row>
    <row r="7">
      <c r="A7" s="6" t="n"/>
      <c r="B7" s="6" t="n"/>
      <c r="C7" s="6" t="n"/>
      <c r="D7" s="6" t="n"/>
      <c r="E7" s="6" t="n"/>
      <c r="F7" s="6" t="n"/>
      <c r="G7" s="7" t="n"/>
      <c r="H7" s="7" t="n"/>
      <c r="I7" s="6" t="n"/>
      <c r="J7" s="9">
        <f>IF(NOT(ISNUMBER($G7)),"",IF(AND(ASH_CORRECTED="Yes",ISNUMBER($H7)),$G7*(1-$H7),$G7))</f>
        <v/>
      </c>
      <c r="K7" s="9">
        <f>IF($B7="","",IFERROR(AVERAGEIFS('2. Soil Data'!$G$5:$G$604,'2. Soil Data'!$B$5:$B$604,$B7),""))</f>
        <v/>
      </c>
      <c r="L7" s="9">
        <f>IF(NOT(ISNUMBER($K7)),"",PI()*($K7/2)^2)</f>
        <v/>
      </c>
      <c r="M7" s="9">
        <f>IF(OR(NOT(ISNUMBER($J7)),NOT(ISNUMBER($L7)),$L7=0),"",$J7/$L7*10000)</f>
        <v/>
      </c>
      <c r="N7" s="9">
        <f>IF(NOT(ISNUMBER($M7)),"",$M7*CARBON_FRACTION_ROOT/1000)</f>
        <v/>
      </c>
      <c r="O7" s="11">
        <f>IF(AND($A7="",$B7="",$G7=""),"",IF(AND($B7&lt;&gt;"",COUNTIFS('2. Soil Data'!$B$5:$B$604,$B7)=0),"Core ID not found in Soil Data, so the corer diameter cannot be looked up. ","")&amp;IF(ASH_CORRECTED&lt;&gt;"Yes","Root mass is NOT ash-corrected, so it includes adhering mineral soil and is too high. Set ASH_CORRECTED once you have done it. ","")&amp;IF(AND(ASH_CORRECTED="Yes",NOT(ISNUMBER($H7))),"Ash correction is switched on but no ash fraction is given for this row. ","")&amp;IF($I7="","Sieve mesh not recorded — a fine-root figure cannot be interpreted without it. ","")&amp;IF(AND(ISNUMBER($H7),$H7&gt;0.5),"Ash fraction above 0.5 — over half this sample was mineral soil. Re-wash. ","")&amp;IF($F7="Not separated","Live and dead not separated. Fine for a stock, but "&amp;"note it in reporting. ",""))</f>
        <v/>
      </c>
      <c r="P7" s="6" t="n"/>
      <c r="Q7" s="9">
        <f>IF($B7="",0,IF(COUNTIFS($B$5:$B7,$B7)=1,1,0))</f>
        <v/>
      </c>
    </row>
    <row r="8">
      <c r="A8" s="6" t="n"/>
      <c r="B8" s="6" t="n"/>
      <c r="C8" s="6" t="n"/>
      <c r="D8" s="6" t="n"/>
      <c r="E8" s="6" t="n"/>
      <c r="F8" s="6" t="n"/>
      <c r="G8" s="7" t="n"/>
      <c r="H8" s="7" t="n"/>
      <c r="I8" s="6" t="n"/>
      <c r="J8" s="9">
        <f>IF(NOT(ISNUMBER($G8)),"",IF(AND(ASH_CORRECTED="Yes",ISNUMBER($H8)),$G8*(1-$H8),$G8))</f>
        <v/>
      </c>
      <c r="K8" s="9">
        <f>IF($B8="","",IFERROR(AVERAGEIFS('2. Soil Data'!$G$5:$G$604,'2. Soil Data'!$B$5:$B$604,$B8),""))</f>
        <v/>
      </c>
      <c r="L8" s="9">
        <f>IF(NOT(ISNUMBER($K8)),"",PI()*($K8/2)^2)</f>
        <v/>
      </c>
      <c r="M8" s="9">
        <f>IF(OR(NOT(ISNUMBER($J8)),NOT(ISNUMBER($L8)),$L8=0),"",$J8/$L8*10000)</f>
        <v/>
      </c>
      <c r="N8" s="9">
        <f>IF(NOT(ISNUMBER($M8)),"",$M8*CARBON_FRACTION_ROOT/1000)</f>
        <v/>
      </c>
      <c r="O8" s="11">
        <f>IF(AND($A8="",$B8="",$G8=""),"",IF(AND($B8&lt;&gt;"",COUNTIFS('2. Soil Data'!$B$5:$B$604,$B8)=0),"Core ID not found in Soil Data, so the corer diameter cannot be looked up. ","")&amp;IF(ASH_CORRECTED&lt;&gt;"Yes","Root mass is NOT ash-corrected, so it includes adhering mineral soil and is too high. Set ASH_CORRECTED once you have done it. ","")&amp;IF(AND(ASH_CORRECTED="Yes",NOT(ISNUMBER($H8))),"Ash correction is switched on but no ash fraction is given for this row. ","")&amp;IF($I8="","Sieve mesh not recorded — a fine-root figure cannot be interpreted without it. ","")&amp;IF(AND(ISNUMBER($H8),$H8&gt;0.5),"Ash fraction above 0.5 — over half this sample was mineral soil. Re-wash. ","")&amp;IF($F8="Not separated","Live and dead not separated. Fine for a stock, but "&amp;"note it in reporting. ",""))</f>
        <v/>
      </c>
      <c r="P8" s="6" t="n"/>
      <c r="Q8" s="9">
        <f>IF($B8="",0,IF(COUNTIFS($B$5:$B8,$B8)=1,1,0))</f>
        <v/>
      </c>
    </row>
    <row r="9">
      <c r="A9" s="6" t="n"/>
      <c r="B9" s="6" t="n"/>
      <c r="C9" s="6" t="n"/>
      <c r="D9" s="6" t="n"/>
      <c r="E9" s="6" t="n"/>
      <c r="F9" s="6" t="n"/>
      <c r="G9" s="7" t="n"/>
      <c r="H9" s="7" t="n"/>
      <c r="I9" s="6" t="n"/>
      <c r="J9" s="9">
        <f>IF(NOT(ISNUMBER($G9)),"",IF(AND(ASH_CORRECTED="Yes",ISNUMBER($H9)),$G9*(1-$H9),$G9))</f>
        <v/>
      </c>
      <c r="K9" s="9">
        <f>IF($B9="","",IFERROR(AVERAGEIFS('2. Soil Data'!$G$5:$G$604,'2. Soil Data'!$B$5:$B$604,$B9),""))</f>
        <v/>
      </c>
      <c r="L9" s="9">
        <f>IF(NOT(ISNUMBER($K9)),"",PI()*($K9/2)^2)</f>
        <v/>
      </c>
      <c r="M9" s="9">
        <f>IF(OR(NOT(ISNUMBER($J9)),NOT(ISNUMBER($L9)),$L9=0),"",$J9/$L9*10000)</f>
        <v/>
      </c>
      <c r="N9" s="9">
        <f>IF(NOT(ISNUMBER($M9)),"",$M9*CARBON_FRACTION_ROOT/1000)</f>
        <v/>
      </c>
      <c r="O9" s="11">
        <f>IF(AND($A9="",$B9="",$G9=""),"",IF(AND($B9&lt;&gt;"",COUNTIFS('2. Soil Data'!$B$5:$B$604,$B9)=0),"Core ID not found in Soil Data, so the corer diameter cannot be looked up. ","")&amp;IF(ASH_CORRECTED&lt;&gt;"Yes","Root mass is NOT ash-corrected, so it includes adhering mineral soil and is too high. Set ASH_CORRECTED once you have done it. ","")&amp;IF(AND(ASH_CORRECTED="Yes",NOT(ISNUMBER($H9))),"Ash correction is switched on but no ash fraction is given for this row. ","")&amp;IF($I9="","Sieve mesh not recorded — a fine-root figure cannot be interpreted without it. ","")&amp;IF(AND(ISNUMBER($H9),$H9&gt;0.5),"Ash fraction above 0.5 — over half this sample was mineral soil. Re-wash. ","")&amp;IF($F9="Not separated","Live and dead not separated. Fine for a stock, but "&amp;"note it in reporting. ",""))</f>
        <v/>
      </c>
      <c r="P9" s="6" t="n"/>
      <c r="Q9" s="9">
        <f>IF($B9="",0,IF(COUNTIFS($B$5:$B9,$B9)=1,1,0))</f>
        <v/>
      </c>
    </row>
    <row r="10">
      <c r="A10" s="6" t="n"/>
      <c r="B10" s="6" t="n"/>
      <c r="C10" s="6" t="n"/>
      <c r="D10" s="6" t="n"/>
      <c r="E10" s="6" t="n"/>
      <c r="F10" s="6" t="n"/>
      <c r="G10" s="7" t="n"/>
      <c r="H10" s="7" t="n"/>
      <c r="I10" s="6" t="n"/>
      <c r="J10" s="9">
        <f>IF(NOT(ISNUMBER($G10)),"",IF(AND(ASH_CORRECTED="Yes",ISNUMBER($H10)),$G10*(1-$H10),$G10))</f>
        <v/>
      </c>
      <c r="K10" s="9">
        <f>IF($B10="","",IFERROR(AVERAGEIFS('2. Soil Data'!$G$5:$G$604,'2. Soil Data'!$B$5:$B$604,$B10),""))</f>
        <v/>
      </c>
      <c r="L10" s="9">
        <f>IF(NOT(ISNUMBER($K10)),"",PI()*($K10/2)^2)</f>
        <v/>
      </c>
      <c r="M10" s="9">
        <f>IF(OR(NOT(ISNUMBER($J10)),NOT(ISNUMBER($L10)),$L10=0),"",$J10/$L10*10000)</f>
        <v/>
      </c>
      <c r="N10" s="9">
        <f>IF(NOT(ISNUMBER($M10)),"",$M10*CARBON_FRACTION_ROOT/1000)</f>
        <v/>
      </c>
      <c r="O10" s="11">
        <f>IF(AND($A10="",$B10="",$G10=""),"",IF(AND($B10&lt;&gt;"",COUNTIFS('2. Soil Data'!$B$5:$B$604,$B10)=0),"Core ID not found in Soil Data, so the corer diameter cannot be looked up. ","")&amp;IF(ASH_CORRECTED&lt;&gt;"Yes","Root mass is NOT ash-corrected, so it includes adhering mineral soil and is too high. Set ASH_CORRECTED once you have done it. ","")&amp;IF(AND(ASH_CORRECTED="Yes",NOT(ISNUMBER($H10))),"Ash correction is switched on but no ash fraction is given for this row. ","")&amp;IF($I10="","Sieve mesh not recorded — a fine-root figure cannot be interpreted without it. ","")&amp;IF(AND(ISNUMBER($H10),$H10&gt;0.5),"Ash fraction above 0.5 — over half this sample was mineral soil. Re-wash. ","")&amp;IF($F10="Not separated","Live and dead not separated. Fine for a stock, but "&amp;"note it in reporting. ",""))</f>
        <v/>
      </c>
      <c r="P10" s="6" t="n"/>
      <c r="Q10" s="9">
        <f>IF($B10="",0,IF(COUNTIFS($B$5:$B10,$B10)=1,1,0))</f>
        <v/>
      </c>
    </row>
    <row r="11">
      <c r="A11" s="6" t="n"/>
      <c r="B11" s="6" t="n"/>
      <c r="C11" s="6" t="n"/>
      <c r="D11" s="6" t="n"/>
      <c r="E11" s="6" t="n"/>
      <c r="F11" s="6" t="n"/>
      <c r="G11" s="7" t="n"/>
      <c r="H11" s="7" t="n"/>
      <c r="I11" s="6" t="n"/>
      <c r="J11" s="9">
        <f>IF(NOT(ISNUMBER($G11)),"",IF(AND(ASH_CORRECTED="Yes",ISNUMBER($H11)),$G11*(1-$H11),$G11))</f>
        <v/>
      </c>
      <c r="K11" s="9">
        <f>IF($B11="","",IFERROR(AVERAGEIFS('2. Soil Data'!$G$5:$G$604,'2. Soil Data'!$B$5:$B$604,$B11),""))</f>
        <v/>
      </c>
      <c r="L11" s="9">
        <f>IF(NOT(ISNUMBER($K11)),"",PI()*($K11/2)^2)</f>
        <v/>
      </c>
      <c r="M11" s="9">
        <f>IF(OR(NOT(ISNUMBER($J11)),NOT(ISNUMBER($L11)),$L11=0),"",$J11/$L11*10000)</f>
        <v/>
      </c>
      <c r="N11" s="9">
        <f>IF(NOT(ISNUMBER($M11)),"",$M11*CARBON_FRACTION_ROOT/1000)</f>
        <v/>
      </c>
      <c r="O11" s="11">
        <f>IF(AND($A11="",$B11="",$G11=""),"",IF(AND($B11&lt;&gt;"",COUNTIFS('2. Soil Data'!$B$5:$B$604,$B11)=0),"Core ID not found in Soil Data, so the corer diameter cannot be looked up. ","")&amp;IF(ASH_CORRECTED&lt;&gt;"Yes","Root mass is NOT ash-corrected, so it includes adhering mineral soil and is too high. Set ASH_CORRECTED once you have done it. ","")&amp;IF(AND(ASH_CORRECTED="Yes",NOT(ISNUMBER($H11))),"Ash correction is switched on but no ash fraction is given for this row. ","")&amp;IF($I11="","Sieve mesh not recorded — a fine-root figure cannot be interpreted without it. ","")&amp;IF(AND(ISNUMBER($H11),$H11&gt;0.5),"Ash fraction above 0.5 — over half this sample was mineral soil. Re-wash. ","")&amp;IF($F11="Not separated","Live and dead not separated. Fine for a stock, but "&amp;"note it in reporting. ",""))</f>
        <v/>
      </c>
      <c r="P11" s="6" t="n"/>
      <c r="Q11" s="9">
        <f>IF($B11="",0,IF(COUNTIFS($B$5:$B11,$B11)=1,1,0))</f>
        <v/>
      </c>
    </row>
    <row r="12">
      <c r="A12" s="6" t="n"/>
      <c r="B12" s="6" t="n"/>
      <c r="C12" s="6" t="n"/>
      <c r="D12" s="6" t="n"/>
      <c r="E12" s="6" t="n"/>
      <c r="F12" s="6" t="n"/>
      <c r="G12" s="7" t="n"/>
      <c r="H12" s="7" t="n"/>
      <c r="I12" s="6" t="n"/>
      <c r="J12" s="9">
        <f>IF(NOT(ISNUMBER($G12)),"",IF(AND(ASH_CORRECTED="Yes",ISNUMBER($H12)),$G12*(1-$H12),$G12))</f>
        <v/>
      </c>
      <c r="K12" s="9">
        <f>IF($B12="","",IFERROR(AVERAGEIFS('2. Soil Data'!$G$5:$G$604,'2. Soil Data'!$B$5:$B$604,$B12),""))</f>
        <v/>
      </c>
      <c r="L12" s="9">
        <f>IF(NOT(ISNUMBER($K12)),"",PI()*($K12/2)^2)</f>
        <v/>
      </c>
      <c r="M12" s="9">
        <f>IF(OR(NOT(ISNUMBER($J12)),NOT(ISNUMBER($L12)),$L12=0),"",$J12/$L12*10000)</f>
        <v/>
      </c>
      <c r="N12" s="9">
        <f>IF(NOT(ISNUMBER($M12)),"",$M12*CARBON_FRACTION_ROOT/1000)</f>
        <v/>
      </c>
      <c r="O12" s="11">
        <f>IF(AND($A12="",$B12="",$G12=""),"",IF(AND($B12&lt;&gt;"",COUNTIFS('2. Soil Data'!$B$5:$B$604,$B12)=0),"Core ID not found in Soil Data, so the corer diameter cannot be looked up. ","")&amp;IF(ASH_CORRECTED&lt;&gt;"Yes","Root mass is NOT ash-corrected, so it includes adhering mineral soil and is too high. Set ASH_CORRECTED once you have done it. ","")&amp;IF(AND(ASH_CORRECTED="Yes",NOT(ISNUMBER($H12))),"Ash correction is switched on but no ash fraction is given for this row. ","")&amp;IF($I12="","Sieve mesh not recorded — a fine-root figure cannot be interpreted without it. ","")&amp;IF(AND(ISNUMBER($H12),$H12&gt;0.5),"Ash fraction above 0.5 — over half this sample was mineral soil. Re-wash. ","")&amp;IF($F12="Not separated","Live and dead not separated. Fine for a stock, but "&amp;"note it in reporting. ",""))</f>
        <v/>
      </c>
      <c r="P12" s="6" t="n"/>
      <c r="Q12" s="9">
        <f>IF($B12="",0,IF(COUNTIFS($B$5:$B12,$B12)=1,1,0))</f>
        <v/>
      </c>
    </row>
    <row r="13">
      <c r="A13" s="6" t="n"/>
      <c r="B13" s="6" t="n"/>
      <c r="C13" s="6" t="n"/>
      <c r="D13" s="6" t="n"/>
      <c r="E13" s="6" t="n"/>
      <c r="F13" s="6" t="n"/>
      <c r="G13" s="7" t="n"/>
      <c r="H13" s="7" t="n"/>
      <c r="I13" s="6" t="n"/>
      <c r="J13" s="9">
        <f>IF(NOT(ISNUMBER($G13)),"",IF(AND(ASH_CORRECTED="Yes",ISNUMBER($H13)),$G13*(1-$H13),$G13))</f>
        <v/>
      </c>
      <c r="K13" s="9">
        <f>IF($B13="","",IFERROR(AVERAGEIFS('2. Soil Data'!$G$5:$G$604,'2. Soil Data'!$B$5:$B$604,$B13),""))</f>
        <v/>
      </c>
      <c r="L13" s="9">
        <f>IF(NOT(ISNUMBER($K13)),"",PI()*($K13/2)^2)</f>
        <v/>
      </c>
      <c r="M13" s="9">
        <f>IF(OR(NOT(ISNUMBER($J13)),NOT(ISNUMBER($L13)),$L13=0),"",$J13/$L13*10000)</f>
        <v/>
      </c>
      <c r="N13" s="9">
        <f>IF(NOT(ISNUMBER($M13)),"",$M13*CARBON_FRACTION_ROOT/1000)</f>
        <v/>
      </c>
      <c r="O13" s="11">
        <f>IF(AND($A13="",$B13="",$G13=""),"",IF(AND($B13&lt;&gt;"",COUNTIFS('2. Soil Data'!$B$5:$B$604,$B13)=0),"Core ID not found in Soil Data, so the corer diameter cannot be looked up. ","")&amp;IF(ASH_CORRECTED&lt;&gt;"Yes","Root mass is NOT ash-corrected, so it includes adhering mineral soil and is too high. Set ASH_CORRECTED once you have done it. ","")&amp;IF(AND(ASH_CORRECTED="Yes",NOT(ISNUMBER($H13))),"Ash correction is switched on but no ash fraction is given for this row. ","")&amp;IF($I13="","Sieve mesh not recorded — a fine-root figure cannot be interpreted without it. ","")&amp;IF(AND(ISNUMBER($H13),$H13&gt;0.5),"Ash fraction above 0.5 — over half this sample was mineral soil. Re-wash. ","")&amp;IF($F13="Not separated","Live and dead not separated. Fine for a stock, but "&amp;"note it in reporting. ",""))</f>
        <v/>
      </c>
      <c r="P13" s="6" t="n"/>
      <c r="Q13" s="9">
        <f>IF($B13="",0,IF(COUNTIFS($B$5:$B13,$B13)=1,1,0))</f>
        <v/>
      </c>
    </row>
    <row r="14">
      <c r="A14" s="6" t="n"/>
      <c r="B14" s="6" t="n"/>
      <c r="C14" s="6" t="n"/>
      <c r="D14" s="6" t="n"/>
      <c r="E14" s="6" t="n"/>
      <c r="F14" s="6" t="n"/>
      <c r="G14" s="7" t="n"/>
      <c r="H14" s="7" t="n"/>
      <c r="I14" s="6" t="n"/>
      <c r="J14" s="9">
        <f>IF(NOT(ISNUMBER($G14)),"",IF(AND(ASH_CORRECTED="Yes",ISNUMBER($H14)),$G14*(1-$H14),$G14))</f>
        <v/>
      </c>
      <c r="K14" s="9">
        <f>IF($B14="","",IFERROR(AVERAGEIFS('2. Soil Data'!$G$5:$G$604,'2. Soil Data'!$B$5:$B$604,$B14),""))</f>
        <v/>
      </c>
      <c r="L14" s="9">
        <f>IF(NOT(ISNUMBER($K14)),"",PI()*($K14/2)^2)</f>
        <v/>
      </c>
      <c r="M14" s="9">
        <f>IF(OR(NOT(ISNUMBER($J14)),NOT(ISNUMBER($L14)),$L14=0),"",$J14/$L14*10000)</f>
        <v/>
      </c>
      <c r="N14" s="9">
        <f>IF(NOT(ISNUMBER($M14)),"",$M14*CARBON_FRACTION_ROOT/1000)</f>
        <v/>
      </c>
      <c r="O14" s="11">
        <f>IF(AND($A14="",$B14="",$G14=""),"",IF(AND($B14&lt;&gt;"",COUNTIFS('2. Soil Data'!$B$5:$B$604,$B14)=0),"Core ID not found in Soil Data, so the corer diameter cannot be looked up. ","")&amp;IF(ASH_CORRECTED&lt;&gt;"Yes","Root mass is NOT ash-corrected, so it includes adhering mineral soil and is too high. Set ASH_CORRECTED once you have done it. ","")&amp;IF(AND(ASH_CORRECTED="Yes",NOT(ISNUMBER($H14))),"Ash correction is switched on but no ash fraction is given for this row. ","")&amp;IF($I14="","Sieve mesh not recorded — a fine-root figure cannot be interpreted without it. ","")&amp;IF(AND(ISNUMBER($H14),$H14&gt;0.5),"Ash fraction above 0.5 — over half this sample was mineral soil. Re-wash. ","")&amp;IF($F14="Not separated","Live and dead not separated. Fine for a stock, but "&amp;"note it in reporting. ",""))</f>
        <v/>
      </c>
      <c r="P14" s="6" t="n"/>
      <c r="Q14" s="9">
        <f>IF($B14="",0,IF(COUNTIFS($B$5:$B14,$B14)=1,1,0))</f>
        <v/>
      </c>
    </row>
    <row r="15">
      <c r="A15" s="6" t="n"/>
      <c r="B15" s="6" t="n"/>
      <c r="C15" s="6" t="n"/>
      <c r="D15" s="6" t="n"/>
      <c r="E15" s="6" t="n"/>
      <c r="F15" s="6" t="n"/>
      <c r="G15" s="7" t="n"/>
      <c r="H15" s="7" t="n"/>
      <c r="I15" s="6" t="n"/>
      <c r="J15" s="9">
        <f>IF(NOT(ISNUMBER($G15)),"",IF(AND(ASH_CORRECTED="Yes",ISNUMBER($H15)),$G15*(1-$H15),$G15))</f>
        <v/>
      </c>
      <c r="K15" s="9">
        <f>IF($B15="","",IFERROR(AVERAGEIFS('2. Soil Data'!$G$5:$G$604,'2. Soil Data'!$B$5:$B$604,$B15),""))</f>
        <v/>
      </c>
      <c r="L15" s="9">
        <f>IF(NOT(ISNUMBER($K15)),"",PI()*($K15/2)^2)</f>
        <v/>
      </c>
      <c r="M15" s="9">
        <f>IF(OR(NOT(ISNUMBER($J15)),NOT(ISNUMBER($L15)),$L15=0),"",$J15/$L15*10000)</f>
        <v/>
      </c>
      <c r="N15" s="9">
        <f>IF(NOT(ISNUMBER($M15)),"",$M15*CARBON_FRACTION_ROOT/1000)</f>
        <v/>
      </c>
      <c r="O15" s="11">
        <f>IF(AND($A15="",$B15="",$G15=""),"",IF(AND($B15&lt;&gt;"",COUNTIFS('2. Soil Data'!$B$5:$B$604,$B15)=0),"Core ID not found in Soil Data, so the corer diameter cannot be looked up. ","")&amp;IF(ASH_CORRECTED&lt;&gt;"Yes","Root mass is NOT ash-corrected, so it includes adhering mineral soil and is too high. Set ASH_CORRECTED once you have done it. ","")&amp;IF(AND(ASH_CORRECTED="Yes",NOT(ISNUMBER($H15))),"Ash correction is switched on but no ash fraction is given for this row. ","")&amp;IF($I15="","Sieve mesh not recorded — a fine-root figure cannot be interpreted without it. ","")&amp;IF(AND(ISNUMBER($H15),$H15&gt;0.5),"Ash fraction above 0.5 — over half this sample was mineral soil. Re-wash. ","")&amp;IF($F15="Not separated","Live and dead not separated. Fine for a stock, but "&amp;"note it in reporting. ",""))</f>
        <v/>
      </c>
      <c r="P15" s="6" t="n"/>
      <c r="Q15" s="9">
        <f>IF($B15="",0,IF(COUNTIFS($B$5:$B15,$B15)=1,1,0))</f>
        <v/>
      </c>
    </row>
    <row r="16">
      <c r="A16" s="6" t="n"/>
      <c r="B16" s="6" t="n"/>
      <c r="C16" s="6" t="n"/>
      <c r="D16" s="6" t="n"/>
      <c r="E16" s="6" t="n"/>
      <c r="F16" s="6" t="n"/>
      <c r="G16" s="7" t="n"/>
      <c r="H16" s="7" t="n"/>
      <c r="I16" s="6" t="n"/>
      <c r="J16" s="9">
        <f>IF(NOT(ISNUMBER($G16)),"",IF(AND(ASH_CORRECTED="Yes",ISNUMBER($H16)),$G16*(1-$H16),$G16))</f>
        <v/>
      </c>
      <c r="K16" s="9">
        <f>IF($B16="","",IFERROR(AVERAGEIFS('2. Soil Data'!$G$5:$G$604,'2. Soil Data'!$B$5:$B$604,$B16),""))</f>
        <v/>
      </c>
      <c r="L16" s="9">
        <f>IF(NOT(ISNUMBER($K16)),"",PI()*($K16/2)^2)</f>
        <v/>
      </c>
      <c r="M16" s="9">
        <f>IF(OR(NOT(ISNUMBER($J16)),NOT(ISNUMBER($L16)),$L16=0),"",$J16/$L16*10000)</f>
        <v/>
      </c>
      <c r="N16" s="9">
        <f>IF(NOT(ISNUMBER($M16)),"",$M16*CARBON_FRACTION_ROOT/1000)</f>
        <v/>
      </c>
      <c r="O16" s="11">
        <f>IF(AND($A16="",$B16="",$G16=""),"",IF(AND($B16&lt;&gt;"",COUNTIFS('2. Soil Data'!$B$5:$B$604,$B16)=0),"Core ID not found in Soil Data, so the corer diameter cannot be looked up. ","")&amp;IF(ASH_CORRECTED&lt;&gt;"Yes","Root mass is NOT ash-corrected, so it includes adhering mineral soil and is too high. Set ASH_CORRECTED once you have done it. ","")&amp;IF(AND(ASH_CORRECTED="Yes",NOT(ISNUMBER($H16))),"Ash correction is switched on but no ash fraction is given for this row. ","")&amp;IF($I16="","Sieve mesh not recorded — a fine-root figure cannot be interpreted without it. ","")&amp;IF(AND(ISNUMBER($H16),$H16&gt;0.5),"Ash fraction above 0.5 — over half this sample was mineral soil. Re-wash. ","")&amp;IF($F16="Not separated","Live and dead not separated. Fine for a stock, but "&amp;"note it in reporting. ",""))</f>
        <v/>
      </c>
      <c r="P16" s="6" t="n"/>
      <c r="Q16" s="9">
        <f>IF($B16="",0,IF(COUNTIFS($B$5:$B16,$B16)=1,1,0))</f>
        <v/>
      </c>
    </row>
    <row r="17">
      <c r="A17" s="6" t="n"/>
      <c r="B17" s="6" t="n"/>
      <c r="C17" s="6" t="n"/>
      <c r="D17" s="6" t="n"/>
      <c r="E17" s="6" t="n"/>
      <c r="F17" s="6" t="n"/>
      <c r="G17" s="7" t="n"/>
      <c r="H17" s="7" t="n"/>
      <c r="I17" s="6" t="n"/>
      <c r="J17" s="9">
        <f>IF(NOT(ISNUMBER($G17)),"",IF(AND(ASH_CORRECTED="Yes",ISNUMBER($H17)),$G17*(1-$H17),$G17))</f>
        <v/>
      </c>
      <c r="K17" s="9">
        <f>IF($B17="","",IFERROR(AVERAGEIFS('2. Soil Data'!$G$5:$G$604,'2. Soil Data'!$B$5:$B$604,$B17),""))</f>
        <v/>
      </c>
      <c r="L17" s="9">
        <f>IF(NOT(ISNUMBER($K17)),"",PI()*($K17/2)^2)</f>
        <v/>
      </c>
      <c r="M17" s="9">
        <f>IF(OR(NOT(ISNUMBER($J17)),NOT(ISNUMBER($L17)),$L17=0),"",$J17/$L17*10000)</f>
        <v/>
      </c>
      <c r="N17" s="9">
        <f>IF(NOT(ISNUMBER($M17)),"",$M17*CARBON_FRACTION_ROOT/1000)</f>
        <v/>
      </c>
      <c r="O17" s="11">
        <f>IF(AND($A17="",$B17="",$G17=""),"",IF(AND($B17&lt;&gt;"",COUNTIFS('2. Soil Data'!$B$5:$B$604,$B17)=0),"Core ID not found in Soil Data, so the corer diameter cannot be looked up. ","")&amp;IF(ASH_CORRECTED&lt;&gt;"Yes","Root mass is NOT ash-corrected, so it includes adhering mineral soil and is too high. Set ASH_CORRECTED once you have done it. ","")&amp;IF(AND(ASH_CORRECTED="Yes",NOT(ISNUMBER($H17))),"Ash correction is switched on but no ash fraction is given for this row. ","")&amp;IF($I17="","Sieve mesh not recorded — a fine-root figure cannot be interpreted without it. ","")&amp;IF(AND(ISNUMBER($H17),$H17&gt;0.5),"Ash fraction above 0.5 — over half this sample was mineral soil. Re-wash. ","")&amp;IF($F17="Not separated","Live and dead not separated. Fine for a stock, but "&amp;"note it in reporting. ",""))</f>
        <v/>
      </c>
      <c r="P17" s="6" t="n"/>
      <c r="Q17" s="9">
        <f>IF($B17="",0,IF(COUNTIFS($B$5:$B17,$B17)=1,1,0))</f>
        <v/>
      </c>
    </row>
    <row r="18">
      <c r="A18" s="6" t="n"/>
      <c r="B18" s="6" t="n"/>
      <c r="C18" s="6" t="n"/>
      <c r="D18" s="6" t="n"/>
      <c r="E18" s="6" t="n"/>
      <c r="F18" s="6" t="n"/>
      <c r="G18" s="7" t="n"/>
      <c r="H18" s="7" t="n"/>
      <c r="I18" s="6" t="n"/>
      <c r="J18" s="9">
        <f>IF(NOT(ISNUMBER($G18)),"",IF(AND(ASH_CORRECTED="Yes",ISNUMBER($H18)),$G18*(1-$H18),$G18))</f>
        <v/>
      </c>
      <c r="K18" s="9">
        <f>IF($B18="","",IFERROR(AVERAGEIFS('2. Soil Data'!$G$5:$G$604,'2. Soil Data'!$B$5:$B$604,$B18),""))</f>
        <v/>
      </c>
      <c r="L18" s="9">
        <f>IF(NOT(ISNUMBER($K18)),"",PI()*($K18/2)^2)</f>
        <v/>
      </c>
      <c r="M18" s="9">
        <f>IF(OR(NOT(ISNUMBER($J18)),NOT(ISNUMBER($L18)),$L18=0),"",$J18/$L18*10000)</f>
        <v/>
      </c>
      <c r="N18" s="9">
        <f>IF(NOT(ISNUMBER($M18)),"",$M18*CARBON_FRACTION_ROOT/1000)</f>
        <v/>
      </c>
      <c r="O18" s="11">
        <f>IF(AND($A18="",$B18="",$G18=""),"",IF(AND($B18&lt;&gt;"",COUNTIFS('2. Soil Data'!$B$5:$B$604,$B18)=0),"Core ID not found in Soil Data, so the corer diameter cannot be looked up. ","")&amp;IF(ASH_CORRECTED&lt;&gt;"Yes","Root mass is NOT ash-corrected, so it includes adhering mineral soil and is too high. Set ASH_CORRECTED once you have done it. ","")&amp;IF(AND(ASH_CORRECTED="Yes",NOT(ISNUMBER($H18))),"Ash correction is switched on but no ash fraction is given for this row. ","")&amp;IF($I18="","Sieve mesh not recorded — a fine-root figure cannot be interpreted without it. ","")&amp;IF(AND(ISNUMBER($H18),$H18&gt;0.5),"Ash fraction above 0.5 — over half this sample was mineral soil. Re-wash. ","")&amp;IF($F18="Not separated","Live and dead not separated. Fine for a stock, but "&amp;"note it in reporting. ",""))</f>
        <v/>
      </c>
      <c r="P18" s="6" t="n"/>
      <c r="Q18" s="9">
        <f>IF($B18="",0,IF(COUNTIFS($B$5:$B18,$B18)=1,1,0))</f>
        <v/>
      </c>
    </row>
    <row r="19">
      <c r="A19" s="6" t="n"/>
      <c r="B19" s="6" t="n"/>
      <c r="C19" s="6" t="n"/>
      <c r="D19" s="6" t="n"/>
      <c r="E19" s="6" t="n"/>
      <c r="F19" s="6" t="n"/>
      <c r="G19" s="7" t="n"/>
      <c r="H19" s="7" t="n"/>
      <c r="I19" s="6" t="n"/>
      <c r="J19" s="9">
        <f>IF(NOT(ISNUMBER($G19)),"",IF(AND(ASH_CORRECTED="Yes",ISNUMBER($H19)),$G19*(1-$H19),$G19))</f>
        <v/>
      </c>
      <c r="K19" s="9">
        <f>IF($B19="","",IFERROR(AVERAGEIFS('2. Soil Data'!$G$5:$G$604,'2. Soil Data'!$B$5:$B$604,$B19),""))</f>
        <v/>
      </c>
      <c r="L19" s="9">
        <f>IF(NOT(ISNUMBER($K19)),"",PI()*($K19/2)^2)</f>
        <v/>
      </c>
      <c r="M19" s="9">
        <f>IF(OR(NOT(ISNUMBER($J19)),NOT(ISNUMBER($L19)),$L19=0),"",$J19/$L19*10000)</f>
        <v/>
      </c>
      <c r="N19" s="9">
        <f>IF(NOT(ISNUMBER($M19)),"",$M19*CARBON_FRACTION_ROOT/1000)</f>
        <v/>
      </c>
      <c r="O19" s="11">
        <f>IF(AND($A19="",$B19="",$G19=""),"",IF(AND($B19&lt;&gt;"",COUNTIFS('2. Soil Data'!$B$5:$B$604,$B19)=0),"Core ID not found in Soil Data, so the corer diameter cannot be looked up. ","")&amp;IF(ASH_CORRECTED&lt;&gt;"Yes","Root mass is NOT ash-corrected, so it includes adhering mineral soil and is too high. Set ASH_CORRECTED once you have done it. ","")&amp;IF(AND(ASH_CORRECTED="Yes",NOT(ISNUMBER($H19))),"Ash correction is switched on but no ash fraction is given for this row. ","")&amp;IF($I19="","Sieve mesh not recorded — a fine-root figure cannot be interpreted without it. ","")&amp;IF(AND(ISNUMBER($H19),$H19&gt;0.5),"Ash fraction above 0.5 — over half this sample was mineral soil. Re-wash. ","")&amp;IF($F19="Not separated","Live and dead not separated. Fine for a stock, but "&amp;"note it in reporting. ",""))</f>
        <v/>
      </c>
      <c r="P19" s="6" t="n"/>
      <c r="Q19" s="9">
        <f>IF($B19="",0,IF(COUNTIFS($B$5:$B19,$B19)=1,1,0))</f>
        <v/>
      </c>
    </row>
    <row r="20">
      <c r="A20" s="6" t="n"/>
      <c r="B20" s="6" t="n"/>
      <c r="C20" s="6" t="n"/>
      <c r="D20" s="6" t="n"/>
      <c r="E20" s="6" t="n"/>
      <c r="F20" s="6" t="n"/>
      <c r="G20" s="7" t="n"/>
      <c r="H20" s="7" t="n"/>
      <c r="I20" s="6" t="n"/>
      <c r="J20" s="9">
        <f>IF(NOT(ISNUMBER($G20)),"",IF(AND(ASH_CORRECTED="Yes",ISNUMBER($H20)),$G20*(1-$H20),$G20))</f>
        <v/>
      </c>
      <c r="K20" s="9">
        <f>IF($B20="","",IFERROR(AVERAGEIFS('2. Soil Data'!$G$5:$G$604,'2. Soil Data'!$B$5:$B$604,$B20),""))</f>
        <v/>
      </c>
      <c r="L20" s="9">
        <f>IF(NOT(ISNUMBER($K20)),"",PI()*($K20/2)^2)</f>
        <v/>
      </c>
      <c r="M20" s="9">
        <f>IF(OR(NOT(ISNUMBER($J20)),NOT(ISNUMBER($L20)),$L20=0),"",$J20/$L20*10000)</f>
        <v/>
      </c>
      <c r="N20" s="9">
        <f>IF(NOT(ISNUMBER($M20)),"",$M20*CARBON_FRACTION_ROOT/1000)</f>
        <v/>
      </c>
      <c r="O20" s="11">
        <f>IF(AND($A20="",$B20="",$G20=""),"",IF(AND($B20&lt;&gt;"",COUNTIFS('2. Soil Data'!$B$5:$B$604,$B20)=0),"Core ID not found in Soil Data, so the corer diameter cannot be looked up. ","")&amp;IF(ASH_CORRECTED&lt;&gt;"Yes","Root mass is NOT ash-corrected, so it includes adhering mineral soil and is too high. Set ASH_CORRECTED once you have done it. ","")&amp;IF(AND(ASH_CORRECTED="Yes",NOT(ISNUMBER($H20))),"Ash correction is switched on but no ash fraction is given for this row. ","")&amp;IF($I20="","Sieve mesh not recorded — a fine-root figure cannot be interpreted without it. ","")&amp;IF(AND(ISNUMBER($H20),$H20&gt;0.5),"Ash fraction above 0.5 — over half this sample was mineral soil. Re-wash. ","")&amp;IF($F20="Not separated","Live and dead not separated. Fine for a stock, but "&amp;"note it in reporting. ",""))</f>
        <v/>
      </c>
      <c r="P20" s="6" t="n"/>
      <c r="Q20" s="9">
        <f>IF($B20="",0,IF(COUNTIFS($B$5:$B20,$B20)=1,1,0))</f>
        <v/>
      </c>
    </row>
    <row r="21">
      <c r="A21" s="6" t="n"/>
      <c r="B21" s="6" t="n"/>
      <c r="C21" s="6" t="n"/>
      <c r="D21" s="6" t="n"/>
      <c r="E21" s="6" t="n"/>
      <c r="F21" s="6" t="n"/>
      <c r="G21" s="7" t="n"/>
      <c r="H21" s="7" t="n"/>
      <c r="I21" s="6" t="n"/>
      <c r="J21" s="9">
        <f>IF(NOT(ISNUMBER($G21)),"",IF(AND(ASH_CORRECTED="Yes",ISNUMBER($H21)),$G21*(1-$H21),$G21))</f>
        <v/>
      </c>
      <c r="K21" s="9">
        <f>IF($B21="","",IFERROR(AVERAGEIFS('2. Soil Data'!$G$5:$G$604,'2. Soil Data'!$B$5:$B$604,$B21),""))</f>
        <v/>
      </c>
      <c r="L21" s="9">
        <f>IF(NOT(ISNUMBER($K21)),"",PI()*($K21/2)^2)</f>
        <v/>
      </c>
      <c r="M21" s="9">
        <f>IF(OR(NOT(ISNUMBER($J21)),NOT(ISNUMBER($L21)),$L21=0),"",$J21/$L21*10000)</f>
        <v/>
      </c>
      <c r="N21" s="9">
        <f>IF(NOT(ISNUMBER($M21)),"",$M21*CARBON_FRACTION_ROOT/1000)</f>
        <v/>
      </c>
      <c r="O21" s="11">
        <f>IF(AND($A21="",$B21="",$G21=""),"",IF(AND($B21&lt;&gt;"",COUNTIFS('2. Soil Data'!$B$5:$B$604,$B21)=0),"Core ID not found in Soil Data, so the corer diameter cannot be looked up. ","")&amp;IF(ASH_CORRECTED&lt;&gt;"Yes","Root mass is NOT ash-corrected, so it includes adhering mineral soil and is too high. Set ASH_CORRECTED once you have done it. ","")&amp;IF(AND(ASH_CORRECTED="Yes",NOT(ISNUMBER($H21))),"Ash correction is switched on but no ash fraction is given for this row. ","")&amp;IF($I21="","Sieve mesh not recorded — a fine-root figure cannot be interpreted without it. ","")&amp;IF(AND(ISNUMBER($H21),$H21&gt;0.5),"Ash fraction above 0.5 — over half this sample was mineral soil. Re-wash. ","")&amp;IF($F21="Not separated","Live and dead not separated. Fine for a stock, but "&amp;"note it in reporting. ",""))</f>
        <v/>
      </c>
      <c r="P21" s="6" t="n"/>
      <c r="Q21" s="9">
        <f>IF($B21="",0,IF(COUNTIFS($B$5:$B21,$B21)=1,1,0))</f>
        <v/>
      </c>
    </row>
    <row r="22">
      <c r="A22" s="6" t="n"/>
      <c r="B22" s="6" t="n"/>
      <c r="C22" s="6" t="n"/>
      <c r="D22" s="6" t="n"/>
      <c r="E22" s="6" t="n"/>
      <c r="F22" s="6" t="n"/>
      <c r="G22" s="7" t="n"/>
      <c r="H22" s="7" t="n"/>
      <c r="I22" s="6" t="n"/>
      <c r="J22" s="9">
        <f>IF(NOT(ISNUMBER($G22)),"",IF(AND(ASH_CORRECTED="Yes",ISNUMBER($H22)),$G22*(1-$H22),$G22))</f>
        <v/>
      </c>
      <c r="K22" s="9">
        <f>IF($B22="","",IFERROR(AVERAGEIFS('2. Soil Data'!$G$5:$G$604,'2. Soil Data'!$B$5:$B$604,$B22),""))</f>
        <v/>
      </c>
      <c r="L22" s="9">
        <f>IF(NOT(ISNUMBER($K22)),"",PI()*($K22/2)^2)</f>
        <v/>
      </c>
      <c r="M22" s="9">
        <f>IF(OR(NOT(ISNUMBER($J22)),NOT(ISNUMBER($L22)),$L22=0),"",$J22/$L22*10000)</f>
        <v/>
      </c>
      <c r="N22" s="9">
        <f>IF(NOT(ISNUMBER($M22)),"",$M22*CARBON_FRACTION_ROOT/1000)</f>
        <v/>
      </c>
      <c r="O22" s="11">
        <f>IF(AND($A22="",$B22="",$G22=""),"",IF(AND($B22&lt;&gt;"",COUNTIFS('2. Soil Data'!$B$5:$B$604,$B22)=0),"Core ID not found in Soil Data, so the corer diameter cannot be looked up. ","")&amp;IF(ASH_CORRECTED&lt;&gt;"Yes","Root mass is NOT ash-corrected, so it includes adhering mineral soil and is too high. Set ASH_CORRECTED once you have done it. ","")&amp;IF(AND(ASH_CORRECTED="Yes",NOT(ISNUMBER($H22))),"Ash correction is switched on but no ash fraction is given for this row. ","")&amp;IF($I22="","Sieve mesh not recorded — a fine-root figure cannot be interpreted without it. ","")&amp;IF(AND(ISNUMBER($H22),$H22&gt;0.5),"Ash fraction above 0.5 — over half this sample was mineral soil. Re-wash. ","")&amp;IF($F22="Not separated","Live and dead not separated. Fine for a stock, but "&amp;"note it in reporting. ",""))</f>
        <v/>
      </c>
      <c r="P22" s="6" t="n"/>
      <c r="Q22" s="9">
        <f>IF($B22="",0,IF(COUNTIFS($B$5:$B22,$B22)=1,1,0))</f>
        <v/>
      </c>
    </row>
    <row r="23">
      <c r="A23" s="6" t="n"/>
      <c r="B23" s="6" t="n"/>
      <c r="C23" s="6" t="n"/>
      <c r="D23" s="6" t="n"/>
      <c r="E23" s="6" t="n"/>
      <c r="F23" s="6" t="n"/>
      <c r="G23" s="7" t="n"/>
      <c r="H23" s="7" t="n"/>
      <c r="I23" s="6" t="n"/>
      <c r="J23" s="9">
        <f>IF(NOT(ISNUMBER($G23)),"",IF(AND(ASH_CORRECTED="Yes",ISNUMBER($H23)),$G23*(1-$H23),$G23))</f>
        <v/>
      </c>
      <c r="K23" s="9">
        <f>IF($B23="","",IFERROR(AVERAGEIFS('2. Soil Data'!$G$5:$G$604,'2. Soil Data'!$B$5:$B$604,$B23),""))</f>
        <v/>
      </c>
      <c r="L23" s="9">
        <f>IF(NOT(ISNUMBER($K23)),"",PI()*($K23/2)^2)</f>
        <v/>
      </c>
      <c r="M23" s="9">
        <f>IF(OR(NOT(ISNUMBER($J23)),NOT(ISNUMBER($L23)),$L23=0),"",$J23/$L23*10000)</f>
        <v/>
      </c>
      <c r="N23" s="9">
        <f>IF(NOT(ISNUMBER($M23)),"",$M23*CARBON_FRACTION_ROOT/1000)</f>
        <v/>
      </c>
      <c r="O23" s="11">
        <f>IF(AND($A23="",$B23="",$G23=""),"",IF(AND($B23&lt;&gt;"",COUNTIFS('2. Soil Data'!$B$5:$B$604,$B23)=0),"Core ID not found in Soil Data, so the corer diameter cannot be looked up. ","")&amp;IF(ASH_CORRECTED&lt;&gt;"Yes","Root mass is NOT ash-corrected, so it includes adhering mineral soil and is too high. Set ASH_CORRECTED once you have done it. ","")&amp;IF(AND(ASH_CORRECTED="Yes",NOT(ISNUMBER($H23))),"Ash correction is switched on but no ash fraction is given for this row. ","")&amp;IF($I23="","Sieve mesh not recorded — a fine-root figure cannot be interpreted without it. ","")&amp;IF(AND(ISNUMBER($H23),$H23&gt;0.5),"Ash fraction above 0.5 — over half this sample was mineral soil. Re-wash. ","")&amp;IF($F23="Not separated","Live and dead not separated. Fine for a stock, but "&amp;"note it in reporting. ",""))</f>
        <v/>
      </c>
      <c r="P23" s="6" t="n"/>
      <c r="Q23" s="9">
        <f>IF($B23="",0,IF(COUNTIFS($B$5:$B23,$B23)=1,1,0))</f>
        <v/>
      </c>
    </row>
    <row r="24">
      <c r="A24" s="6" t="n"/>
      <c r="B24" s="6" t="n"/>
      <c r="C24" s="6" t="n"/>
      <c r="D24" s="6" t="n"/>
      <c r="E24" s="6" t="n"/>
      <c r="F24" s="6" t="n"/>
      <c r="G24" s="7" t="n"/>
      <c r="H24" s="7" t="n"/>
      <c r="I24" s="6" t="n"/>
      <c r="J24" s="9">
        <f>IF(NOT(ISNUMBER($G24)),"",IF(AND(ASH_CORRECTED="Yes",ISNUMBER($H24)),$G24*(1-$H24),$G24))</f>
        <v/>
      </c>
      <c r="K24" s="9">
        <f>IF($B24="","",IFERROR(AVERAGEIFS('2. Soil Data'!$G$5:$G$604,'2. Soil Data'!$B$5:$B$604,$B24),""))</f>
        <v/>
      </c>
      <c r="L24" s="9">
        <f>IF(NOT(ISNUMBER($K24)),"",PI()*($K24/2)^2)</f>
        <v/>
      </c>
      <c r="M24" s="9">
        <f>IF(OR(NOT(ISNUMBER($J24)),NOT(ISNUMBER($L24)),$L24=0),"",$J24/$L24*10000)</f>
        <v/>
      </c>
      <c r="N24" s="9">
        <f>IF(NOT(ISNUMBER($M24)),"",$M24*CARBON_FRACTION_ROOT/1000)</f>
        <v/>
      </c>
      <c r="O24" s="11">
        <f>IF(AND($A24="",$B24="",$G24=""),"",IF(AND($B24&lt;&gt;"",COUNTIFS('2. Soil Data'!$B$5:$B$604,$B24)=0),"Core ID not found in Soil Data, so the corer diameter cannot be looked up. ","")&amp;IF(ASH_CORRECTED&lt;&gt;"Yes","Root mass is NOT ash-corrected, so it includes adhering mineral soil and is too high. Set ASH_CORRECTED once you have done it. ","")&amp;IF(AND(ASH_CORRECTED="Yes",NOT(ISNUMBER($H24))),"Ash correction is switched on but no ash fraction is given for this row. ","")&amp;IF($I24="","Sieve mesh not recorded — a fine-root figure cannot be interpreted without it. ","")&amp;IF(AND(ISNUMBER($H24),$H24&gt;0.5),"Ash fraction above 0.5 — over half this sample was mineral soil. Re-wash. ","")&amp;IF($F24="Not separated","Live and dead not separated. Fine for a stock, but "&amp;"note it in reporting. ",""))</f>
        <v/>
      </c>
      <c r="P24" s="6" t="n"/>
      <c r="Q24" s="9">
        <f>IF($B24="",0,IF(COUNTIFS($B$5:$B24,$B24)=1,1,0))</f>
        <v/>
      </c>
    </row>
    <row r="25">
      <c r="A25" s="6" t="n"/>
      <c r="B25" s="6" t="n"/>
      <c r="C25" s="6" t="n"/>
      <c r="D25" s="6" t="n"/>
      <c r="E25" s="6" t="n"/>
      <c r="F25" s="6" t="n"/>
      <c r="G25" s="7" t="n"/>
      <c r="H25" s="7" t="n"/>
      <c r="I25" s="6" t="n"/>
      <c r="J25" s="9">
        <f>IF(NOT(ISNUMBER($G25)),"",IF(AND(ASH_CORRECTED="Yes",ISNUMBER($H25)),$G25*(1-$H25),$G25))</f>
        <v/>
      </c>
      <c r="K25" s="9">
        <f>IF($B25="","",IFERROR(AVERAGEIFS('2. Soil Data'!$G$5:$G$604,'2. Soil Data'!$B$5:$B$604,$B25),""))</f>
        <v/>
      </c>
      <c r="L25" s="9">
        <f>IF(NOT(ISNUMBER($K25)),"",PI()*($K25/2)^2)</f>
        <v/>
      </c>
      <c r="M25" s="9">
        <f>IF(OR(NOT(ISNUMBER($J25)),NOT(ISNUMBER($L25)),$L25=0),"",$J25/$L25*10000)</f>
        <v/>
      </c>
      <c r="N25" s="9">
        <f>IF(NOT(ISNUMBER($M25)),"",$M25*CARBON_FRACTION_ROOT/1000)</f>
        <v/>
      </c>
      <c r="O25" s="11">
        <f>IF(AND($A25="",$B25="",$G25=""),"",IF(AND($B25&lt;&gt;"",COUNTIFS('2. Soil Data'!$B$5:$B$604,$B25)=0),"Core ID not found in Soil Data, so the corer diameter cannot be looked up. ","")&amp;IF(ASH_CORRECTED&lt;&gt;"Yes","Root mass is NOT ash-corrected, so it includes adhering mineral soil and is too high. Set ASH_CORRECTED once you have done it. ","")&amp;IF(AND(ASH_CORRECTED="Yes",NOT(ISNUMBER($H25))),"Ash correction is switched on but no ash fraction is given for this row. ","")&amp;IF($I25="","Sieve mesh not recorded — a fine-root figure cannot be interpreted without it. ","")&amp;IF(AND(ISNUMBER($H25),$H25&gt;0.5),"Ash fraction above 0.5 — over half this sample was mineral soil. Re-wash. ","")&amp;IF($F25="Not separated","Live and dead not separated. Fine for a stock, but "&amp;"note it in reporting. ",""))</f>
        <v/>
      </c>
      <c r="P25" s="6" t="n"/>
      <c r="Q25" s="9">
        <f>IF($B25="",0,IF(COUNTIFS($B$5:$B25,$B25)=1,1,0))</f>
        <v/>
      </c>
    </row>
    <row r="26">
      <c r="A26" s="6" t="n"/>
      <c r="B26" s="6" t="n"/>
      <c r="C26" s="6" t="n"/>
      <c r="D26" s="6" t="n"/>
      <c r="E26" s="6" t="n"/>
      <c r="F26" s="6" t="n"/>
      <c r="G26" s="7" t="n"/>
      <c r="H26" s="7" t="n"/>
      <c r="I26" s="6" t="n"/>
      <c r="J26" s="9">
        <f>IF(NOT(ISNUMBER($G26)),"",IF(AND(ASH_CORRECTED="Yes",ISNUMBER($H26)),$G26*(1-$H26),$G26))</f>
        <v/>
      </c>
      <c r="K26" s="9">
        <f>IF($B26="","",IFERROR(AVERAGEIFS('2. Soil Data'!$G$5:$G$604,'2. Soil Data'!$B$5:$B$604,$B26),""))</f>
        <v/>
      </c>
      <c r="L26" s="9">
        <f>IF(NOT(ISNUMBER($K26)),"",PI()*($K26/2)^2)</f>
        <v/>
      </c>
      <c r="M26" s="9">
        <f>IF(OR(NOT(ISNUMBER($J26)),NOT(ISNUMBER($L26)),$L26=0),"",$J26/$L26*10000)</f>
        <v/>
      </c>
      <c r="N26" s="9">
        <f>IF(NOT(ISNUMBER($M26)),"",$M26*CARBON_FRACTION_ROOT/1000)</f>
        <v/>
      </c>
      <c r="O26" s="11">
        <f>IF(AND($A26="",$B26="",$G26=""),"",IF(AND($B26&lt;&gt;"",COUNTIFS('2. Soil Data'!$B$5:$B$604,$B26)=0),"Core ID not found in Soil Data, so the corer diameter cannot be looked up. ","")&amp;IF(ASH_CORRECTED&lt;&gt;"Yes","Root mass is NOT ash-corrected, so it includes adhering mineral soil and is too high. Set ASH_CORRECTED once you have done it. ","")&amp;IF(AND(ASH_CORRECTED="Yes",NOT(ISNUMBER($H26))),"Ash correction is switched on but no ash fraction is given for this row. ","")&amp;IF($I26="","Sieve mesh not recorded — a fine-root figure cannot be interpreted without it. ","")&amp;IF(AND(ISNUMBER($H26),$H26&gt;0.5),"Ash fraction above 0.5 — over half this sample was mineral soil. Re-wash. ","")&amp;IF($F26="Not separated","Live and dead not separated. Fine for a stock, but "&amp;"note it in reporting. ",""))</f>
        <v/>
      </c>
      <c r="P26" s="6" t="n"/>
      <c r="Q26" s="9">
        <f>IF($B26="",0,IF(COUNTIFS($B$5:$B26,$B26)=1,1,0))</f>
        <v/>
      </c>
    </row>
    <row r="27">
      <c r="A27" s="6" t="n"/>
      <c r="B27" s="6" t="n"/>
      <c r="C27" s="6" t="n"/>
      <c r="D27" s="6" t="n"/>
      <c r="E27" s="6" t="n"/>
      <c r="F27" s="6" t="n"/>
      <c r="G27" s="7" t="n"/>
      <c r="H27" s="7" t="n"/>
      <c r="I27" s="6" t="n"/>
      <c r="J27" s="9">
        <f>IF(NOT(ISNUMBER($G27)),"",IF(AND(ASH_CORRECTED="Yes",ISNUMBER($H27)),$G27*(1-$H27),$G27))</f>
        <v/>
      </c>
      <c r="K27" s="9">
        <f>IF($B27="","",IFERROR(AVERAGEIFS('2. Soil Data'!$G$5:$G$604,'2. Soil Data'!$B$5:$B$604,$B27),""))</f>
        <v/>
      </c>
      <c r="L27" s="9">
        <f>IF(NOT(ISNUMBER($K27)),"",PI()*($K27/2)^2)</f>
        <v/>
      </c>
      <c r="M27" s="9">
        <f>IF(OR(NOT(ISNUMBER($J27)),NOT(ISNUMBER($L27)),$L27=0),"",$J27/$L27*10000)</f>
        <v/>
      </c>
      <c r="N27" s="9">
        <f>IF(NOT(ISNUMBER($M27)),"",$M27*CARBON_FRACTION_ROOT/1000)</f>
        <v/>
      </c>
      <c r="O27" s="11">
        <f>IF(AND($A27="",$B27="",$G27=""),"",IF(AND($B27&lt;&gt;"",COUNTIFS('2. Soil Data'!$B$5:$B$604,$B27)=0),"Core ID not found in Soil Data, so the corer diameter cannot be looked up. ","")&amp;IF(ASH_CORRECTED&lt;&gt;"Yes","Root mass is NOT ash-corrected, so it includes adhering mineral soil and is too high. Set ASH_CORRECTED once you have done it. ","")&amp;IF(AND(ASH_CORRECTED="Yes",NOT(ISNUMBER($H27))),"Ash correction is switched on but no ash fraction is given for this row. ","")&amp;IF($I27="","Sieve mesh not recorded — a fine-root figure cannot be interpreted without it. ","")&amp;IF(AND(ISNUMBER($H27),$H27&gt;0.5),"Ash fraction above 0.5 — over half this sample was mineral soil. Re-wash. ","")&amp;IF($F27="Not separated","Live and dead not separated. Fine for a stock, but "&amp;"note it in reporting. ",""))</f>
        <v/>
      </c>
      <c r="P27" s="6" t="n"/>
      <c r="Q27" s="9">
        <f>IF($B27="",0,IF(COUNTIFS($B$5:$B27,$B27)=1,1,0))</f>
        <v/>
      </c>
    </row>
    <row r="28">
      <c r="A28" s="6" t="n"/>
      <c r="B28" s="6" t="n"/>
      <c r="C28" s="6" t="n"/>
      <c r="D28" s="6" t="n"/>
      <c r="E28" s="6" t="n"/>
      <c r="F28" s="6" t="n"/>
      <c r="G28" s="7" t="n"/>
      <c r="H28" s="7" t="n"/>
      <c r="I28" s="6" t="n"/>
      <c r="J28" s="9">
        <f>IF(NOT(ISNUMBER($G28)),"",IF(AND(ASH_CORRECTED="Yes",ISNUMBER($H28)),$G28*(1-$H28),$G28))</f>
        <v/>
      </c>
      <c r="K28" s="9">
        <f>IF($B28="","",IFERROR(AVERAGEIFS('2. Soil Data'!$G$5:$G$604,'2. Soil Data'!$B$5:$B$604,$B28),""))</f>
        <v/>
      </c>
      <c r="L28" s="9">
        <f>IF(NOT(ISNUMBER($K28)),"",PI()*($K28/2)^2)</f>
        <v/>
      </c>
      <c r="M28" s="9">
        <f>IF(OR(NOT(ISNUMBER($J28)),NOT(ISNUMBER($L28)),$L28=0),"",$J28/$L28*10000)</f>
        <v/>
      </c>
      <c r="N28" s="9">
        <f>IF(NOT(ISNUMBER($M28)),"",$M28*CARBON_FRACTION_ROOT/1000)</f>
        <v/>
      </c>
      <c r="O28" s="11">
        <f>IF(AND($A28="",$B28="",$G28=""),"",IF(AND($B28&lt;&gt;"",COUNTIFS('2. Soil Data'!$B$5:$B$604,$B28)=0),"Core ID not found in Soil Data, so the corer diameter cannot be looked up. ","")&amp;IF(ASH_CORRECTED&lt;&gt;"Yes","Root mass is NOT ash-corrected, so it includes adhering mineral soil and is too high. Set ASH_CORRECTED once you have done it. ","")&amp;IF(AND(ASH_CORRECTED="Yes",NOT(ISNUMBER($H28))),"Ash correction is switched on but no ash fraction is given for this row. ","")&amp;IF($I28="","Sieve mesh not recorded — a fine-root figure cannot be interpreted without it. ","")&amp;IF(AND(ISNUMBER($H28),$H28&gt;0.5),"Ash fraction above 0.5 — over half this sample was mineral soil. Re-wash. ","")&amp;IF($F28="Not separated","Live and dead not separated. Fine for a stock, but "&amp;"note it in reporting. ",""))</f>
        <v/>
      </c>
      <c r="P28" s="6" t="n"/>
      <c r="Q28" s="9">
        <f>IF($B28="",0,IF(COUNTIFS($B$5:$B28,$B28)=1,1,0))</f>
        <v/>
      </c>
    </row>
    <row r="29">
      <c r="A29" s="6" t="n"/>
      <c r="B29" s="6" t="n"/>
      <c r="C29" s="6" t="n"/>
      <c r="D29" s="6" t="n"/>
      <c r="E29" s="6" t="n"/>
      <c r="F29" s="6" t="n"/>
      <c r="G29" s="7" t="n"/>
      <c r="H29" s="7" t="n"/>
      <c r="I29" s="6" t="n"/>
      <c r="J29" s="9">
        <f>IF(NOT(ISNUMBER($G29)),"",IF(AND(ASH_CORRECTED="Yes",ISNUMBER($H29)),$G29*(1-$H29),$G29))</f>
        <v/>
      </c>
      <c r="K29" s="9">
        <f>IF($B29="","",IFERROR(AVERAGEIFS('2. Soil Data'!$G$5:$G$604,'2. Soil Data'!$B$5:$B$604,$B29),""))</f>
        <v/>
      </c>
      <c r="L29" s="9">
        <f>IF(NOT(ISNUMBER($K29)),"",PI()*($K29/2)^2)</f>
        <v/>
      </c>
      <c r="M29" s="9">
        <f>IF(OR(NOT(ISNUMBER($J29)),NOT(ISNUMBER($L29)),$L29=0),"",$J29/$L29*10000)</f>
        <v/>
      </c>
      <c r="N29" s="9">
        <f>IF(NOT(ISNUMBER($M29)),"",$M29*CARBON_FRACTION_ROOT/1000)</f>
        <v/>
      </c>
      <c r="O29" s="11">
        <f>IF(AND($A29="",$B29="",$G29=""),"",IF(AND($B29&lt;&gt;"",COUNTIFS('2. Soil Data'!$B$5:$B$604,$B29)=0),"Core ID not found in Soil Data, so the corer diameter cannot be looked up. ","")&amp;IF(ASH_CORRECTED&lt;&gt;"Yes","Root mass is NOT ash-corrected, so it includes adhering mineral soil and is too high. Set ASH_CORRECTED once you have done it. ","")&amp;IF(AND(ASH_CORRECTED="Yes",NOT(ISNUMBER($H29))),"Ash correction is switched on but no ash fraction is given for this row. ","")&amp;IF($I29="","Sieve mesh not recorded — a fine-root figure cannot be interpreted without it. ","")&amp;IF(AND(ISNUMBER($H29),$H29&gt;0.5),"Ash fraction above 0.5 — over half this sample was mineral soil. Re-wash. ","")&amp;IF($F29="Not separated","Live and dead not separated. Fine for a stock, but "&amp;"note it in reporting. ",""))</f>
        <v/>
      </c>
      <c r="P29" s="6" t="n"/>
      <c r="Q29" s="9">
        <f>IF($B29="",0,IF(COUNTIFS($B$5:$B29,$B29)=1,1,0))</f>
        <v/>
      </c>
    </row>
    <row r="30">
      <c r="A30" s="6" t="n"/>
      <c r="B30" s="6" t="n"/>
      <c r="C30" s="6" t="n"/>
      <c r="D30" s="6" t="n"/>
      <c r="E30" s="6" t="n"/>
      <c r="F30" s="6" t="n"/>
      <c r="G30" s="7" t="n"/>
      <c r="H30" s="7" t="n"/>
      <c r="I30" s="6" t="n"/>
      <c r="J30" s="9">
        <f>IF(NOT(ISNUMBER($G30)),"",IF(AND(ASH_CORRECTED="Yes",ISNUMBER($H30)),$G30*(1-$H30),$G30))</f>
        <v/>
      </c>
      <c r="K30" s="9">
        <f>IF($B30="","",IFERROR(AVERAGEIFS('2. Soil Data'!$G$5:$G$604,'2. Soil Data'!$B$5:$B$604,$B30),""))</f>
        <v/>
      </c>
      <c r="L30" s="9">
        <f>IF(NOT(ISNUMBER($K30)),"",PI()*($K30/2)^2)</f>
        <v/>
      </c>
      <c r="M30" s="9">
        <f>IF(OR(NOT(ISNUMBER($J30)),NOT(ISNUMBER($L30)),$L30=0),"",$J30/$L30*10000)</f>
        <v/>
      </c>
      <c r="N30" s="9">
        <f>IF(NOT(ISNUMBER($M30)),"",$M30*CARBON_FRACTION_ROOT/1000)</f>
        <v/>
      </c>
      <c r="O30" s="11">
        <f>IF(AND($A30="",$B30="",$G30=""),"",IF(AND($B30&lt;&gt;"",COUNTIFS('2. Soil Data'!$B$5:$B$604,$B30)=0),"Core ID not found in Soil Data, so the corer diameter cannot be looked up. ","")&amp;IF(ASH_CORRECTED&lt;&gt;"Yes","Root mass is NOT ash-corrected, so it includes adhering mineral soil and is too high. Set ASH_CORRECTED once you have done it. ","")&amp;IF(AND(ASH_CORRECTED="Yes",NOT(ISNUMBER($H30))),"Ash correction is switched on but no ash fraction is given for this row. ","")&amp;IF($I30="","Sieve mesh not recorded — a fine-root figure cannot be interpreted without it. ","")&amp;IF(AND(ISNUMBER($H30),$H30&gt;0.5),"Ash fraction above 0.5 — over half this sample was mineral soil. Re-wash. ","")&amp;IF($F30="Not separated","Live and dead not separated. Fine for a stock, but "&amp;"note it in reporting. ",""))</f>
        <v/>
      </c>
      <c r="P30" s="6" t="n"/>
      <c r="Q30" s="9">
        <f>IF($B30="",0,IF(COUNTIFS($B$5:$B30,$B30)=1,1,0))</f>
        <v/>
      </c>
    </row>
    <row r="31">
      <c r="A31" s="6" t="n"/>
      <c r="B31" s="6" t="n"/>
      <c r="C31" s="6" t="n"/>
      <c r="D31" s="6" t="n"/>
      <c r="E31" s="6" t="n"/>
      <c r="F31" s="6" t="n"/>
      <c r="G31" s="7" t="n"/>
      <c r="H31" s="7" t="n"/>
      <c r="I31" s="6" t="n"/>
      <c r="J31" s="9">
        <f>IF(NOT(ISNUMBER($G31)),"",IF(AND(ASH_CORRECTED="Yes",ISNUMBER($H31)),$G31*(1-$H31),$G31))</f>
        <v/>
      </c>
      <c r="K31" s="9">
        <f>IF($B31="","",IFERROR(AVERAGEIFS('2. Soil Data'!$G$5:$G$604,'2. Soil Data'!$B$5:$B$604,$B31),""))</f>
        <v/>
      </c>
      <c r="L31" s="9">
        <f>IF(NOT(ISNUMBER($K31)),"",PI()*($K31/2)^2)</f>
        <v/>
      </c>
      <c r="M31" s="9">
        <f>IF(OR(NOT(ISNUMBER($J31)),NOT(ISNUMBER($L31)),$L31=0),"",$J31/$L31*10000)</f>
        <v/>
      </c>
      <c r="N31" s="9">
        <f>IF(NOT(ISNUMBER($M31)),"",$M31*CARBON_FRACTION_ROOT/1000)</f>
        <v/>
      </c>
      <c r="O31" s="11">
        <f>IF(AND($A31="",$B31="",$G31=""),"",IF(AND($B31&lt;&gt;"",COUNTIFS('2. Soil Data'!$B$5:$B$604,$B31)=0),"Core ID not found in Soil Data, so the corer diameter cannot be looked up. ","")&amp;IF(ASH_CORRECTED&lt;&gt;"Yes","Root mass is NOT ash-corrected, so it includes adhering mineral soil and is too high. Set ASH_CORRECTED once you have done it. ","")&amp;IF(AND(ASH_CORRECTED="Yes",NOT(ISNUMBER($H31))),"Ash correction is switched on but no ash fraction is given for this row. ","")&amp;IF($I31="","Sieve mesh not recorded — a fine-root figure cannot be interpreted without it. ","")&amp;IF(AND(ISNUMBER($H31),$H31&gt;0.5),"Ash fraction above 0.5 — over half this sample was mineral soil. Re-wash. ","")&amp;IF($F31="Not separated","Live and dead not separated. Fine for a stock, but "&amp;"note it in reporting. ",""))</f>
        <v/>
      </c>
      <c r="P31" s="6" t="n"/>
      <c r="Q31" s="9">
        <f>IF($B31="",0,IF(COUNTIFS($B$5:$B31,$B31)=1,1,0))</f>
        <v/>
      </c>
    </row>
    <row r="32">
      <c r="A32" s="6" t="n"/>
      <c r="B32" s="6" t="n"/>
      <c r="C32" s="6" t="n"/>
      <c r="D32" s="6" t="n"/>
      <c r="E32" s="6" t="n"/>
      <c r="F32" s="6" t="n"/>
      <c r="G32" s="7" t="n"/>
      <c r="H32" s="7" t="n"/>
      <c r="I32" s="6" t="n"/>
      <c r="J32" s="9">
        <f>IF(NOT(ISNUMBER($G32)),"",IF(AND(ASH_CORRECTED="Yes",ISNUMBER($H32)),$G32*(1-$H32),$G32))</f>
        <v/>
      </c>
      <c r="K32" s="9">
        <f>IF($B32="","",IFERROR(AVERAGEIFS('2. Soil Data'!$G$5:$G$604,'2. Soil Data'!$B$5:$B$604,$B32),""))</f>
        <v/>
      </c>
      <c r="L32" s="9">
        <f>IF(NOT(ISNUMBER($K32)),"",PI()*($K32/2)^2)</f>
        <v/>
      </c>
      <c r="M32" s="9">
        <f>IF(OR(NOT(ISNUMBER($J32)),NOT(ISNUMBER($L32)),$L32=0),"",$J32/$L32*10000)</f>
        <v/>
      </c>
      <c r="N32" s="9">
        <f>IF(NOT(ISNUMBER($M32)),"",$M32*CARBON_FRACTION_ROOT/1000)</f>
        <v/>
      </c>
      <c r="O32" s="11">
        <f>IF(AND($A32="",$B32="",$G32=""),"",IF(AND($B32&lt;&gt;"",COUNTIFS('2. Soil Data'!$B$5:$B$604,$B32)=0),"Core ID not found in Soil Data, so the corer diameter cannot be looked up. ","")&amp;IF(ASH_CORRECTED&lt;&gt;"Yes","Root mass is NOT ash-corrected, so it includes adhering mineral soil and is too high. Set ASH_CORRECTED once you have done it. ","")&amp;IF(AND(ASH_CORRECTED="Yes",NOT(ISNUMBER($H32))),"Ash correction is switched on but no ash fraction is given for this row. ","")&amp;IF($I32="","Sieve mesh not recorded — a fine-root figure cannot be interpreted without it. ","")&amp;IF(AND(ISNUMBER($H32),$H32&gt;0.5),"Ash fraction above 0.5 — over half this sample was mineral soil. Re-wash. ","")&amp;IF($F32="Not separated","Live and dead not separated. Fine for a stock, but "&amp;"note it in reporting. ",""))</f>
        <v/>
      </c>
      <c r="P32" s="6" t="n"/>
      <c r="Q32" s="9">
        <f>IF($B32="",0,IF(COUNTIFS($B$5:$B32,$B32)=1,1,0))</f>
        <v/>
      </c>
    </row>
    <row r="33">
      <c r="A33" s="6" t="n"/>
      <c r="B33" s="6" t="n"/>
      <c r="C33" s="6" t="n"/>
      <c r="D33" s="6" t="n"/>
      <c r="E33" s="6" t="n"/>
      <c r="F33" s="6" t="n"/>
      <c r="G33" s="7" t="n"/>
      <c r="H33" s="7" t="n"/>
      <c r="I33" s="6" t="n"/>
      <c r="J33" s="9">
        <f>IF(NOT(ISNUMBER($G33)),"",IF(AND(ASH_CORRECTED="Yes",ISNUMBER($H33)),$G33*(1-$H33),$G33))</f>
        <v/>
      </c>
      <c r="K33" s="9">
        <f>IF($B33="","",IFERROR(AVERAGEIFS('2. Soil Data'!$G$5:$G$604,'2. Soil Data'!$B$5:$B$604,$B33),""))</f>
        <v/>
      </c>
      <c r="L33" s="9">
        <f>IF(NOT(ISNUMBER($K33)),"",PI()*($K33/2)^2)</f>
        <v/>
      </c>
      <c r="M33" s="9">
        <f>IF(OR(NOT(ISNUMBER($J33)),NOT(ISNUMBER($L33)),$L33=0),"",$J33/$L33*10000)</f>
        <v/>
      </c>
      <c r="N33" s="9">
        <f>IF(NOT(ISNUMBER($M33)),"",$M33*CARBON_FRACTION_ROOT/1000)</f>
        <v/>
      </c>
      <c r="O33" s="11">
        <f>IF(AND($A33="",$B33="",$G33=""),"",IF(AND($B33&lt;&gt;"",COUNTIFS('2. Soil Data'!$B$5:$B$604,$B33)=0),"Core ID not found in Soil Data, so the corer diameter cannot be looked up. ","")&amp;IF(ASH_CORRECTED&lt;&gt;"Yes","Root mass is NOT ash-corrected, so it includes adhering mineral soil and is too high. Set ASH_CORRECTED once you have done it. ","")&amp;IF(AND(ASH_CORRECTED="Yes",NOT(ISNUMBER($H33))),"Ash correction is switched on but no ash fraction is given for this row. ","")&amp;IF($I33="","Sieve mesh not recorded — a fine-root figure cannot be interpreted without it. ","")&amp;IF(AND(ISNUMBER($H33),$H33&gt;0.5),"Ash fraction above 0.5 — over half this sample was mineral soil. Re-wash. ","")&amp;IF($F33="Not separated","Live and dead not separated. Fine for a stock, but "&amp;"note it in reporting. ",""))</f>
        <v/>
      </c>
      <c r="P33" s="6" t="n"/>
      <c r="Q33" s="9">
        <f>IF($B33="",0,IF(COUNTIFS($B$5:$B33,$B33)=1,1,0))</f>
        <v/>
      </c>
    </row>
    <row r="34">
      <c r="A34" s="6" t="n"/>
      <c r="B34" s="6" t="n"/>
      <c r="C34" s="6" t="n"/>
      <c r="D34" s="6" t="n"/>
      <c r="E34" s="6" t="n"/>
      <c r="F34" s="6" t="n"/>
      <c r="G34" s="7" t="n"/>
      <c r="H34" s="7" t="n"/>
      <c r="I34" s="6" t="n"/>
      <c r="J34" s="9">
        <f>IF(NOT(ISNUMBER($G34)),"",IF(AND(ASH_CORRECTED="Yes",ISNUMBER($H34)),$G34*(1-$H34),$G34))</f>
        <v/>
      </c>
      <c r="K34" s="9">
        <f>IF($B34="","",IFERROR(AVERAGEIFS('2. Soil Data'!$G$5:$G$604,'2. Soil Data'!$B$5:$B$604,$B34),""))</f>
        <v/>
      </c>
      <c r="L34" s="9">
        <f>IF(NOT(ISNUMBER($K34)),"",PI()*($K34/2)^2)</f>
        <v/>
      </c>
      <c r="M34" s="9">
        <f>IF(OR(NOT(ISNUMBER($J34)),NOT(ISNUMBER($L34)),$L34=0),"",$J34/$L34*10000)</f>
        <v/>
      </c>
      <c r="N34" s="9">
        <f>IF(NOT(ISNUMBER($M34)),"",$M34*CARBON_FRACTION_ROOT/1000)</f>
        <v/>
      </c>
      <c r="O34" s="11">
        <f>IF(AND($A34="",$B34="",$G34=""),"",IF(AND($B34&lt;&gt;"",COUNTIFS('2. Soil Data'!$B$5:$B$604,$B34)=0),"Core ID not found in Soil Data, so the corer diameter cannot be looked up. ","")&amp;IF(ASH_CORRECTED&lt;&gt;"Yes","Root mass is NOT ash-corrected, so it includes adhering mineral soil and is too high. Set ASH_CORRECTED once you have done it. ","")&amp;IF(AND(ASH_CORRECTED="Yes",NOT(ISNUMBER($H34))),"Ash correction is switched on but no ash fraction is given for this row. ","")&amp;IF($I34="","Sieve mesh not recorded — a fine-root figure cannot be interpreted without it. ","")&amp;IF(AND(ISNUMBER($H34),$H34&gt;0.5),"Ash fraction above 0.5 — over half this sample was mineral soil. Re-wash. ","")&amp;IF($F34="Not separated","Live and dead not separated. Fine for a stock, but "&amp;"note it in reporting. ",""))</f>
        <v/>
      </c>
      <c r="P34" s="6" t="n"/>
      <c r="Q34" s="9">
        <f>IF($B34="",0,IF(COUNTIFS($B$5:$B34,$B34)=1,1,0))</f>
        <v/>
      </c>
    </row>
    <row r="35">
      <c r="A35" s="6" t="n"/>
      <c r="B35" s="6" t="n"/>
      <c r="C35" s="6" t="n"/>
      <c r="D35" s="6" t="n"/>
      <c r="E35" s="6" t="n"/>
      <c r="F35" s="6" t="n"/>
      <c r="G35" s="7" t="n"/>
      <c r="H35" s="7" t="n"/>
      <c r="I35" s="6" t="n"/>
      <c r="J35" s="9">
        <f>IF(NOT(ISNUMBER($G35)),"",IF(AND(ASH_CORRECTED="Yes",ISNUMBER($H35)),$G35*(1-$H35),$G35))</f>
        <v/>
      </c>
      <c r="K35" s="9">
        <f>IF($B35="","",IFERROR(AVERAGEIFS('2. Soil Data'!$G$5:$G$604,'2. Soil Data'!$B$5:$B$604,$B35),""))</f>
        <v/>
      </c>
      <c r="L35" s="9">
        <f>IF(NOT(ISNUMBER($K35)),"",PI()*($K35/2)^2)</f>
        <v/>
      </c>
      <c r="M35" s="9">
        <f>IF(OR(NOT(ISNUMBER($J35)),NOT(ISNUMBER($L35)),$L35=0),"",$J35/$L35*10000)</f>
        <v/>
      </c>
      <c r="N35" s="9">
        <f>IF(NOT(ISNUMBER($M35)),"",$M35*CARBON_FRACTION_ROOT/1000)</f>
        <v/>
      </c>
      <c r="O35" s="11">
        <f>IF(AND($A35="",$B35="",$G35=""),"",IF(AND($B35&lt;&gt;"",COUNTIFS('2. Soil Data'!$B$5:$B$604,$B35)=0),"Core ID not found in Soil Data, so the corer diameter cannot be looked up. ","")&amp;IF(ASH_CORRECTED&lt;&gt;"Yes","Root mass is NOT ash-corrected, so it includes adhering mineral soil and is too high. Set ASH_CORRECTED once you have done it. ","")&amp;IF(AND(ASH_CORRECTED="Yes",NOT(ISNUMBER($H35))),"Ash correction is switched on but no ash fraction is given for this row. ","")&amp;IF($I35="","Sieve mesh not recorded — a fine-root figure cannot be interpreted without it. ","")&amp;IF(AND(ISNUMBER($H35),$H35&gt;0.5),"Ash fraction above 0.5 — over half this sample was mineral soil. Re-wash. ","")&amp;IF($F35="Not separated","Live and dead not separated. Fine for a stock, but "&amp;"note it in reporting. ",""))</f>
        <v/>
      </c>
      <c r="P35" s="6" t="n"/>
      <c r="Q35" s="9">
        <f>IF($B35="",0,IF(COUNTIFS($B$5:$B35,$B35)=1,1,0))</f>
        <v/>
      </c>
    </row>
    <row r="36">
      <c r="A36" s="6" t="n"/>
      <c r="B36" s="6" t="n"/>
      <c r="C36" s="6" t="n"/>
      <c r="D36" s="6" t="n"/>
      <c r="E36" s="6" t="n"/>
      <c r="F36" s="6" t="n"/>
      <c r="G36" s="7" t="n"/>
      <c r="H36" s="7" t="n"/>
      <c r="I36" s="6" t="n"/>
      <c r="J36" s="9">
        <f>IF(NOT(ISNUMBER($G36)),"",IF(AND(ASH_CORRECTED="Yes",ISNUMBER($H36)),$G36*(1-$H36),$G36))</f>
        <v/>
      </c>
      <c r="K36" s="9">
        <f>IF($B36="","",IFERROR(AVERAGEIFS('2. Soil Data'!$G$5:$G$604,'2. Soil Data'!$B$5:$B$604,$B36),""))</f>
        <v/>
      </c>
      <c r="L36" s="9">
        <f>IF(NOT(ISNUMBER($K36)),"",PI()*($K36/2)^2)</f>
        <v/>
      </c>
      <c r="M36" s="9">
        <f>IF(OR(NOT(ISNUMBER($J36)),NOT(ISNUMBER($L36)),$L36=0),"",$J36/$L36*10000)</f>
        <v/>
      </c>
      <c r="N36" s="9">
        <f>IF(NOT(ISNUMBER($M36)),"",$M36*CARBON_FRACTION_ROOT/1000)</f>
        <v/>
      </c>
      <c r="O36" s="11">
        <f>IF(AND($A36="",$B36="",$G36=""),"",IF(AND($B36&lt;&gt;"",COUNTIFS('2. Soil Data'!$B$5:$B$604,$B36)=0),"Core ID not found in Soil Data, so the corer diameter cannot be looked up. ","")&amp;IF(ASH_CORRECTED&lt;&gt;"Yes","Root mass is NOT ash-corrected, so it includes adhering mineral soil and is too high. Set ASH_CORRECTED once you have done it. ","")&amp;IF(AND(ASH_CORRECTED="Yes",NOT(ISNUMBER($H36))),"Ash correction is switched on but no ash fraction is given for this row. ","")&amp;IF($I36="","Sieve mesh not recorded — a fine-root figure cannot be interpreted without it. ","")&amp;IF(AND(ISNUMBER($H36),$H36&gt;0.5),"Ash fraction above 0.5 — over half this sample was mineral soil. Re-wash. ","")&amp;IF($F36="Not separated","Live and dead not separated. Fine for a stock, but "&amp;"note it in reporting. ",""))</f>
        <v/>
      </c>
      <c r="P36" s="6" t="n"/>
      <c r="Q36" s="9">
        <f>IF($B36="",0,IF(COUNTIFS($B$5:$B36,$B36)=1,1,0))</f>
        <v/>
      </c>
    </row>
    <row r="37">
      <c r="A37" s="6" t="n"/>
      <c r="B37" s="6" t="n"/>
      <c r="C37" s="6" t="n"/>
      <c r="D37" s="6" t="n"/>
      <c r="E37" s="6" t="n"/>
      <c r="F37" s="6" t="n"/>
      <c r="G37" s="7" t="n"/>
      <c r="H37" s="7" t="n"/>
      <c r="I37" s="6" t="n"/>
      <c r="J37" s="9">
        <f>IF(NOT(ISNUMBER($G37)),"",IF(AND(ASH_CORRECTED="Yes",ISNUMBER($H37)),$G37*(1-$H37),$G37))</f>
        <v/>
      </c>
      <c r="K37" s="9">
        <f>IF($B37="","",IFERROR(AVERAGEIFS('2. Soil Data'!$G$5:$G$604,'2. Soil Data'!$B$5:$B$604,$B37),""))</f>
        <v/>
      </c>
      <c r="L37" s="9">
        <f>IF(NOT(ISNUMBER($K37)),"",PI()*($K37/2)^2)</f>
        <v/>
      </c>
      <c r="M37" s="9">
        <f>IF(OR(NOT(ISNUMBER($J37)),NOT(ISNUMBER($L37)),$L37=0),"",$J37/$L37*10000)</f>
        <v/>
      </c>
      <c r="N37" s="9">
        <f>IF(NOT(ISNUMBER($M37)),"",$M37*CARBON_FRACTION_ROOT/1000)</f>
        <v/>
      </c>
      <c r="O37" s="11">
        <f>IF(AND($A37="",$B37="",$G37=""),"",IF(AND($B37&lt;&gt;"",COUNTIFS('2. Soil Data'!$B$5:$B$604,$B37)=0),"Core ID not found in Soil Data, so the corer diameter cannot be looked up. ","")&amp;IF(ASH_CORRECTED&lt;&gt;"Yes","Root mass is NOT ash-corrected, so it includes adhering mineral soil and is too high. Set ASH_CORRECTED once you have done it. ","")&amp;IF(AND(ASH_CORRECTED="Yes",NOT(ISNUMBER($H37))),"Ash correction is switched on but no ash fraction is given for this row. ","")&amp;IF($I37="","Sieve mesh not recorded — a fine-root figure cannot be interpreted without it. ","")&amp;IF(AND(ISNUMBER($H37),$H37&gt;0.5),"Ash fraction above 0.5 — over half this sample was mineral soil. Re-wash. ","")&amp;IF($F37="Not separated","Live and dead not separated. Fine for a stock, but "&amp;"note it in reporting. ",""))</f>
        <v/>
      </c>
      <c r="P37" s="6" t="n"/>
      <c r="Q37" s="9">
        <f>IF($B37="",0,IF(COUNTIFS($B$5:$B37,$B37)=1,1,0))</f>
        <v/>
      </c>
    </row>
    <row r="38">
      <c r="A38" s="6" t="n"/>
      <c r="B38" s="6" t="n"/>
      <c r="C38" s="6" t="n"/>
      <c r="D38" s="6" t="n"/>
      <c r="E38" s="6" t="n"/>
      <c r="F38" s="6" t="n"/>
      <c r="G38" s="7" t="n"/>
      <c r="H38" s="7" t="n"/>
      <c r="I38" s="6" t="n"/>
      <c r="J38" s="9">
        <f>IF(NOT(ISNUMBER($G38)),"",IF(AND(ASH_CORRECTED="Yes",ISNUMBER($H38)),$G38*(1-$H38),$G38))</f>
        <v/>
      </c>
      <c r="K38" s="9">
        <f>IF($B38="","",IFERROR(AVERAGEIFS('2. Soil Data'!$G$5:$G$604,'2. Soil Data'!$B$5:$B$604,$B38),""))</f>
        <v/>
      </c>
      <c r="L38" s="9">
        <f>IF(NOT(ISNUMBER($K38)),"",PI()*($K38/2)^2)</f>
        <v/>
      </c>
      <c r="M38" s="9">
        <f>IF(OR(NOT(ISNUMBER($J38)),NOT(ISNUMBER($L38)),$L38=0),"",$J38/$L38*10000)</f>
        <v/>
      </c>
      <c r="N38" s="9">
        <f>IF(NOT(ISNUMBER($M38)),"",$M38*CARBON_FRACTION_ROOT/1000)</f>
        <v/>
      </c>
      <c r="O38" s="11">
        <f>IF(AND($A38="",$B38="",$G38=""),"",IF(AND($B38&lt;&gt;"",COUNTIFS('2. Soil Data'!$B$5:$B$604,$B38)=0),"Core ID not found in Soil Data, so the corer diameter cannot be looked up. ","")&amp;IF(ASH_CORRECTED&lt;&gt;"Yes","Root mass is NOT ash-corrected, so it includes adhering mineral soil and is too high. Set ASH_CORRECTED once you have done it. ","")&amp;IF(AND(ASH_CORRECTED="Yes",NOT(ISNUMBER($H38))),"Ash correction is switched on but no ash fraction is given for this row. ","")&amp;IF($I38="","Sieve mesh not recorded — a fine-root figure cannot be interpreted without it. ","")&amp;IF(AND(ISNUMBER($H38),$H38&gt;0.5),"Ash fraction above 0.5 — over half this sample was mineral soil. Re-wash. ","")&amp;IF($F38="Not separated","Live and dead not separated. Fine for a stock, but "&amp;"note it in reporting. ",""))</f>
        <v/>
      </c>
      <c r="P38" s="6" t="n"/>
      <c r="Q38" s="9">
        <f>IF($B38="",0,IF(COUNTIFS($B$5:$B38,$B38)=1,1,0))</f>
        <v/>
      </c>
    </row>
    <row r="39">
      <c r="A39" s="6" t="n"/>
      <c r="B39" s="6" t="n"/>
      <c r="C39" s="6" t="n"/>
      <c r="D39" s="6" t="n"/>
      <c r="E39" s="6" t="n"/>
      <c r="F39" s="6" t="n"/>
      <c r="G39" s="7" t="n"/>
      <c r="H39" s="7" t="n"/>
      <c r="I39" s="6" t="n"/>
      <c r="J39" s="9">
        <f>IF(NOT(ISNUMBER($G39)),"",IF(AND(ASH_CORRECTED="Yes",ISNUMBER($H39)),$G39*(1-$H39),$G39))</f>
        <v/>
      </c>
      <c r="K39" s="9">
        <f>IF($B39="","",IFERROR(AVERAGEIFS('2. Soil Data'!$G$5:$G$604,'2. Soil Data'!$B$5:$B$604,$B39),""))</f>
        <v/>
      </c>
      <c r="L39" s="9">
        <f>IF(NOT(ISNUMBER($K39)),"",PI()*($K39/2)^2)</f>
        <v/>
      </c>
      <c r="M39" s="9">
        <f>IF(OR(NOT(ISNUMBER($J39)),NOT(ISNUMBER($L39)),$L39=0),"",$J39/$L39*10000)</f>
        <v/>
      </c>
      <c r="N39" s="9">
        <f>IF(NOT(ISNUMBER($M39)),"",$M39*CARBON_FRACTION_ROOT/1000)</f>
        <v/>
      </c>
      <c r="O39" s="11">
        <f>IF(AND($A39="",$B39="",$G39=""),"",IF(AND($B39&lt;&gt;"",COUNTIFS('2. Soil Data'!$B$5:$B$604,$B39)=0),"Core ID not found in Soil Data, so the corer diameter cannot be looked up. ","")&amp;IF(ASH_CORRECTED&lt;&gt;"Yes","Root mass is NOT ash-corrected, so it includes adhering mineral soil and is too high. Set ASH_CORRECTED once you have done it. ","")&amp;IF(AND(ASH_CORRECTED="Yes",NOT(ISNUMBER($H39))),"Ash correction is switched on but no ash fraction is given for this row. ","")&amp;IF($I39="","Sieve mesh not recorded — a fine-root figure cannot be interpreted without it. ","")&amp;IF(AND(ISNUMBER($H39),$H39&gt;0.5),"Ash fraction above 0.5 — over half this sample was mineral soil. Re-wash. ","")&amp;IF($F39="Not separated","Live and dead not separated. Fine for a stock, but "&amp;"note it in reporting. ",""))</f>
        <v/>
      </c>
      <c r="P39" s="6" t="n"/>
      <c r="Q39" s="9">
        <f>IF($B39="",0,IF(COUNTIFS($B$5:$B39,$B39)=1,1,0))</f>
        <v/>
      </c>
    </row>
    <row r="40">
      <c r="A40" s="6" t="n"/>
      <c r="B40" s="6" t="n"/>
      <c r="C40" s="6" t="n"/>
      <c r="D40" s="6" t="n"/>
      <c r="E40" s="6" t="n"/>
      <c r="F40" s="6" t="n"/>
      <c r="G40" s="7" t="n"/>
      <c r="H40" s="7" t="n"/>
      <c r="I40" s="6" t="n"/>
      <c r="J40" s="9">
        <f>IF(NOT(ISNUMBER($G40)),"",IF(AND(ASH_CORRECTED="Yes",ISNUMBER($H40)),$G40*(1-$H40),$G40))</f>
        <v/>
      </c>
      <c r="K40" s="9">
        <f>IF($B40="","",IFERROR(AVERAGEIFS('2. Soil Data'!$G$5:$G$604,'2. Soil Data'!$B$5:$B$604,$B40),""))</f>
        <v/>
      </c>
      <c r="L40" s="9">
        <f>IF(NOT(ISNUMBER($K40)),"",PI()*($K40/2)^2)</f>
        <v/>
      </c>
      <c r="M40" s="9">
        <f>IF(OR(NOT(ISNUMBER($J40)),NOT(ISNUMBER($L40)),$L40=0),"",$J40/$L40*10000)</f>
        <v/>
      </c>
      <c r="N40" s="9">
        <f>IF(NOT(ISNUMBER($M40)),"",$M40*CARBON_FRACTION_ROOT/1000)</f>
        <v/>
      </c>
      <c r="O40" s="11">
        <f>IF(AND($A40="",$B40="",$G40=""),"",IF(AND($B40&lt;&gt;"",COUNTIFS('2. Soil Data'!$B$5:$B$604,$B40)=0),"Core ID not found in Soil Data, so the corer diameter cannot be looked up. ","")&amp;IF(ASH_CORRECTED&lt;&gt;"Yes","Root mass is NOT ash-corrected, so it includes adhering mineral soil and is too high. Set ASH_CORRECTED once you have done it. ","")&amp;IF(AND(ASH_CORRECTED="Yes",NOT(ISNUMBER($H40))),"Ash correction is switched on but no ash fraction is given for this row. ","")&amp;IF($I40="","Sieve mesh not recorded — a fine-root figure cannot be interpreted without it. ","")&amp;IF(AND(ISNUMBER($H40),$H40&gt;0.5),"Ash fraction above 0.5 — over half this sample was mineral soil. Re-wash. ","")&amp;IF($F40="Not separated","Live and dead not separated. Fine for a stock, but "&amp;"note it in reporting. ",""))</f>
        <v/>
      </c>
      <c r="P40" s="6" t="n"/>
      <c r="Q40" s="9">
        <f>IF($B40="",0,IF(COUNTIFS($B$5:$B40,$B40)=1,1,0))</f>
        <v/>
      </c>
    </row>
    <row r="41">
      <c r="A41" s="6" t="n"/>
      <c r="B41" s="6" t="n"/>
      <c r="C41" s="6" t="n"/>
      <c r="D41" s="6" t="n"/>
      <c r="E41" s="6" t="n"/>
      <c r="F41" s="6" t="n"/>
      <c r="G41" s="7" t="n"/>
      <c r="H41" s="7" t="n"/>
      <c r="I41" s="6" t="n"/>
      <c r="J41" s="9">
        <f>IF(NOT(ISNUMBER($G41)),"",IF(AND(ASH_CORRECTED="Yes",ISNUMBER($H41)),$G41*(1-$H41),$G41))</f>
        <v/>
      </c>
      <c r="K41" s="9">
        <f>IF($B41="","",IFERROR(AVERAGEIFS('2. Soil Data'!$G$5:$G$604,'2. Soil Data'!$B$5:$B$604,$B41),""))</f>
        <v/>
      </c>
      <c r="L41" s="9">
        <f>IF(NOT(ISNUMBER($K41)),"",PI()*($K41/2)^2)</f>
        <v/>
      </c>
      <c r="M41" s="9">
        <f>IF(OR(NOT(ISNUMBER($J41)),NOT(ISNUMBER($L41)),$L41=0),"",$J41/$L41*10000)</f>
        <v/>
      </c>
      <c r="N41" s="9">
        <f>IF(NOT(ISNUMBER($M41)),"",$M41*CARBON_FRACTION_ROOT/1000)</f>
        <v/>
      </c>
      <c r="O41" s="11">
        <f>IF(AND($A41="",$B41="",$G41=""),"",IF(AND($B41&lt;&gt;"",COUNTIFS('2. Soil Data'!$B$5:$B$604,$B41)=0),"Core ID not found in Soil Data, so the corer diameter cannot be looked up. ","")&amp;IF(ASH_CORRECTED&lt;&gt;"Yes","Root mass is NOT ash-corrected, so it includes adhering mineral soil and is too high. Set ASH_CORRECTED once you have done it. ","")&amp;IF(AND(ASH_CORRECTED="Yes",NOT(ISNUMBER($H41))),"Ash correction is switched on but no ash fraction is given for this row. ","")&amp;IF($I41="","Sieve mesh not recorded — a fine-root figure cannot be interpreted without it. ","")&amp;IF(AND(ISNUMBER($H41),$H41&gt;0.5),"Ash fraction above 0.5 — over half this sample was mineral soil. Re-wash. ","")&amp;IF($F41="Not separated","Live and dead not separated. Fine for a stock, but "&amp;"note it in reporting. ",""))</f>
        <v/>
      </c>
      <c r="P41" s="6" t="n"/>
      <c r="Q41" s="9">
        <f>IF($B41="",0,IF(COUNTIFS($B$5:$B41,$B41)=1,1,0))</f>
        <v/>
      </c>
    </row>
    <row r="42">
      <c r="A42" s="6" t="n"/>
      <c r="B42" s="6" t="n"/>
      <c r="C42" s="6" t="n"/>
      <c r="D42" s="6" t="n"/>
      <c r="E42" s="6" t="n"/>
      <c r="F42" s="6" t="n"/>
      <c r="G42" s="7" t="n"/>
      <c r="H42" s="7" t="n"/>
      <c r="I42" s="6" t="n"/>
      <c r="J42" s="9">
        <f>IF(NOT(ISNUMBER($G42)),"",IF(AND(ASH_CORRECTED="Yes",ISNUMBER($H42)),$G42*(1-$H42),$G42))</f>
        <v/>
      </c>
      <c r="K42" s="9">
        <f>IF($B42="","",IFERROR(AVERAGEIFS('2. Soil Data'!$G$5:$G$604,'2. Soil Data'!$B$5:$B$604,$B42),""))</f>
        <v/>
      </c>
      <c r="L42" s="9">
        <f>IF(NOT(ISNUMBER($K42)),"",PI()*($K42/2)^2)</f>
        <v/>
      </c>
      <c r="M42" s="9">
        <f>IF(OR(NOT(ISNUMBER($J42)),NOT(ISNUMBER($L42)),$L42=0),"",$J42/$L42*10000)</f>
        <v/>
      </c>
      <c r="N42" s="9">
        <f>IF(NOT(ISNUMBER($M42)),"",$M42*CARBON_FRACTION_ROOT/1000)</f>
        <v/>
      </c>
      <c r="O42" s="11">
        <f>IF(AND($A42="",$B42="",$G42=""),"",IF(AND($B42&lt;&gt;"",COUNTIFS('2. Soil Data'!$B$5:$B$604,$B42)=0),"Core ID not found in Soil Data, so the corer diameter cannot be looked up. ","")&amp;IF(ASH_CORRECTED&lt;&gt;"Yes","Root mass is NOT ash-corrected, so it includes adhering mineral soil and is too high. Set ASH_CORRECTED once you have done it. ","")&amp;IF(AND(ASH_CORRECTED="Yes",NOT(ISNUMBER($H42))),"Ash correction is switched on but no ash fraction is given for this row. ","")&amp;IF($I42="","Sieve mesh not recorded — a fine-root figure cannot be interpreted without it. ","")&amp;IF(AND(ISNUMBER($H42),$H42&gt;0.5),"Ash fraction above 0.5 — over half this sample was mineral soil. Re-wash. ","")&amp;IF($F42="Not separated","Live and dead not separated. Fine for a stock, but "&amp;"note it in reporting. ",""))</f>
        <v/>
      </c>
      <c r="P42" s="6" t="n"/>
      <c r="Q42" s="9">
        <f>IF($B42="",0,IF(COUNTIFS($B$5:$B42,$B42)=1,1,0))</f>
        <v/>
      </c>
    </row>
    <row r="43">
      <c r="A43" s="6" t="n"/>
      <c r="B43" s="6" t="n"/>
      <c r="C43" s="6" t="n"/>
      <c r="D43" s="6" t="n"/>
      <c r="E43" s="6" t="n"/>
      <c r="F43" s="6" t="n"/>
      <c r="G43" s="7" t="n"/>
      <c r="H43" s="7" t="n"/>
      <c r="I43" s="6" t="n"/>
      <c r="J43" s="9">
        <f>IF(NOT(ISNUMBER($G43)),"",IF(AND(ASH_CORRECTED="Yes",ISNUMBER($H43)),$G43*(1-$H43),$G43))</f>
        <v/>
      </c>
      <c r="K43" s="9">
        <f>IF($B43="","",IFERROR(AVERAGEIFS('2. Soil Data'!$G$5:$G$604,'2. Soil Data'!$B$5:$B$604,$B43),""))</f>
        <v/>
      </c>
      <c r="L43" s="9">
        <f>IF(NOT(ISNUMBER($K43)),"",PI()*($K43/2)^2)</f>
        <v/>
      </c>
      <c r="M43" s="9">
        <f>IF(OR(NOT(ISNUMBER($J43)),NOT(ISNUMBER($L43)),$L43=0),"",$J43/$L43*10000)</f>
        <v/>
      </c>
      <c r="N43" s="9">
        <f>IF(NOT(ISNUMBER($M43)),"",$M43*CARBON_FRACTION_ROOT/1000)</f>
        <v/>
      </c>
      <c r="O43" s="11">
        <f>IF(AND($A43="",$B43="",$G43=""),"",IF(AND($B43&lt;&gt;"",COUNTIFS('2. Soil Data'!$B$5:$B$604,$B43)=0),"Core ID not found in Soil Data, so the corer diameter cannot be looked up. ","")&amp;IF(ASH_CORRECTED&lt;&gt;"Yes","Root mass is NOT ash-corrected, so it includes adhering mineral soil and is too high. Set ASH_CORRECTED once you have done it. ","")&amp;IF(AND(ASH_CORRECTED="Yes",NOT(ISNUMBER($H43))),"Ash correction is switched on but no ash fraction is given for this row. ","")&amp;IF($I43="","Sieve mesh not recorded — a fine-root figure cannot be interpreted without it. ","")&amp;IF(AND(ISNUMBER($H43),$H43&gt;0.5),"Ash fraction above 0.5 — over half this sample was mineral soil. Re-wash. ","")&amp;IF($F43="Not separated","Live and dead not separated. Fine for a stock, but "&amp;"note it in reporting. ",""))</f>
        <v/>
      </c>
      <c r="P43" s="6" t="n"/>
      <c r="Q43" s="9">
        <f>IF($B43="",0,IF(COUNTIFS($B$5:$B43,$B43)=1,1,0))</f>
        <v/>
      </c>
    </row>
    <row r="44">
      <c r="A44" s="6" t="n"/>
      <c r="B44" s="6" t="n"/>
      <c r="C44" s="6" t="n"/>
      <c r="D44" s="6" t="n"/>
      <c r="E44" s="6" t="n"/>
      <c r="F44" s="6" t="n"/>
      <c r="G44" s="7" t="n"/>
      <c r="H44" s="7" t="n"/>
      <c r="I44" s="6" t="n"/>
      <c r="J44" s="9">
        <f>IF(NOT(ISNUMBER($G44)),"",IF(AND(ASH_CORRECTED="Yes",ISNUMBER($H44)),$G44*(1-$H44),$G44))</f>
        <v/>
      </c>
      <c r="K44" s="9">
        <f>IF($B44="","",IFERROR(AVERAGEIFS('2. Soil Data'!$G$5:$G$604,'2. Soil Data'!$B$5:$B$604,$B44),""))</f>
        <v/>
      </c>
      <c r="L44" s="9">
        <f>IF(NOT(ISNUMBER($K44)),"",PI()*($K44/2)^2)</f>
        <v/>
      </c>
      <c r="M44" s="9">
        <f>IF(OR(NOT(ISNUMBER($J44)),NOT(ISNUMBER($L44)),$L44=0),"",$J44/$L44*10000)</f>
        <v/>
      </c>
      <c r="N44" s="9">
        <f>IF(NOT(ISNUMBER($M44)),"",$M44*CARBON_FRACTION_ROOT/1000)</f>
        <v/>
      </c>
      <c r="O44" s="11">
        <f>IF(AND($A44="",$B44="",$G44=""),"",IF(AND($B44&lt;&gt;"",COUNTIFS('2. Soil Data'!$B$5:$B$604,$B44)=0),"Core ID not found in Soil Data, so the corer diameter cannot be looked up. ","")&amp;IF(ASH_CORRECTED&lt;&gt;"Yes","Root mass is NOT ash-corrected, so it includes adhering mineral soil and is too high. Set ASH_CORRECTED once you have done it. ","")&amp;IF(AND(ASH_CORRECTED="Yes",NOT(ISNUMBER($H44))),"Ash correction is switched on but no ash fraction is given for this row. ","")&amp;IF($I44="","Sieve mesh not recorded — a fine-root figure cannot be interpreted without it. ","")&amp;IF(AND(ISNUMBER($H44),$H44&gt;0.5),"Ash fraction above 0.5 — over half this sample was mineral soil. Re-wash. ","")&amp;IF($F44="Not separated","Live and dead not separated. Fine for a stock, but "&amp;"note it in reporting. ",""))</f>
        <v/>
      </c>
      <c r="P44" s="6" t="n"/>
      <c r="Q44" s="9">
        <f>IF($B44="",0,IF(COUNTIFS($B$5:$B44,$B44)=1,1,0))</f>
        <v/>
      </c>
    </row>
    <row r="45">
      <c r="A45" s="6" t="n"/>
      <c r="B45" s="6" t="n"/>
      <c r="C45" s="6" t="n"/>
      <c r="D45" s="6" t="n"/>
      <c r="E45" s="6" t="n"/>
      <c r="F45" s="6" t="n"/>
      <c r="G45" s="7" t="n"/>
      <c r="H45" s="7" t="n"/>
      <c r="I45" s="6" t="n"/>
      <c r="J45" s="9">
        <f>IF(NOT(ISNUMBER($G45)),"",IF(AND(ASH_CORRECTED="Yes",ISNUMBER($H45)),$G45*(1-$H45),$G45))</f>
        <v/>
      </c>
      <c r="K45" s="9">
        <f>IF($B45="","",IFERROR(AVERAGEIFS('2. Soil Data'!$G$5:$G$604,'2. Soil Data'!$B$5:$B$604,$B45),""))</f>
        <v/>
      </c>
      <c r="L45" s="9">
        <f>IF(NOT(ISNUMBER($K45)),"",PI()*($K45/2)^2)</f>
        <v/>
      </c>
      <c r="M45" s="9">
        <f>IF(OR(NOT(ISNUMBER($J45)),NOT(ISNUMBER($L45)),$L45=0),"",$J45/$L45*10000)</f>
        <v/>
      </c>
      <c r="N45" s="9">
        <f>IF(NOT(ISNUMBER($M45)),"",$M45*CARBON_FRACTION_ROOT/1000)</f>
        <v/>
      </c>
      <c r="O45" s="11">
        <f>IF(AND($A45="",$B45="",$G45=""),"",IF(AND($B45&lt;&gt;"",COUNTIFS('2. Soil Data'!$B$5:$B$604,$B45)=0),"Core ID not found in Soil Data, so the corer diameter cannot be looked up. ","")&amp;IF(ASH_CORRECTED&lt;&gt;"Yes","Root mass is NOT ash-corrected, so it includes adhering mineral soil and is too high. Set ASH_CORRECTED once you have done it. ","")&amp;IF(AND(ASH_CORRECTED="Yes",NOT(ISNUMBER($H45))),"Ash correction is switched on but no ash fraction is given for this row. ","")&amp;IF($I45="","Sieve mesh not recorded — a fine-root figure cannot be interpreted without it. ","")&amp;IF(AND(ISNUMBER($H45),$H45&gt;0.5),"Ash fraction above 0.5 — over half this sample was mineral soil. Re-wash. ","")&amp;IF($F45="Not separated","Live and dead not separated. Fine for a stock, but "&amp;"note it in reporting. ",""))</f>
        <v/>
      </c>
      <c r="P45" s="6" t="n"/>
      <c r="Q45" s="9">
        <f>IF($B45="",0,IF(COUNTIFS($B$5:$B45,$B45)=1,1,0))</f>
        <v/>
      </c>
    </row>
    <row r="46">
      <c r="A46" s="6" t="n"/>
      <c r="B46" s="6" t="n"/>
      <c r="C46" s="6" t="n"/>
      <c r="D46" s="6" t="n"/>
      <c r="E46" s="6" t="n"/>
      <c r="F46" s="6" t="n"/>
      <c r="G46" s="7" t="n"/>
      <c r="H46" s="7" t="n"/>
      <c r="I46" s="6" t="n"/>
      <c r="J46" s="9">
        <f>IF(NOT(ISNUMBER($G46)),"",IF(AND(ASH_CORRECTED="Yes",ISNUMBER($H46)),$G46*(1-$H46),$G46))</f>
        <v/>
      </c>
      <c r="K46" s="9">
        <f>IF($B46="","",IFERROR(AVERAGEIFS('2. Soil Data'!$G$5:$G$604,'2. Soil Data'!$B$5:$B$604,$B46),""))</f>
        <v/>
      </c>
      <c r="L46" s="9">
        <f>IF(NOT(ISNUMBER($K46)),"",PI()*($K46/2)^2)</f>
        <v/>
      </c>
      <c r="M46" s="9">
        <f>IF(OR(NOT(ISNUMBER($J46)),NOT(ISNUMBER($L46)),$L46=0),"",$J46/$L46*10000)</f>
        <v/>
      </c>
      <c r="N46" s="9">
        <f>IF(NOT(ISNUMBER($M46)),"",$M46*CARBON_FRACTION_ROOT/1000)</f>
        <v/>
      </c>
      <c r="O46" s="11">
        <f>IF(AND($A46="",$B46="",$G46=""),"",IF(AND($B46&lt;&gt;"",COUNTIFS('2. Soil Data'!$B$5:$B$604,$B46)=0),"Core ID not found in Soil Data, so the corer diameter cannot be looked up. ","")&amp;IF(ASH_CORRECTED&lt;&gt;"Yes","Root mass is NOT ash-corrected, so it includes adhering mineral soil and is too high. Set ASH_CORRECTED once you have done it. ","")&amp;IF(AND(ASH_CORRECTED="Yes",NOT(ISNUMBER($H46))),"Ash correction is switched on but no ash fraction is given for this row. ","")&amp;IF($I46="","Sieve mesh not recorded — a fine-root figure cannot be interpreted without it. ","")&amp;IF(AND(ISNUMBER($H46),$H46&gt;0.5),"Ash fraction above 0.5 — over half this sample was mineral soil. Re-wash. ","")&amp;IF($F46="Not separated","Live and dead not separated. Fine for a stock, but "&amp;"note it in reporting. ",""))</f>
        <v/>
      </c>
      <c r="P46" s="6" t="n"/>
      <c r="Q46" s="9">
        <f>IF($B46="",0,IF(COUNTIFS($B$5:$B46,$B46)=1,1,0))</f>
        <v/>
      </c>
    </row>
    <row r="47">
      <c r="A47" s="6" t="n"/>
      <c r="B47" s="6" t="n"/>
      <c r="C47" s="6" t="n"/>
      <c r="D47" s="6" t="n"/>
      <c r="E47" s="6" t="n"/>
      <c r="F47" s="6" t="n"/>
      <c r="G47" s="7" t="n"/>
      <c r="H47" s="7" t="n"/>
      <c r="I47" s="6" t="n"/>
      <c r="J47" s="9">
        <f>IF(NOT(ISNUMBER($G47)),"",IF(AND(ASH_CORRECTED="Yes",ISNUMBER($H47)),$G47*(1-$H47),$G47))</f>
        <v/>
      </c>
      <c r="K47" s="9">
        <f>IF($B47="","",IFERROR(AVERAGEIFS('2. Soil Data'!$G$5:$G$604,'2. Soil Data'!$B$5:$B$604,$B47),""))</f>
        <v/>
      </c>
      <c r="L47" s="9">
        <f>IF(NOT(ISNUMBER($K47)),"",PI()*($K47/2)^2)</f>
        <v/>
      </c>
      <c r="M47" s="9">
        <f>IF(OR(NOT(ISNUMBER($J47)),NOT(ISNUMBER($L47)),$L47=0),"",$J47/$L47*10000)</f>
        <v/>
      </c>
      <c r="N47" s="9">
        <f>IF(NOT(ISNUMBER($M47)),"",$M47*CARBON_FRACTION_ROOT/1000)</f>
        <v/>
      </c>
      <c r="O47" s="11">
        <f>IF(AND($A47="",$B47="",$G47=""),"",IF(AND($B47&lt;&gt;"",COUNTIFS('2. Soil Data'!$B$5:$B$604,$B47)=0),"Core ID not found in Soil Data, so the corer diameter cannot be looked up. ","")&amp;IF(ASH_CORRECTED&lt;&gt;"Yes","Root mass is NOT ash-corrected, so it includes adhering mineral soil and is too high. Set ASH_CORRECTED once you have done it. ","")&amp;IF(AND(ASH_CORRECTED="Yes",NOT(ISNUMBER($H47))),"Ash correction is switched on but no ash fraction is given for this row. ","")&amp;IF($I47="","Sieve mesh not recorded — a fine-root figure cannot be interpreted without it. ","")&amp;IF(AND(ISNUMBER($H47),$H47&gt;0.5),"Ash fraction above 0.5 — over half this sample was mineral soil. Re-wash. ","")&amp;IF($F47="Not separated","Live and dead not separated. Fine for a stock, but "&amp;"note it in reporting. ",""))</f>
        <v/>
      </c>
      <c r="P47" s="6" t="n"/>
      <c r="Q47" s="9">
        <f>IF($B47="",0,IF(COUNTIFS($B$5:$B47,$B47)=1,1,0))</f>
        <v/>
      </c>
    </row>
    <row r="48">
      <c r="A48" s="6" t="n"/>
      <c r="B48" s="6" t="n"/>
      <c r="C48" s="6" t="n"/>
      <c r="D48" s="6" t="n"/>
      <c r="E48" s="6" t="n"/>
      <c r="F48" s="6" t="n"/>
      <c r="G48" s="7" t="n"/>
      <c r="H48" s="7" t="n"/>
      <c r="I48" s="6" t="n"/>
      <c r="J48" s="9">
        <f>IF(NOT(ISNUMBER($G48)),"",IF(AND(ASH_CORRECTED="Yes",ISNUMBER($H48)),$G48*(1-$H48),$G48))</f>
        <v/>
      </c>
      <c r="K48" s="9">
        <f>IF($B48="","",IFERROR(AVERAGEIFS('2. Soil Data'!$G$5:$G$604,'2. Soil Data'!$B$5:$B$604,$B48),""))</f>
        <v/>
      </c>
      <c r="L48" s="9">
        <f>IF(NOT(ISNUMBER($K48)),"",PI()*($K48/2)^2)</f>
        <v/>
      </c>
      <c r="M48" s="9">
        <f>IF(OR(NOT(ISNUMBER($J48)),NOT(ISNUMBER($L48)),$L48=0),"",$J48/$L48*10000)</f>
        <v/>
      </c>
      <c r="N48" s="9">
        <f>IF(NOT(ISNUMBER($M48)),"",$M48*CARBON_FRACTION_ROOT/1000)</f>
        <v/>
      </c>
      <c r="O48" s="11">
        <f>IF(AND($A48="",$B48="",$G48=""),"",IF(AND($B48&lt;&gt;"",COUNTIFS('2. Soil Data'!$B$5:$B$604,$B48)=0),"Core ID not found in Soil Data, so the corer diameter cannot be looked up. ","")&amp;IF(ASH_CORRECTED&lt;&gt;"Yes","Root mass is NOT ash-corrected, so it includes adhering mineral soil and is too high. Set ASH_CORRECTED once you have done it. ","")&amp;IF(AND(ASH_CORRECTED="Yes",NOT(ISNUMBER($H48))),"Ash correction is switched on but no ash fraction is given for this row. ","")&amp;IF($I48="","Sieve mesh not recorded — a fine-root figure cannot be interpreted without it. ","")&amp;IF(AND(ISNUMBER($H48),$H48&gt;0.5),"Ash fraction above 0.5 — over half this sample was mineral soil. Re-wash. ","")&amp;IF($F48="Not separated","Live and dead not separated. Fine for a stock, but "&amp;"note it in reporting. ",""))</f>
        <v/>
      </c>
      <c r="P48" s="6" t="n"/>
      <c r="Q48" s="9">
        <f>IF($B48="",0,IF(COUNTIFS($B$5:$B48,$B48)=1,1,0))</f>
        <v/>
      </c>
    </row>
    <row r="49">
      <c r="A49" s="6" t="n"/>
      <c r="B49" s="6" t="n"/>
      <c r="C49" s="6" t="n"/>
      <c r="D49" s="6" t="n"/>
      <c r="E49" s="6" t="n"/>
      <c r="F49" s="6" t="n"/>
      <c r="G49" s="7" t="n"/>
      <c r="H49" s="7" t="n"/>
      <c r="I49" s="6" t="n"/>
      <c r="J49" s="9">
        <f>IF(NOT(ISNUMBER($G49)),"",IF(AND(ASH_CORRECTED="Yes",ISNUMBER($H49)),$G49*(1-$H49),$G49))</f>
        <v/>
      </c>
      <c r="K49" s="9">
        <f>IF($B49="","",IFERROR(AVERAGEIFS('2. Soil Data'!$G$5:$G$604,'2. Soil Data'!$B$5:$B$604,$B49),""))</f>
        <v/>
      </c>
      <c r="L49" s="9">
        <f>IF(NOT(ISNUMBER($K49)),"",PI()*($K49/2)^2)</f>
        <v/>
      </c>
      <c r="M49" s="9">
        <f>IF(OR(NOT(ISNUMBER($J49)),NOT(ISNUMBER($L49)),$L49=0),"",$J49/$L49*10000)</f>
        <v/>
      </c>
      <c r="N49" s="9">
        <f>IF(NOT(ISNUMBER($M49)),"",$M49*CARBON_FRACTION_ROOT/1000)</f>
        <v/>
      </c>
      <c r="O49" s="11">
        <f>IF(AND($A49="",$B49="",$G49=""),"",IF(AND($B49&lt;&gt;"",COUNTIFS('2. Soil Data'!$B$5:$B$604,$B49)=0),"Core ID not found in Soil Data, so the corer diameter cannot be looked up. ","")&amp;IF(ASH_CORRECTED&lt;&gt;"Yes","Root mass is NOT ash-corrected, so it includes adhering mineral soil and is too high. Set ASH_CORRECTED once you have done it. ","")&amp;IF(AND(ASH_CORRECTED="Yes",NOT(ISNUMBER($H49))),"Ash correction is switched on but no ash fraction is given for this row. ","")&amp;IF($I49="","Sieve mesh not recorded — a fine-root figure cannot be interpreted without it. ","")&amp;IF(AND(ISNUMBER($H49),$H49&gt;0.5),"Ash fraction above 0.5 — over half this sample was mineral soil. Re-wash. ","")&amp;IF($F49="Not separated","Live and dead not separated. Fine for a stock, but "&amp;"note it in reporting. ",""))</f>
        <v/>
      </c>
      <c r="P49" s="6" t="n"/>
      <c r="Q49" s="9">
        <f>IF($B49="",0,IF(COUNTIFS($B$5:$B49,$B49)=1,1,0))</f>
        <v/>
      </c>
    </row>
    <row r="50">
      <c r="A50" s="6" t="n"/>
      <c r="B50" s="6" t="n"/>
      <c r="C50" s="6" t="n"/>
      <c r="D50" s="6" t="n"/>
      <c r="E50" s="6" t="n"/>
      <c r="F50" s="6" t="n"/>
      <c r="G50" s="7" t="n"/>
      <c r="H50" s="7" t="n"/>
      <c r="I50" s="6" t="n"/>
      <c r="J50" s="9">
        <f>IF(NOT(ISNUMBER($G50)),"",IF(AND(ASH_CORRECTED="Yes",ISNUMBER($H50)),$G50*(1-$H50),$G50))</f>
        <v/>
      </c>
      <c r="K50" s="9">
        <f>IF($B50="","",IFERROR(AVERAGEIFS('2. Soil Data'!$G$5:$G$604,'2. Soil Data'!$B$5:$B$604,$B50),""))</f>
        <v/>
      </c>
      <c r="L50" s="9">
        <f>IF(NOT(ISNUMBER($K50)),"",PI()*($K50/2)^2)</f>
        <v/>
      </c>
      <c r="M50" s="9">
        <f>IF(OR(NOT(ISNUMBER($J50)),NOT(ISNUMBER($L50)),$L50=0),"",$J50/$L50*10000)</f>
        <v/>
      </c>
      <c r="N50" s="9">
        <f>IF(NOT(ISNUMBER($M50)),"",$M50*CARBON_FRACTION_ROOT/1000)</f>
        <v/>
      </c>
      <c r="O50" s="11">
        <f>IF(AND($A50="",$B50="",$G50=""),"",IF(AND($B50&lt;&gt;"",COUNTIFS('2. Soil Data'!$B$5:$B$604,$B50)=0),"Core ID not found in Soil Data, so the corer diameter cannot be looked up. ","")&amp;IF(ASH_CORRECTED&lt;&gt;"Yes","Root mass is NOT ash-corrected, so it includes adhering mineral soil and is too high. Set ASH_CORRECTED once you have done it. ","")&amp;IF(AND(ASH_CORRECTED="Yes",NOT(ISNUMBER($H50))),"Ash correction is switched on but no ash fraction is given for this row. ","")&amp;IF($I50="","Sieve mesh not recorded — a fine-root figure cannot be interpreted without it. ","")&amp;IF(AND(ISNUMBER($H50),$H50&gt;0.5),"Ash fraction above 0.5 — over half this sample was mineral soil. Re-wash. ","")&amp;IF($F50="Not separated","Live and dead not separated. Fine for a stock, but "&amp;"note it in reporting. ",""))</f>
        <v/>
      </c>
      <c r="P50" s="6" t="n"/>
      <c r="Q50" s="9">
        <f>IF($B50="",0,IF(COUNTIFS($B$5:$B50,$B50)=1,1,0))</f>
        <v/>
      </c>
    </row>
    <row r="51">
      <c r="A51" s="6" t="n"/>
      <c r="B51" s="6" t="n"/>
      <c r="C51" s="6" t="n"/>
      <c r="D51" s="6" t="n"/>
      <c r="E51" s="6" t="n"/>
      <c r="F51" s="6" t="n"/>
      <c r="G51" s="7" t="n"/>
      <c r="H51" s="7" t="n"/>
      <c r="I51" s="6" t="n"/>
      <c r="J51" s="9">
        <f>IF(NOT(ISNUMBER($G51)),"",IF(AND(ASH_CORRECTED="Yes",ISNUMBER($H51)),$G51*(1-$H51),$G51))</f>
        <v/>
      </c>
      <c r="K51" s="9">
        <f>IF($B51="","",IFERROR(AVERAGEIFS('2. Soil Data'!$G$5:$G$604,'2. Soil Data'!$B$5:$B$604,$B51),""))</f>
        <v/>
      </c>
      <c r="L51" s="9">
        <f>IF(NOT(ISNUMBER($K51)),"",PI()*($K51/2)^2)</f>
        <v/>
      </c>
      <c r="M51" s="9">
        <f>IF(OR(NOT(ISNUMBER($J51)),NOT(ISNUMBER($L51)),$L51=0),"",$J51/$L51*10000)</f>
        <v/>
      </c>
      <c r="N51" s="9">
        <f>IF(NOT(ISNUMBER($M51)),"",$M51*CARBON_FRACTION_ROOT/1000)</f>
        <v/>
      </c>
      <c r="O51" s="11">
        <f>IF(AND($A51="",$B51="",$G51=""),"",IF(AND($B51&lt;&gt;"",COUNTIFS('2. Soil Data'!$B$5:$B$604,$B51)=0),"Core ID not found in Soil Data, so the corer diameter cannot be looked up. ","")&amp;IF(ASH_CORRECTED&lt;&gt;"Yes","Root mass is NOT ash-corrected, so it includes adhering mineral soil and is too high. Set ASH_CORRECTED once you have done it. ","")&amp;IF(AND(ASH_CORRECTED="Yes",NOT(ISNUMBER($H51))),"Ash correction is switched on but no ash fraction is given for this row. ","")&amp;IF($I51="","Sieve mesh not recorded — a fine-root figure cannot be interpreted without it. ","")&amp;IF(AND(ISNUMBER($H51),$H51&gt;0.5),"Ash fraction above 0.5 — over half this sample was mineral soil. Re-wash. ","")&amp;IF($F51="Not separated","Live and dead not separated. Fine for a stock, but "&amp;"note it in reporting. ",""))</f>
        <v/>
      </c>
      <c r="P51" s="6" t="n"/>
      <c r="Q51" s="9">
        <f>IF($B51="",0,IF(COUNTIFS($B$5:$B51,$B51)=1,1,0))</f>
        <v/>
      </c>
    </row>
    <row r="52">
      <c r="A52" s="6" t="n"/>
      <c r="B52" s="6" t="n"/>
      <c r="C52" s="6" t="n"/>
      <c r="D52" s="6" t="n"/>
      <c r="E52" s="6" t="n"/>
      <c r="F52" s="6" t="n"/>
      <c r="G52" s="7" t="n"/>
      <c r="H52" s="7" t="n"/>
      <c r="I52" s="6" t="n"/>
      <c r="J52" s="9">
        <f>IF(NOT(ISNUMBER($G52)),"",IF(AND(ASH_CORRECTED="Yes",ISNUMBER($H52)),$G52*(1-$H52),$G52))</f>
        <v/>
      </c>
      <c r="K52" s="9">
        <f>IF($B52="","",IFERROR(AVERAGEIFS('2. Soil Data'!$G$5:$G$604,'2. Soil Data'!$B$5:$B$604,$B52),""))</f>
        <v/>
      </c>
      <c r="L52" s="9">
        <f>IF(NOT(ISNUMBER($K52)),"",PI()*($K52/2)^2)</f>
        <v/>
      </c>
      <c r="M52" s="9">
        <f>IF(OR(NOT(ISNUMBER($J52)),NOT(ISNUMBER($L52)),$L52=0),"",$J52/$L52*10000)</f>
        <v/>
      </c>
      <c r="N52" s="9">
        <f>IF(NOT(ISNUMBER($M52)),"",$M52*CARBON_FRACTION_ROOT/1000)</f>
        <v/>
      </c>
      <c r="O52" s="11">
        <f>IF(AND($A52="",$B52="",$G52=""),"",IF(AND($B52&lt;&gt;"",COUNTIFS('2. Soil Data'!$B$5:$B$604,$B52)=0),"Core ID not found in Soil Data, so the corer diameter cannot be looked up. ","")&amp;IF(ASH_CORRECTED&lt;&gt;"Yes","Root mass is NOT ash-corrected, so it includes adhering mineral soil and is too high. Set ASH_CORRECTED once you have done it. ","")&amp;IF(AND(ASH_CORRECTED="Yes",NOT(ISNUMBER($H52))),"Ash correction is switched on but no ash fraction is given for this row. ","")&amp;IF($I52="","Sieve mesh not recorded — a fine-root figure cannot be interpreted without it. ","")&amp;IF(AND(ISNUMBER($H52),$H52&gt;0.5),"Ash fraction above 0.5 — over half this sample was mineral soil. Re-wash. ","")&amp;IF($F52="Not separated","Live and dead not separated. Fine for a stock, but "&amp;"note it in reporting. ",""))</f>
        <v/>
      </c>
      <c r="P52" s="6" t="n"/>
      <c r="Q52" s="9">
        <f>IF($B52="",0,IF(COUNTIFS($B$5:$B52,$B52)=1,1,0))</f>
        <v/>
      </c>
    </row>
    <row r="53">
      <c r="A53" s="6" t="n"/>
      <c r="B53" s="6" t="n"/>
      <c r="C53" s="6" t="n"/>
      <c r="D53" s="6" t="n"/>
      <c r="E53" s="6" t="n"/>
      <c r="F53" s="6" t="n"/>
      <c r="G53" s="7" t="n"/>
      <c r="H53" s="7" t="n"/>
      <c r="I53" s="6" t="n"/>
      <c r="J53" s="9">
        <f>IF(NOT(ISNUMBER($G53)),"",IF(AND(ASH_CORRECTED="Yes",ISNUMBER($H53)),$G53*(1-$H53),$G53))</f>
        <v/>
      </c>
      <c r="K53" s="9">
        <f>IF($B53="","",IFERROR(AVERAGEIFS('2. Soil Data'!$G$5:$G$604,'2. Soil Data'!$B$5:$B$604,$B53),""))</f>
        <v/>
      </c>
      <c r="L53" s="9">
        <f>IF(NOT(ISNUMBER($K53)),"",PI()*($K53/2)^2)</f>
        <v/>
      </c>
      <c r="M53" s="9">
        <f>IF(OR(NOT(ISNUMBER($J53)),NOT(ISNUMBER($L53)),$L53=0),"",$J53/$L53*10000)</f>
        <v/>
      </c>
      <c r="N53" s="9">
        <f>IF(NOT(ISNUMBER($M53)),"",$M53*CARBON_FRACTION_ROOT/1000)</f>
        <v/>
      </c>
      <c r="O53" s="11">
        <f>IF(AND($A53="",$B53="",$G53=""),"",IF(AND($B53&lt;&gt;"",COUNTIFS('2. Soil Data'!$B$5:$B$604,$B53)=0),"Core ID not found in Soil Data, so the corer diameter cannot be looked up. ","")&amp;IF(ASH_CORRECTED&lt;&gt;"Yes","Root mass is NOT ash-corrected, so it includes adhering mineral soil and is too high. Set ASH_CORRECTED once you have done it. ","")&amp;IF(AND(ASH_CORRECTED="Yes",NOT(ISNUMBER($H53))),"Ash correction is switched on but no ash fraction is given for this row. ","")&amp;IF($I53="","Sieve mesh not recorded — a fine-root figure cannot be interpreted without it. ","")&amp;IF(AND(ISNUMBER($H53),$H53&gt;0.5),"Ash fraction above 0.5 — over half this sample was mineral soil. Re-wash. ","")&amp;IF($F53="Not separated","Live and dead not separated. Fine for a stock, but "&amp;"note it in reporting. ",""))</f>
        <v/>
      </c>
      <c r="P53" s="6" t="n"/>
      <c r="Q53" s="9">
        <f>IF($B53="",0,IF(COUNTIFS($B$5:$B53,$B53)=1,1,0))</f>
        <v/>
      </c>
    </row>
    <row r="54">
      <c r="A54" s="6" t="n"/>
      <c r="B54" s="6" t="n"/>
      <c r="C54" s="6" t="n"/>
      <c r="D54" s="6" t="n"/>
      <c r="E54" s="6" t="n"/>
      <c r="F54" s="6" t="n"/>
      <c r="G54" s="7" t="n"/>
      <c r="H54" s="7" t="n"/>
      <c r="I54" s="6" t="n"/>
      <c r="J54" s="9">
        <f>IF(NOT(ISNUMBER($G54)),"",IF(AND(ASH_CORRECTED="Yes",ISNUMBER($H54)),$G54*(1-$H54),$G54))</f>
        <v/>
      </c>
      <c r="K54" s="9">
        <f>IF($B54="","",IFERROR(AVERAGEIFS('2. Soil Data'!$G$5:$G$604,'2. Soil Data'!$B$5:$B$604,$B54),""))</f>
        <v/>
      </c>
      <c r="L54" s="9">
        <f>IF(NOT(ISNUMBER($K54)),"",PI()*($K54/2)^2)</f>
        <v/>
      </c>
      <c r="M54" s="9">
        <f>IF(OR(NOT(ISNUMBER($J54)),NOT(ISNUMBER($L54)),$L54=0),"",$J54/$L54*10000)</f>
        <v/>
      </c>
      <c r="N54" s="9">
        <f>IF(NOT(ISNUMBER($M54)),"",$M54*CARBON_FRACTION_ROOT/1000)</f>
        <v/>
      </c>
      <c r="O54" s="11">
        <f>IF(AND($A54="",$B54="",$G54=""),"",IF(AND($B54&lt;&gt;"",COUNTIFS('2. Soil Data'!$B$5:$B$604,$B54)=0),"Core ID not found in Soil Data, so the corer diameter cannot be looked up. ","")&amp;IF(ASH_CORRECTED&lt;&gt;"Yes","Root mass is NOT ash-corrected, so it includes adhering mineral soil and is too high. Set ASH_CORRECTED once you have done it. ","")&amp;IF(AND(ASH_CORRECTED="Yes",NOT(ISNUMBER($H54))),"Ash correction is switched on but no ash fraction is given for this row. ","")&amp;IF($I54="","Sieve mesh not recorded — a fine-root figure cannot be interpreted without it. ","")&amp;IF(AND(ISNUMBER($H54),$H54&gt;0.5),"Ash fraction above 0.5 — over half this sample was mineral soil. Re-wash. ","")&amp;IF($F54="Not separated","Live and dead not separated. Fine for a stock, but "&amp;"note it in reporting. ",""))</f>
        <v/>
      </c>
      <c r="P54" s="6" t="n"/>
      <c r="Q54" s="9">
        <f>IF($B54="",0,IF(COUNTIFS($B$5:$B54,$B54)=1,1,0))</f>
        <v/>
      </c>
    </row>
    <row r="55">
      <c r="A55" s="6" t="n"/>
      <c r="B55" s="6" t="n"/>
      <c r="C55" s="6" t="n"/>
      <c r="D55" s="6" t="n"/>
      <c r="E55" s="6" t="n"/>
      <c r="F55" s="6" t="n"/>
      <c r="G55" s="7" t="n"/>
      <c r="H55" s="7" t="n"/>
      <c r="I55" s="6" t="n"/>
      <c r="J55" s="9">
        <f>IF(NOT(ISNUMBER($G55)),"",IF(AND(ASH_CORRECTED="Yes",ISNUMBER($H55)),$G55*(1-$H55),$G55))</f>
        <v/>
      </c>
      <c r="K55" s="9">
        <f>IF($B55="","",IFERROR(AVERAGEIFS('2. Soil Data'!$G$5:$G$604,'2. Soil Data'!$B$5:$B$604,$B55),""))</f>
        <v/>
      </c>
      <c r="L55" s="9">
        <f>IF(NOT(ISNUMBER($K55)),"",PI()*($K55/2)^2)</f>
        <v/>
      </c>
      <c r="M55" s="9">
        <f>IF(OR(NOT(ISNUMBER($J55)),NOT(ISNUMBER($L55)),$L55=0),"",$J55/$L55*10000)</f>
        <v/>
      </c>
      <c r="N55" s="9">
        <f>IF(NOT(ISNUMBER($M55)),"",$M55*CARBON_FRACTION_ROOT/1000)</f>
        <v/>
      </c>
      <c r="O55" s="11">
        <f>IF(AND($A55="",$B55="",$G55=""),"",IF(AND($B55&lt;&gt;"",COUNTIFS('2. Soil Data'!$B$5:$B$604,$B55)=0),"Core ID not found in Soil Data, so the corer diameter cannot be looked up. ","")&amp;IF(ASH_CORRECTED&lt;&gt;"Yes","Root mass is NOT ash-corrected, so it includes adhering mineral soil and is too high. Set ASH_CORRECTED once you have done it. ","")&amp;IF(AND(ASH_CORRECTED="Yes",NOT(ISNUMBER($H55))),"Ash correction is switched on but no ash fraction is given for this row. ","")&amp;IF($I55="","Sieve mesh not recorded — a fine-root figure cannot be interpreted without it. ","")&amp;IF(AND(ISNUMBER($H55),$H55&gt;0.5),"Ash fraction above 0.5 — over half this sample was mineral soil. Re-wash. ","")&amp;IF($F55="Not separated","Live and dead not separated. Fine for a stock, but "&amp;"note it in reporting. ",""))</f>
        <v/>
      </c>
      <c r="P55" s="6" t="n"/>
      <c r="Q55" s="9">
        <f>IF($B55="",0,IF(COUNTIFS($B$5:$B55,$B55)=1,1,0))</f>
        <v/>
      </c>
    </row>
    <row r="56">
      <c r="A56" s="6" t="n"/>
      <c r="B56" s="6" t="n"/>
      <c r="C56" s="6" t="n"/>
      <c r="D56" s="6" t="n"/>
      <c r="E56" s="6" t="n"/>
      <c r="F56" s="6" t="n"/>
      <c r="G56" s="7" t="n"/>
      <c r="H56" s="7" t="n"/>
      <c r="I56" s="6" t="n"/>
      <c r="J56" s="9">
        <f>IF(NOT(ISNUMBER($G56)),"",IF(AND(ASH_CORRECTED="Yes",ISNUMBER($H56)),$G56*(1-$H56),$G56))</f>
        <v/>
      </c>
      <c r="K56" s="9">
        <f>IF($B56="","",IFERROR(AVERAGEIFS('2. Soil Data'!$G$5:$G$604,'2. Soil Data'!$B$5:$B$604,$B56),""))</f>
        <v/>
      </c>
      <c r="L56" s="9">
        <f>IF(NOT(ISNUMBER($K56)),"",PI()*($K56/2)^2)</f>
        <v/>
      </c>
      <c r="M56" s="9">
        <f>IF(OR(NOT(ISNUMBER($J56)),NOT(ISNUMBER($L56)),$L56=0),"",$J56/$L56*10000)</f>
        <v/>
      </c>
      <c r="N56" s="9">
        <f>IF(NOT(ISNUMBER($M56)),"",$M56*CARBON_FRACTION_ROOT/1000)</f>
        <v/>
      </c>
      <c r="O56" s="11">
        <f>IF(AND($A56="",$B56="",$G56=""),"",IF(AND($B56&lt;&gt;"",COUNTIFS('2. Soil Data'!$B$5:$B$604,$B56)=0),"Core ID not found in Soil Data, so the corer diameter cannot be looked up. ","")&amp;IF(ASH_CORRECTED&lt;&gt;"Yes","Root mass is NOT ash-corrected, so it includes adhering mineral soil and is too high. Set ASH_CORRECTED once you have done it. ","")&amp;IF(AND(ASH_CORRECTED="Yes",NOT(ISNUMBER($H56))),"Ash correction is switched on but no ash fraction is given for this row. ","")&amp;IF($I56="","Sieve mesh not recorded — a fine-root figure cannot be interpreted without it. ","")&amp;IF(AND(ISNUMBER($H56),$H56&gt;0.5),"Ash fraction above 0.5 — over half this sample was mineral soil. Re-wash. ","")&amp;IF($F56="Not separated","Live and dead not separated. Fine for a stock, but "&amp;"note it in reporting. ",""))</f>
        <v/>
      </c>
      <c r="P56" s="6" t="n"/>
      <c r="Q56" s="9">
        <f>IF($B56="",0,IF(COUNTIFS($B$5:$B56,$B56)=1,1,0))</f>
        <v/>
      </c>
    </row>
    <row r="57">
      <c r="A57" s="6" t="n"/>
      <c r="B57" s="6" t="n"/>
      <c r="C57" s="6" t="n"/>
      <c r="D57" s="6" t="n"/>
      <c r="E57" s="6" t="n"/>
      <c r="F57" s="6" t="n"/>
      <c r="G57" s="7" t="n"/>
      <c r="H57" s="7" t="n"/>
      <c r="I57" s="6" t="n"/>
      <c r="J57" s="9">
        <f>IF(NOT(ISNUMBER($G57)),"",IF(AND(ASH_CORRECTED="Yes",ISNUMBER($H57)),$G57*(1-$H57),$G57))</f>
        <v/>
      </c>
      <c r="K57" s="9">
        <f>IF($B57="","",IFERROR(AVERAGEIFS('2. Soil Data'!$G$5:$G$604,'2. Soil Data'!$B$5:$B$604,$B57),""))</f>
        <v/>
      </c>
      <c r="L57" s="9">
        <f>IF(NOT(ISNUMBER($K57)),"",PI()*($K57/2)^2)</f>
        <v/>
      </c>
      <c r="M57" s="9">
        <f>IF(OR(NOT(ISNUMBER($J57)),NOT(ISNUMBER($L57)),$L57=0),"",$J57/$L57*10000)</f>
        <v/>
      </c>
      <c r="N57" s="9">
        <f>IF(NOT(ISNUMBER($M57)),"",$M57*CARBON_FRACTION_ROOT/1000)</f>
        <v/>
      </c>
      <c r="O57" s="11">
        <f>IF(AND($A57="",$B57="",$G57=""),"",IF(AND($B57&lt;&gt;"",COUNTIFS('2. Soil Data'!$B$5:$B$604,$B57)=0),"Core ID not found in Soil Data, so the corer diameter cannot be looked up. ","")&amp;IF(ASH_CORRECTED&lt;&gt;"Yes","Root mass is NOT ash-corrected, so it includes adhering mineral soil and is too high. Set ASH_CORRECTED once you have done it. ","")&amp;IF(AND(ASH_CORRECTED="Yes",NOT(ISNUMBER($H57))),"Ash correction is switched on but no ash fraction is given for this row. ","")&amp;IF($I57="","Sieve mesh not recorded — a fine-root figure cannot be interpreted without it. ","")&amp;IF(AND(ISNUMBER($H57),$H57&gt;0.5),"Ash fraction above 0.5 — over half this sample was mineral soil. Re-wash. ","")&amp;IF($F57="Not separated","Live and dead not separated. Fine for a stock, but "&amp;"note it in reporting. ",""))</f>
        <v/>
      </c>
      <c r="P57" s="6" t="n"/>
      <c r="Q57" s="9">
        <f>IF($B57="",0,IF(COUNTIFS($B$5:$B57,$B57)=1,1,0))</f>
        <v/>
      </c>
    </row>
    <row r="58">
      <c r="A58" s="6" t="n"/>
      <c r="B58" s="6" t="n"/>
      <c r="C58" s="6" t="n"/>
      <c r="D58" s="6" t="n"/>
      <c r="E58" s="6" t="n"/>
      <c r="F58" s="6" t="n"/>
      <c r="G58" s="7" t="n"/>
      <c r="H58" s="7" t="n"/>
      <c r="I58" s="6" t="n"/>
      <c r="J58" s="9">
        <f>IF(NOT(ISNUMBER($G58)),"",IF(AND(ASH_CORRECTED="Yes",ISNUMBER($H58)),$G58*(1-$H58),$G58))</f>
        <v/>
      </c>
      <c r="K58" s="9">
        <f>IF($B58="","",IFERROR(AVERAGEIFS('2. Soil Data'!$G$5:$G$604,'2. Soil Data'!$B$5:$B$604,$B58),""))</f>
        <v/>
      </c>
      <c r="L58" s="9">
        <f>IF(NOT(ISNUMBER($K58)),"",PI()*($K58/2)^2)</f>
        <v/>
      </c>
      <c r="M58" s="9">
        <f>IF(OR(NOT(ISNUMBER($J58)),NOT(ISNUMBER($L58)),$L58=0),"",$J58/$L58*10000)</f>
        <v/>
      </c>
      <c r="N58" s="9">
        <f>IF(NOT(ISNUMBER($M58)),"",$M58*CARBON_FRACTION_ROOT/1000)</f>
        <v/>
      </c>
      <c r="O58" s="11">
        <f>IF(AND($A58="",$B58="",$G58=""),"",IF(AND($B58&lt;&gt;"",COUNTIFS('2. Soil Data'!$B$5:$B$604,$B58)=0),"Core ID not found in Soil Data, so the corer diameter cannot be looked up. ","")&amp;IF(ASH_CORRECTED&lt;&gt;"Yes","Root mass is NOT ash-corrected, so it includes adhering mineral soil and is too high. Set ASH_CORRECTED once you have done it. ","")&amp;IF(AND(ASH_CORRECTED="Yes",NOT(ISNUMBER($H58))),"Ash correction is switched on but no ash fraction is given for this row. ","")&amp;IF($I58="","Sieve mesh not recorded — a fine-root figure cannot be interpreted without it. ","")&amp;IF(AND(ISNUMBER($H58),$H58&gt;0.5),"Ash fraction above 0.5 — over half this sample was mineral soil. Re-wash. ","")&amp;IF($F58="Not separated","Live and dead not separated. Fine for a stock, but "&amp;"note it in reporting. ",""))</f>
        <v/>
      </c>
      <c r="P58" s="6" t="n"/>
      <c r="Q58" s="9">
        <f>IF($B58="",0,IF(COUNTIFS($B$5:$B58,$B58)=1,1,0))</f>
        <v/>
      </c>
    </row>
    <row r="59">
      <c r="A59" s="6" t="n"/>
      <c r="B59" s="6" t="n"/>
      <c r="C59" s="6" t="n"/>
      <c r="D59" s="6" t="n"/>
      <c r="E59" s="6" t="n"/>
      <c r="F59" s="6" t="n"/>
      <c r="G59" s="7" t="n"/>
      <c r="H59" s="7" t="n"/>
      <c r="I59" s="6" t="n"/>
      <c r="J59" s="9">
        <f>IF(NOT(ISNUMBER($G59)),"",IF(AND(ASH_CORRECTED="Yes",ISNUMBER($H59)),$G59*(1-$H59),$G59))</f>
        <v/>
      </c>
      <c r="K59" s="9">
        <f>IF($B59="","",IFERROR(AVERAGEIFS('2. Soil Data'!$G$5:$G$604,'2. Soil Data'!$B$5:$B$604,$B59),""))</f>
        <v/>
      </c>
      <c r="L59" s="9">
        <f>IF(NOT(ISNUMBER($K59)),"",PI()*($K59/2)^2)</f>
        <v/>
      </c>
      <c r="M59" s="9">
        <f>IF(OR(NOT(ISNUMBER($J59)),NOT(ISNUMBER($L59)),$L59=0),"",$J59/$L59*10000)</f>
        <v/>
      </c>
      <c r="N59" s="9">
        <f>IF(NOT(ISNUMBER($M59)),"",$M59*CARBON_FRACTION_ROOT/1000)</f>
        <v/>
      </c>
      <c r="O59" s="11">
        <f>IF(AND($A59="",$B59="",$G59=""),"",IF(AND($B59&lt;&gt;"",COUNTIFS('2. Soil Data'!$B$5:$B$604,$B59)=0),"Core ID not found in Soil Data, so the corer diameter cannot be looked up. ","")&amp;IF(ASH_CORRECTED&lt;&gt;"Yes","Root mass is NOT ash-corrected, so it includes adhering mineral soil and is too high. Set ASH_CORRECTED once you have done it. ","")&amp;IF(AND(ASH_CORRECTED="Yes",NOT(ISNUMBER($H59))),"Ash correction is switched on but no ash fraction is given for this row. ","")&amp;IF($I59="","Sieve mesh not recorded — a fine-root figure cannot be interpreted without it. ","")&amp;IF(AND(ISNUMBER($H59),$H59&gt;0.5),"Ash fraction above 0.5 — over half this sample was mineral soil. Re-wash. ","")&amp;IF($F59="Not separated","Live and dead not separated. Fine for a stock, but "&amp;"note it in reporting. ",""))</f>
        <v/>
      </c>
      <c r="P59" s="6" t="n"/>
      <c r="Q59" s="9">
        <f>IF($B59="",0,IF(COUNTIFS($B$5:$B59,$B59)=1,1,0))</f>
        <v/>
      </c>
    </row>
    <row r="60">
      <c r="A60" s="6" t="n"/>
      <c r="B60" s="6" t="n"/>
      <c r="C60" s="6" t="n"/>
      <c r="D60" s="6" t="n"/>
      <c r="E60" s="6" t="n"/>
      <c r="F60" s="6" t="n"/>
      <c r="G60" s="7" t="n"/>
      <c r="H60" s="7" t="n"/>
      <c r="I60" s="6" t="n"/>
      <c r="J60" s="9">
        <f>IF(NOT(ISNUMBER($G60)),"",IF(AND(ASH_CORRECTED="Yes",ISNUMBER($H60)),$G60*(1-$H60),$G60))</f>
        <v/>
      </c>
      <c r="K60" s="9">
        <f>IF($B60="","",IFERROR(AVERAGEIFS('2. Soil Data'!$G$5:$G$604,'2. Soil Data'!$B$5:$B$604,$B60),""))</f>
        <v/>
      </c>
      <c r="L60" s="9">
        <f>IF(NOT(ISNUMBER($K60)),"",PI()*($K60/2)^2)</f>
        <v/>
      </c>
      <c r="M60" s="9">
        <f>IF(OR(NOT(ISNUMBER($J60)),NOT(ISNUMBER($L60)),$L60=0),"",$J60/$L60*10000)</f>
        <v/>
      </c>
      <c r="N60" s="9">
        <f>IF(NOT(ISNUMBER($M60)),"",$M60*CARBON_FRACTION_ROOT/1000)</f>
        <v/>
      </c>
      <c r="O60" s="11">
        <f>IF(AND($A60="",$B60="",$G60=""),"",IF(AND($B60&lt;&gt;"",COUNTIFS('2. Soil Data'!$B$5:$B$604,$B60)=0),"Core ID not found in Soil Data, so the corer diameter cannot be looked up. ","")&amp;IF(ASH_CORRECTED&lt;&gt;"Yes","Root mass is NOT ash-corrected, so it includes adhering mineral soil and is too high. Set ASH_CORRECTED once you have done it. ","")&amp;IF(AND(ASH_CORRECTED="Yes",NOT(ISNUMBER($H60))),"Ash correction is switched on but no ash fraction is given for this row. ","")&amp;IF($I60="","Sieve mesh not recorded — a fine-root figure cannot be interpreted without it. ","")&amp;IF(AND(ISNUMBER($H60),$H60&gt;0.5),"Ash fraction above 0.5 — over half this sample was mineral soil. Re-wash. ","")&amp;IF($F60="Not separated","Live and dead not separated. Fine for a stock, but "&amp;"note it in reporting. ",""))</f>
        <v/>
      </c>
      <c r="P60" s="6" t="n"/>
      <c r="Q60" s="9">
        <f>IF($B60="",0,IF(COUNTIFS($B$5:$B60,$B60)=1,1,0))</f>
        <v/>
      </c>
    </row>
    <row r="61">
      <c r="A61" s="6" t="n"/>
      <c r="B61" s="6" t="n"/>
      <c r="C61" s="6" t="n"/>
      <c r="D61" s="6" t="n"/>
      <c r="E61" s="6" t="n"/>
      <c r="F61" s="6" t="n"/>
      <c r="G61" s="7" t="n"/>
      <c r="H61" s="7" t="n"/>
      <c r="I61" s="6" t="n"/>
      <c r="J61" s="9">
        <f>IF(NOT(ISNUMBER($G61)),"",IF(AND(ASH_CORRECTED="Yes",ISNUMBER($H61)),$G61*(1-$H61),$G61))</f>
        <v/>
      </c>
      <c r="K61" s="9">
        <f>IF($B61="","",IFERROR(AVERAGEIFS('2. Soil Data'!$G$5:$G$604,'2. Soil Data'!$B$5:$B$604,$B61),""))</f>
        <v/>
      </c>
      <c r="L61" s="9">
        <f>IF(NOT(ISNUMBER($K61)),"",PI()*($K61/2)^2)</f>
        <v/>
      </c>
      <c r="M61" s="9">
        <f>IF(OR(NOT(ISNUMBER($J61)),NOT(ISNUMBER($L61)),$L61=0),"",$J61/$L61*10000)</f>
        <v/>
      </c>
      <c r="N61" s="9">
        <f>IF(NOT(ISNUMBER($M61)),"",$M61*CARBON_FRACTION_ROOT/1000)</f>
        <v/>
      </c>
      <c r="O61" s="11">
        <f>IF(AND($A61="",$B61="",$G61=""),"",IF(AND($B61&lt;&gt;"",COUNTIFS('2. Soil Data'!$B$5:$B$604,$B61)=0),"Core ID not found in Soil Data, so the corer diameter cannot be looked up. ","")&amp;IF(ASH_CORRECTED&lt;&gt;"Yes","Root mass is NOT ash-corrected, so it includes adhering mineral soil and is too high. Set ASH_CORRECTED once you have done it. ","")&amp;IF(AND(ASH_CORRECTED="Yes",NOT(ISNUMBER($H61))),"Ash correction is switched on but no ash fraction is given for this row. ","")&amp;IF($I61="","Sieve mesh not recorded — a fine-root figure cannot be interpreted without it. ","")&amp;IF(AND(ISNUMBER($H61),$H61&gt;0.5),"Ash fraction above 0.5 — over half this sample was mineral soil. Re-wash. ","")&amp;IF($F61="Not separated","Live and dead not separated. Fine for a stock, but "&amp;"note it in reporting. ",""))</f>
        <v/>
      </c>
      <c r="P61" s="6" t="n"/>
      <c r="Q61" s="9">
        <f>IF($B61="",0,IF(COUNTIFS($B$5:$B61,$B61)=1,1,0))</f>
        <v/>
      </c>
    </row>
    <row r="62">
      <c r="A62" s="6" t="n"/>
      <c r="B62" s="6" t="n"/>
      <c r="C62" s="6" t="n"/>
      <c r="D62" s="6" t="n"/>
      <c r="E62" s="6" t="n"/>
      <c r="F62" s="6" t="n"/>
      <c r="G62" s="7" t="n"/>
      <c r="H62" s="7" t="n"/>
      <c r="I62" s="6" t="n"/>
      <c r="J62" s="9">
        <f>IF(NOT(ISNUMBER($G62)),"",IF(AND(ASH_CORRECTED="Yes",ISNUMBER($H62)),$G62*(1-$H62),$G62))</f>
        <v/>
      </c>
      <c r="K62" s="9">
        <f>IF($B62="","",IFERROR(AVERAGEIFS('2. Soil Data'!$G$5:$G$604,'2. Soil Data'!$B$5:$B$604,$B62),""))</f>
        <v/>
      </c>
      <c r="L62" s="9">
        <f>IF(NOT(ISNUMBER($K62)),"",PI()*($K62/2)^2)</f>
        <v/>
      </c>
      <c r="M62" s="9">
        <f>IF(OR(NOT(ISNUMBER($J62)),NOT(ISNUMBER($L62)),$L62=0),"",$J62/$L62*10000)</f>
        <v/>
      </c>
      <c r="N62" s="9">
        <f>IF(NOT(ISNUMBER($M62)),"",$M62*CARBON_FRACTION_ROOT/1000)</f>
        <v/>
      </c>
      <c r="O62" s="11">
        <f>IF(AND($A62="",$B62="",$G62=""),"",IF(AND($B62&lt;&gt;"",COUNTIFS('2. Soil Data'!$B$5:$B$604,$B62)=0),"Core ID not found in Soil Data, so the corer diameter cannot be looked up. ","")&amp;IF(ASH_CORRECTED&lt;&gt;"Yes","Root mass is NOT ash-corrected, so it includes adhering mineral soil and is too high. Set ASH_CORRECTED once you have done it. ","")&amp;IF(AND(ASH_CORRECTED="Yes",NOT(ISNUMBER($H62))),"Ash correction is switched on but no ash fraction is given for this row. ","")&amp;IF($I62="","Sieve mesh not recorded — a fine-root figure cannot be interpreted without it. ","")&amp;IF(AND(ISNUMBER($H62),$H62&gt;0.5),"Ash fraction above 0.5 — over half this sample was mineral soil. Re-wash. ","")&amp;IF($F62="Not separated","Live and dead not separated. Fine for a stock, but "&amp;"note it in reporting. ",""))</f>
        <v/>
      </c>
      <c r="P62" s="6" t="n"/>
      <c r="Q62" s="9">
        <f>IF($B62="",0,IF(COUNTIFS($B$5:$B62,$B62)=1,1,0))</f>
        <v/>
      </c>
    </row>
    <row r="63">
      <c r="A63" s="6" t="n"/>
      <c r="B63" s="6" t="n"/>
      <c r="C63" s="6" t="n"/>
      <c r="D63" s="6" t="n"/>
      <c r="E63" s="6" t="n"/>
      <c r="F63" s="6" t="n"/>
      <c r="G63" s="7" t="n"/>
      <c r="H63" s="7" t="n"/>
      <c r="I63" s="6" t="n"/>
      <c r="J63" s="9">
        <f>IF(NOT(ISNUMBER($G63)),"",IF(AND(ASH_CORRECTED="Yes",ISNUMBER($H63)),$G63*(1-$H63),$G63))</f>
        <v/>
      </c>
      <c r="K63" s="9">
        <f>IF($B63="","",IFERROR(AVERAGEIFS('2. Soil Data'!$G$5:$G$604,'2. Soil Data'!$B$5:$B$604,$B63),""))</f>
        <v/>
      </c>
      <c r="L63" s="9">
        <f>IF(NOT(ISNUMBER($K63)),"",PI()*($K63/2)^2)</f>
        <v/>
      </c>
      <c r="M63" s="9">
        <f>IF(OR(NOT(ISNUMBER($J63)),NOT(ISNUMBER($L63)),$L63=0),"",$J63/$L63*10000)</f>
        <v/>
      </c>
      <c r="N63" s="9">
        <f>IF(NOT(ISNUMBER($M63)),"",$M63*CARBON_FRACTION_ROOT/1000)</f>
        <v/>
      </c>
      <c r="O63" s="11">
        <f>IF(AND($A63="",$B63="",$G63=""),"",IF(AND($B63&lt;&gt;"",COUNTIFS('2. Soil Data'!$B$5:$B$604,$B63)=0),"Core ID not found in Soil Data, so the corer diameter cannot be looked up. ","")&amp;IF(ASH_CORRECTED&lt;&gt;"Yes","Root mass is NOT ash-corrected, so it includes adhering mineral soil and is too high. Set ASH_CORRECTED once you have done it. ","")&amp;IF(AND(ASH_CORRECTED="Yes",NOT(ISNUMBER($H63))),"Ash correction is switched on but no ash fraction is given for this row. ","")&amp;IF($I63="","Sieve mesh not recorded — a fine-root figure cannot be interpreted without it. ","")&amp;IF(AND(ISNUMBER($H63),$H63&gt;0.5),"Ash fraction above 0.5 — over half this sample was mineral soil. Re-wash. ","")&amp;IF($F63="Not separated","Live and dead not separated. Fine for a stock, but "&amp;"note it in reporting. ",""))</f>
        <v/>
      </c>
      <c r="P63" s="6" t="n"/>
      <c r="Q63" s="9">
        <f>IF($B63="",0,IF(COUNTIFS($B$5:$B63,$B63)=1,1,0))</f>
        <v/>
      </c>
    </row>
    <row r="64">
      <c r="A64" s="6" t="n"/>
      <c r="B64" s="6" t="n"/>
      <c r="C64" s="6" t="n"/>
      <c r="D64" s="6" t="n"/>
      <c r="E64" s="6" t="n"/>
      <c r="F64" s="6" t="n"/>
      <c r="G64" s="7" t="n"/>
      <c r="H64" s="7" t="n"/>
      <c r="I64" s="6" t="n"/>
      <c r="J64" s="9">
        <f>IF(NOT(ISNUMBER($G64)),"",IF(AND(ASH_CORRECTED="Yes",ISNUMBER($H64)),$G64*(1-$H64),$G64))</f>
        <v/>
      </c>
      <c r="K64" s="9">
        <f>IF($B64="","",IFERROR(AVERAGEIFS('2. Soil Data'!$G$5:$G$604,'2. Soil Data'!$B$5:$B$604,$B64),""))</f>
        <v/>
      </c>
      <c r="L64" s="9">
        <f>IF(NOT(ISNUMBER($K64)),"",PI()*($K64/2)^2)</f>
        <v/>
      </c>
      <c r="M64" s="9">
        <f>IF(OR(NOT(ISNUMBER($J64)),NOT(ISNUMBER($L64)),$L64=0),"",$J64/$L64*10000)</f>
        <v/>
      </c>
      <c r="N64" s="9">
        <f>IF(NOT(ISNUMBER($M64)),"",$M64*CARBON_FRACTION_ROOT/1000)</f>
        <v/>
      </c>
      <c r="O64" s="11">
        <f>IF(AND($A64="",$B64="",$G64=""),"",IF(AND($B64&lt;&gt;"",COUNTIFS('2. Soil Data'!$B$5:$B$604,$B64)=0),"Core ID not found in Soil Data, so the corer diameter cannot be looked up. ","")&amp;IF(ASH_CORRECTED&lt;&gt;"Yes","Root mass is NOT ash-corrected, so it includes adhering mineral soil and is too high. Set ASH_CORRECTED once you have done it. ","")&amp;IF(AND(ASH_CORRECTED="Yes",NOT(ISNUMBER($H64))),"Ash correction is switched on but no ash fraction is given for this row. ","")&amp;IF($I64="","Sieve mesh not recorded — a fine-root figure cannot be interpreted without it. ","")&amp;IF(AND(ISNUMBER($H64),$H64&gt;0.5),"Ash fraction above 0.5 — over half this sample was mineral soil. Re-wash. ","")&amp;IF($F64="Not separated","Live and dead not separated. Fine for a stock, but "&amp;"note it in reporting. ",""))</f>
        <v/>
      </c>
      <c r="P64" s="6" t="n"/>
      <c r="Q64" s="9">
        <f>IF($B64="",0,IF(COUNTIFS($B$5:$B64,$B64)=1,1,0))</f>
        <v/>
      </c>
    </row>
    <row r="65">
      <c r="A65" s="6" t="n"/>
      <c r="B65" s="6" t="n"/>
      <c r="C65" s="6" t="n"/>
      <c r="D65" s="6" t="n"/>
      <c r="E65" s="6" t="n"/>
      <c r="F65" s="6" t="n"/>
      <c r="G65" s="7" t="n"/>
      <c r="H65" s="7" t="n"/>
      <c r="I65" s="6" t="n"/>
      <c r="J65" s="9">
        <f>IF(NOT(ISNUMBER($G65)),"",IF(AND(ASH_CORRECTED="Yes",ISNUMBER($H65)),$G65*(1-$H65),$G65))</f>
        <v/>
      </c>
      <c r="K65" s="9">
        <f>IF($B65="","",IFERROR(AVERAGEIFS('2. Soil Data'!$G$5:$G$604,'2. Soil Data'!$B$5:$B$604,$B65),""))</f>
        <v/>
      </c>
      <c r="L65" s="9">
        <f>IF(NOT(ISNUMBER($K65)),"",PI()*($K65/2)^2)</f>
        <v/>
      </c>
      <c r="M65" s="9">
        <f>IF(OR(NOT(ISNUMBER($J65)),NOT(ISNUMBER($L65)),$L65=0),"",$J65/$L65*10000)</f>
        <v/>
      </c>
      <c r="N65" s="9">
        <f>IF(NOT(ISNUMBER($M65)),"",$M65*CARBON_FRACTION_ROOT/1000)</f>
        <v/>
      </c>
      <c r="O65" s="11">
        <f>IF(AND($A65="",$B65="",$G65=""),"",IF(AND($B65&lt;&gt;"",COUNTIFS('2. Soil Data'!$B$5:$B$604,$B65)=0),"Core ID not found in Soil Data, so the corer diameter cannot be looked up. ","")&amp;IF(ASH_CORRECTED&lt;&gt;"Yes","Root mass is NOT ash-corrected, so it includes adhering mineral soil and is too high. Set ASH_CORRECTED once you have done it. ","")&amp;IF(AND(ASH_CORRECTED="Yes",NOT(ISNUMBER($H65))),"Ash correction is switched on but no ash fraction is given for this row. ","")&amp;IF($I65="","Sieve mesh not recorded — a fine-root figure cannot be interpreted without it. ","")&amp;IF(AND(ISNUMBER($H65),$H65&gt;0.5),"Ash fraction above 0.5 — over half this sample was mineral soil. Re-wash. ","")&amp;IF($F65="Not separated","Live and dead not separated. Fine for a stock, but "&amp;"note it in reporting. ",""))</f>
        <v/>
      </c>
      <c r="P65" s="6" t="n"/>
      <c r="Q65" s="9">
        <f>IF($B65="",0,IF(COUNTIFS($B$5:$B65,$B65)=1,1,0))</f>
        <v/>
      </c>
    </row>
    <row r="66">
      <c r="A66" s="6" t="n"/>
      <c r="B66" s="6" t="n"/>
      <c r="C66" s="6" t="n"/>
      <c r="D66" s="6" t="n"/>
      <c r="E66" s="6" t="n"/>
      <c r="F66" s="6" t="n"/>
      <c r="G66" s="7" t="n"/>
      <c r="H66" s="7" t="n"/>
      <c r="I66" s="6" t="n"/>
      <c r="J66" s="9">
        <f>IF(NOT(ISNUMBER($G66)),"",IF(AND(ASH_CORRECTED="Yes",ISNUMBER($H66)),$G66*(1-$H66),$G66))</f>
        <v/>
      </c>
      <c r="K66" s="9">
        <f>IF($B66="","",IFERROR(AVERAGEIFS('2. Soil Data'!$G$5:$G$604,'2. Soil Data'!$B$5:$B$604,$B66),""))</f>
        <v/>
      </c>
      <c r="L66" s="9">
        <f>IF(NOT(ISNUMBER($K66)),"",PI()*($K66/2)^2)</f>
        <v/>
      </c>
      <c r="M66" s="9">
        <f>IF(OR(NOT(ISNUMBER($J66)),NOT(ISNUMBER($L66)),$L66=0),"",$J66/$L66*10000)</f>
        <v/>
      </c>
      <c r="N66" s="9">
        <f>IF(NOT(ISNUMBER($M66)),"",$M66*CARBON_FRACTION_ROOT/1000)</f>
        <v/>
      </c>
      <c r="O66" s="11">
        <f>IF(AND($A66="",$B66="",$G66=""),"",IF(AND($B66&lt;&gt;"",COUNTIFS('2. Soil Data'!$B$5:$B$604,$B66)=0),"Core ID not found in Soil Data, so the corer diameter cannot be looked up. ","")&amp;IF(ASH_CORRECTED&lt;&gt;"Yes","Root mass is NOT ash-corrected, so it includes adhering mineral soil and is too high. Set ASH_CORRECTED once you have done it. ","")&amp;IF(AND(ASH_CORRECTED="Yes",NOT(ISNUMBER($H66))),"Ash correction is switched on but no ash fraction is given for this row. ","")&amp;IF($I66="","Sieve mesh not recorded — a fine-root figure cannot be interpreted without it. ","")&amp;IF(AND(ISNUMBER($H66),$H66&gt;0.5),"Ash fraction above 0.5 — over half this sample was mineral soil. Re-wash. ","")&amp;IF($F66="Not separated","Live and dead not separated. Fine for a stock, but "&amp;"note it in reporting. ",""))</f>
        <v/>
      </c>
      <c r="P66" s="6" t="n"/>
      <c r="Q66" s="9">
        <f>IF($B66="",0,IF(COUNTIFS($B$5:$B66,$B66)=1,1,0))</f>
        <v/>
      </c>
    </row>
    <row r="67">
      <c r="A67" s="6" t="n"/>
      <c r="B67" s="6" t="n"/>
      <c r="C67" s="6" t="n"/>
      <c r="D67" s="6" t="n"/>
      <c r="E67" s="6" t="n"/>
      <c r="F67" s="6" t="n"/>
      <c r="G67" s="7" t="n"/>
      <c r="H67" s="7" t="n"/>
      <c r="I67" s="6" t="n"/>
      <c r="J67" s="9">
        <f>IF(NOT(ISNUMBER($G67)),"",IF(AND(ASH_CORRECTED="Yes",ISNUMBER($H67)),$G67*(1-$H67),$G67))</f>
        <v/>
      </c>
      <c r="K67" s="9">
        <f>IF($B67="","",IFERROR(AVERAGEIFS('2. Soil Data'!$G$5:$G$604,'2. Soil Data'!$B$5:$B$604,$B67),""))</f>
        <v/>
      </c>
      <c r="L67" s="9">
        <f>IF(NOT(ISNUMBER($K67)),"",PI()*($K67/2)^2)</f>
        <v/>
      </c>
      <c r="M67" s="9">
        <f>IF(OR(NOT(ISNUMBER($J67)),NOT(ISNUMBER($L67)),$L67=0),"",$J67/$L67*10000)</f>
        <v/>
      </c>
      <c r="N67" s="9">
        <f>IF(NOT(ISNUMBER($M67)),"",$M67*CARBON_FRACTION_ROOT/1000)</f>
        <v/>
      </c>
      <c r="O67" s="11">
        <f>IF(AND($A67="",$B67="",$G67=""),"",IF(AND($B67&lt;&gt;"",COUNTIFS('2. Soil Data'!$B$5:$B$604,$B67)=0),"Core ID not found in Soil Data, so the corer diameter cannot be looked up. ","")&amp;IF(ASH_CORRECTED&lt;&gt;"Yes","Root mass is NOT ash-corrected, so it includes adhering mineral soil and is too high. Set ASH_CORRECTED once you have done it. ","")&amp;IF(AND(ASH_CORRECTED="Yes",NOT(ISNUMBER($H67))),"Ash correction is switched on but no ash fraction is given for this row. ","")&amp;IF($I67="","Sieve mesh not recorded — a fine-root figure cannot be interpreted without it. ","")&amp;IF(AND(ISNUMBER($H67),$H67&gt;0.5),"Ash fraction above 0.5 — over half this sample was mineral soil. Re-wash. ","")&amp;IF($F67="Not separated","Live and dead not separated. Fine for a stock, but "&amp;"note it in reporting. ",""))</f>
        <v/>
      </c>
      <c r="P67" s="6" t="n"/>
      <c r="Q67" s="9">
        <f>IF($B67="",0,IF(COUNTIFS($B$5:$B67,$B67)=1,1,0))</f>
        <v/>
      </c>
    </row>
    <row r="68">
      <c r="A68" s="6" t="n"/>
      <c r="B68" s="6" t="n"/>
      <c r="C68" s="6" t="n"/>
      <c r="D68" s="6" t="n"/>
      <c r="E68" s="6" t="n"/>
      <c r="F68" s="6" t="n"/>
      <c r="G68" s="7" t="n"/>
      <c r="H68" s="7" t="n"/>
      <c r="I68" s="6" t="n"/>
      <c r="J68" s="9">
        <f>IF(NOT(ISNUMBER($G68)),"",IF(AND(ASH_CORRECTED="Yes",ISNUMBER($H68)),$G68*(1-$H68),$G68))</f>
        <v/>
      </c>
      <c r="K68" s="9">
        <f>IF($B68="","",IFERROR(AVERAGEIFS('2. Soil Data'!$G$5:$G$604,'2. Soil Data'!$B$5:$B$604,$B68),""))</f>
        <v/>
      </c>
      <c r="L68" s="9">
        <f>IF(NOT(ISNUMBER($K68)),"",PI()*($K68/2)^2)</f>
        <v/>
      </c>
      <c r="M68" s="9">
        <f>IF(OR(NOT(ISNUMBER($J68)),NOT(ISNUMBER($L68)),$L68=0),"",$J68/$L68*10000)</f>
        <v/>
      </c>
      <c r="N68" s="9">
        <f>IF(NOT(ISNUMBER($M68)),"",$M68*CARBON_FRACTION_ROOT/1000)</f>
        <v/>
      </c>
      <c r="O68" s="11">
        <f>IF(AND($A68="",$B68="",$G68=""),"",IF(AND($B68&lt;&gt;"",COUNTIFS('2. Soil Data'!$B$5:$B$604,$B68)=0),"Core ID not found in Soil Data, so the corer diameter cannot be looked up. ","")&amp;IF(ASH_CORRECTED&lt;&gt;"Yes","Root mass is NOT ash-corrected, so it includes adhering mineral soil and is too high. Set ASH_CORRECTED once you have done it. ","")&amp;IF(AND(ASH_CORRECTED="Yes",NOT(ISNUMBER($H68))),"Ash correction is switched on but no ash fraction is given for this row. ","")&amp;IF($I68="","Sieve mesh not recorded — a fine-root figure cannot be interpreted without it. ","")&amp;IF(AND(ISNUMBER($H68),$H68&gt;0.5),"Ash fraction above 0.5 — over half this sample was mineral soil. Re-wash. ","")&amp;IF($F68="Not separated","Live and dead not separated. Fine for a stock, but "&amp;"note it in reporting. ",""))</f>
        <v/>
      </c>
      <c r="P68" s="6" t="n"/>
      <c r="Q68" s="9">
        <f>IF($B68="",0,IF(COUNTIFS($B$5:$B68,$B68)=1,1,0))</f>
        <v/>
      </c>
    </row>
    <row r="69">
      <c r="A69" s="6" t="n"/>
      <c r="B69" s="6" t="n"/>
      <c r="C69" s="6" t="n"/>
      <c r="D69" s="6" t="n"/>
      <c r="E69" s="6" t="n"/>
      <c r="F69" s="6" t="n"/>
      <c r="G69" s="7" t="n"/>
      <c r="H69" s="7" t="n"/>
      <c r="I69" s="6" t="n"/>
      <c r="J69" s="9">
        <f>IF(NOT(ISNUMBER($G69)),"",IF(AND(ASH_CORRECTED="Yes",ISNUMBER($H69)),$G69*(1-$H69),$G69))</f>
        <v/>
      </c>
      <c r="K69" s="9">
        <f>IF($B69="","",IFERROR(AVERAGEIFS('2. Soil Data'!$G$5:$G$604,'2. Soil Data'!$B$5:$B$604,$B69),""))</f>
        <v/>
      </c>
      <c r="L69" s="9">
        <f>IF(NOT(ISNUMBER($K69)),"",PI()*($K69/2)^2)</f>
        <v/>
      </c>
      <c r="M69" s="9">
        <f>IF(OR(NOT(ISNUMBER($J69)),NOT(ISNUMBER($L69)),$L69=0),"",$J69/$L69*10000)</f>
        <v/>
      </c>
      <c r="N69" s="9">
        <f>IF(NOT(ISNUMBER($M69)),"",$M69*CARBON_FRACTION_ROOT/1000)</f>
        <v/>
      </c>
      <c r="O69" s="11">
        <f>IF(AND($A69="",$B69="",$G69=""),"",IF(AND($B69&lt;&gt;"",COUNTIFS('2. Soil Data'!$B$5:$B$604,$B69)=0),"Core ID not found in Soil Data, so the corer diameter cannot be looked up. ","")&amp;IF(ASH_CORRECTED&lt;&gt;"Yes","Root mass is NOT ash-corrected, so it includes adhering mineral soil and is too high. Set ASH_CORRECTED once you have done it. ","")&amp;IF(AND(ASH_CORRECTED="Yes",NOT(ISNUMBER($H69))),"Ash correction is switched on but no ash fraction is given for this row. ","")&amp;IF($I69="","Sieve mesh not recorded — a fine-root figure cannot be interpreted without it. ","")&amp;IF(AND(ISNUMBER($H69),$H69&gt;0.5),"Ash fraction above 0.5 — over half this sample was mineral soil. Re-wash. ","")&amp;IF($F69="Not separated","Live and dead not separated. Fine for a stock, but "&amp;"note it in reporting. ",""))</f>
        <v/>
      </c>
      <c r="P69" s="6" t="n"/>
      <c r="Q69" s="9">
        <f>IF($B69="",0,IF(COUNTIFS($B$5:$B69,$B69)=1,1,0))</f>
        <v/>
      </c>
    </row>
    <row r="70">
      <c r="A70" s="6" t="n"/>
      <c r="B70" s="6" t="n"/>
      <c r="C70" s="6" t="n"/>
      <c r="D70" s="6" t="n"/>
      <c r="E70" s="6" t="n"/>
      <c r="F70" s="6" t="n"/>
      <c r="G70" s="7" t="n"/>
      <c r="H70" s="7" t="n"/>
      <c r="I70" s="6" t="n"/>
      <c r="J70" s="9">
        <f>IF(NOT(ISNUMBER($G70)),"",IF(AND(ASH_CORRECTED="Yes",ISNUMBER($H70)),$G70*(1-$H70),$G70))</f>
        <v/>
      </c>
      <c r="K70" s="9">
        <f>IF($B70="","",IFERROR(AVERAGEIFS('2. Soil Data'!$G$5:$G$604,'2. Soil Data'!$B$5:$B$604,$B70),""))</f>
        <v/>
      </c>
      <c r="L70" s="9">
        <f>IF(NOT(ISNUMBER($K70)),"",PI()*($K70/2)^2)</f>
        <v/>
      </c>
      <c r="M70" s="9">
        <f>IF(OR(NOT(ISNUMBER($J70)),NOT(ISNUMBER($L70)),$L70=0),"",$J70/$L70*10000)</f>
        <v/>
      </c>
      <c r="N70" s="9">
        <f>IF(NOT(ISNUMBER($M70)),"",$M70*CARBON_FRACTION_ROOT/1000)</f>
        <v/>
      </c>
      <c r="O70" s="11">
        <f>IF(AND($A70="",$B70="",$G70=""),"",IF(AND($B70&lt;&gt;"",COUNTIFS('2. Soil Data'!$B$5:$B$604,$B70)=0),"Core ID not found in Soil Data, so the corer diameter cannot be looked up. ","")&amp;IF(ASH_CORRECTED&lt;&gt;"Yes","Root mass is NOT ash-corrected, so it includes adhering mineral soil and is too high. Set ASH_CORRECTED once you have done it. ","")&amp;IF(AND(ASH_CORRECTED="Yes",NOT(ISNUMBER($H70))),"Ash correction is switched on but no ash fraction is given for this row. ","")&amp;IF($I70="","Sieve mesh not recorded — a fine-root figure cannot be interpreted without it. ","")&amp;IF(AND(ISNUMBER($H70),$H70&gt;0.5),"Ash fraction above 0.5 — over half this sample was mineral soil. Re-wash. ","")&amp;IF($F70="Not separated","Live and dead not separated. Fine for a stock, but "&amp;"note it in reporting. ",""))</f>
        <v/>
      </c>
      <c r="P70" s="6" t="n"/>
      <c r="Q70" s="9">
        <f>IF($B70="",0,IF(COUNTIFS($B$5:$B70,$B70)=1,1,0))</f>
        <v/>
      </c>
    </row>
    <row r="71">
      <c r="A71" s="6" t="n"/>
      <c r="B71" s="6" t="n"/>
      <c r="C71" s="6" t="n"/>
      <c r="D71" s="6" t="n"/>
      <c r="E71" s="6" t="n"/>
      <c r="F71" s="6" t="n"/>
      <c r="G71" s="7" t="n"/>
      <c r="H71" s="7" t="n"/>
      <c r="I71" s="6" t="n"/>
      <c r="J71" s="9">
        <f>IF(NOT(ISNUMBER($G71)),"",IF(AND(ASH_CORRECTED="Yes",ISNUMBER($H71)),$G71*(1-$H71),$G71))</f>
        <v/>
      </c>
      <c r="K71" s="9">
        <f>IF($B71="","",IFERROR(AVERAGEIFS('2. Soil Data'!$G$5:$G$604,'2. Soil Data'!$B$5:$B$604,$B71),""))</f>
        <v/>
      </c>
      <c r="L71" s="9">
        <f>IF(NOT(ISNUMBER($K71)),"",PI()*($K71/2)^2)</f>
        <v/>
      </c>
      <c r="M71" s="9">
        <f>IF(OR(NOT(ISNUMBER($J71)),NOT(ISNUMBER($L71)),$L71=0),"",$J71/$L71*10000)</f>
        <v/>
      </c>
      <c r="N71" s="9">
        <f>IF(NOT(ISNUMBER($M71)),"",$M71*CARBON_FRACTION_ROOT/1000)</f>
        <v/>
      </c>
      <c r="O71" s="11">
        <f>IF(AND($A71="",$B71="",$G71=""),"",IF(AND($B71&lt;&gt;"",COUNTIFS('2. Soil Data'!$B$5:$B$604,$B71)=0),"Core ID not found in Soil Data, so the corer diameter cannot be looked up. ","")&amp;IF(ASH_CORRECTED&lt;&gt;"Yes","Root mass is NOT ash-corrected, so it includes adhering mineral soil and is too high. Set ASH_CORRECTED once you have done it. ","")&amp;IF(AND(ASH_CORRECTED="Yes",NOT(ISNUMBER($H71))),"Ash correction is switched on but no ash fraction is given for this row. ","")&amp;IF($I71="","Sieve mesh not recorded — a fine-root figure cannot be interpreted without it. ","")&amp;IF(AND(ISNUMBER($H71),$H71&gt;0.5),"Ash fraction above 0.5 — over half this sample was mineral soil. Re-wash. ","")&amp;IF($F71="Not separated","Live and dead not separated. Fine for a stock, but "&amp;"note it in reporting. ",""))</f>
        <v/>
      </c>
      <c r="P71" s="6" t="n"/>
      <c r="Q71" s="9">
        <f>IF($B71="",0,IF(COUNTIFS($B$5:$B71,$B71)=1,1,0))</f>
        <v/>
      </c>
    </row>
    <row r="72">
      <c r="A72" s="6" t="n"/>
      <c r="B72" s="6" t="n"/>
      <c r="C72" s="6" t="n"/>
      <c r="D72" s="6" t="n"/>
      <c r="E72" s="6" t="n"/>
      <c r="F72" s="6" t="n"/>
      <c r="G72" s="7" t="n"/>
      <c r="H72" s="7" t="n"/>
      <c r="I72" s="6" t="n"/>
      <c r="J72" s="9">
        <f>IF(NOT(ISNUMBER($G72)),"",IF(AND(ASH_CORRECTED="Yes",ISNUMBER($H72)),$G72*(1-$H72),$G72))</f>
        <v/>
      </c>
      <c r="K72" s="9">
        <f>IF($B72="","",IFERROR(AVERAGEIFS('2. Soil Data'!$G$5:$G$604,'2. Soil Data'!$B$5:$B$604,$B72),""))</f>
        <v/>
      </c>
      <c r="L72" s="9">
        <f>IF(NOT(ISNUMBER($K72)),"",PI()*($K72/2)^2)</f>
        <v/>
      </c>
      <c r="M72" s="9">
        <f>IF(OR(NOT(ISNUMBER($J72)),NOT(ISNUMBER($L72)),$L72=0),"",$J72/$L72*10000)</f>
        <v/>
      </c>
      <c r="N72" s="9">
        <f>IF(NOT(ISNUMBER($M72)),"",$M72*CARBON_FRACTION_ROOT/1000)</f>
        <v/>
      </c>
      <c r="O72" s="11">
        <f>IF(AND($A72="",$B72="",$G72=""),"",IF(AND($B72&lt;&gt;"",COUNTIFS('2. Soil Data'!$B$5:$B$604,$B72)=0),"Core ID not found in Soil Data, so the corer diameter cannot be looked up. ","")&amp;IF(ASH_CORRECTED&lt;&gt;"Yes","Root mass is NOT ash-corrected, so it includes adhering mineral soil and is too high. Set ASH_CORRECTED once you have done it. ","")&amp;IF(AND(ASH_CORRECTED="Yes",NOT(ISNUMBER($H72))),"Ash correction is switched on but no ash fraction is given for this row. ","")&amp;IF($I72="","Sieve mesh not recorded — a fine-root figure cannot be interpreted without it. ","")&amp;IF(AND(ISNUMBER($H72),$H72&gt;0.5),"Ash fraction above 0.5 — over half this sample was mineral soil. Re-wash. ","")&amp;IF($F72="Not separated","Live and dead not separated. Fine for a stock, but "&amp;"note it in reporting. ",""))</f>
        <v/>
      </c>
      <c r="P72" s="6" t="n"/>
      <c r="Q72" s="9">
        <f>IF($B72="",0,IF(COUNTIFS($B$5:$B72,$B72)=1,1,0))</f>
        <v/>
      </c>
    </row>
    <row r="73">
      <c r="A73" s="6" t="n"/>
      <c r="B73" s="6" t="n"/>
      <c r="C73" s="6" t="n"/>
      <c r="D73" s="6" t="n"/>
      <c r="E73" s="6" t="n"/>
      <c r="F73" s="6" t="n"/>
      <c r="G73" s="7" t="n"/>
      <c r="H73" s="7" t="n"/>
      <c r="I73" s="6" t="n"/>
      <c r="J73" s="9">
        <f>IF(NOT(ISNUMBER($G73)),"",IF(AND(ASH_CORRECTED="Yes",ISNUMBER($H73)),$G73*(1-$H73),$G73))</f>
        <v/>
      </c>
      <c r="K73" s="9">
        <f>IF($B73="","",IFERROR(AVERAGEIFS('2. Soil Data'!$G$5:$G$604,'2. Soil Data'!$B$5:$B$604,$B73),""))</f>
        <v/>
      </c>
      <c r="L73" s="9">
        <f>IF(NOT(ISNUMBER($K73)),"",PI()*($K73/2)^2)</f>
        <v/>
      </c>
      <c r="M73" s="9">
        <f>IF(OR(NOT(ISNUMBER($J73)),NOT(ISNUMBER($L73)),$L73=0),"",$J73/$L73*10000)</f>
        <v/>
      </c>
      <c r="N73" s="9">
        <f>IF(NOT(ISNUMBER($M73)),"",$M73*CARBON_FRACTION_ROOT/1000)</f>
        <v/>
      </c>
      <c r="O73" s="11">
        <f>IF(AND($A73="",$B73="",$G73=""),"",IF(AND($B73&lt;&gt;"",COUNTIFS('2. Soil Data'!$B$5:$B$604,$B73)=0),"Core ID not found in Soil Data, so the corer diameter cannot be looked up. ","")&amp;IF(ASH_CORRECTED&lt;&gt;"Yes","Root mass is NOT ash-corrected, so it includes adhering mineral soil and is too high. Set ASH_CORRECTED once you have done it. ","")&amp;IF(AND(ASH_CORRECTED="Yes",NOT(ISNUMBER($H73))),"Ash correction is switched on but no ash fraction is given for this row. ","")&amp;IF($I73="","Sieve mesh not recorded — a fine-root figure cannot be interpreted without it. ","")&amp;IF(AND(ISNUMBER($H73),$H73&gt;0.5),"Ash fraction above 0.5 — over half this sample was mineral soil. Re-wash. ","")&amp;IF($F73="Not separated","Live and dead not separated. Fine for a stock, but "&amp;"note it in reporting. ",""))</f>
        <v/>
      </c>
      <c r="P73" s="6" t="n"/>
      <c r="Q73" s="9">
        <f>IF($B73="",0,IF(COUNTIFS($B$5:$B73,$B73)=1,1,0))</f>
        <v/>
      </c>
    </row>
    <row r="74">
      <c r="A74" s="6" t="n"/>
      <c r="B74" s="6" t="n"/>
      <c r="C74" s="6" t="n"/>
      <c r="D74" s="6" t="n"/>
      <c r="E74" s="6" t="n"/>
      <c r="F74" s="6" t="n"/>
      <c r="G74" s="7" t="n"/>
      <c r="H74" s="7" t="n"/>
      <c r="I74" s="6" t="n"/>
      <c r="J74" s="9">
        <f>IF(NOT(ISNUMBER($G74)),"",IF(AND(ASH_CORRECTED="Yes",ISNUMBER($H74)),$G74*(1-$H74),$G74))</f>
        <v/>
      </c>
      <c r="K74" s="9">
        <f>IF($B74="","",IFERROR(AVERAGEIFS('2. Soil Data'!$G$5:$G$604,'2. Soil Data'!$B$5:$B$604,$B74),""))</f>
        <v/>
      </c>
      <c r="L74" s="9">
        <f>IF(NOT(ISNUMBER($K74)),"",PI()*($K74/2)^2)</f>
        <v/>
      </c>
      <c r="M74" s="9">
        <f>IF(OR(NOT(ISNUMBER($J74)),NOT(ISNUMBER($L74)),$L74=0),"",$J74/$L74*10000)</f>
        <v/>
      </c>
      <c r="N74" s="9">
        <f>IF(NOT(ISNUMBER($M74)),"",$M74*CARBON_FRACTION_ROOT/1000)</f>
        <v/>
      </c>
      <c r="O74" s="11">
        <f>IF(AND($A74="",$B74="",$G74=""),"",IF(AND($B74&lt;&gt;"",COUNTIFS('2. Soil Data'!$B$5:$B$604,$B74)=0),"Core ID not found in Soil Data, so the corer diameter cannot be looked up. ","")&amp;IF(ASH_CORRECTED&lt;&gt;"Yes","Root mass is NOT ash-corrected, so it includes adhering mineral soil and is too high. Set ASH_CORRECTED once you have done it. ","")&amp;IF(AND(ASH_CORRECTED="Yes",NOT(ISNUMBER($H74))),"Ash correction is switched on but no ash fraction is given for this row. ","")&amp;IF($I74="","Sieve mesh not recorded — a fine-root figure cannot be interpreted without it. ","")&amp;IF(AND(ISNUMBER($H74),$H74&gt;0.5),"Ash fraction above 0.5 — over half this sample was mineral soil. Re-wash. ","")&amp;IF($F74="Not separated","Live and dead not separated. Fine for a stock, but "&amp;"note it in reporting. ",""))</f>
        <v/>
      </c>
      <c r="P74" s="6" t="n"/>
      <c r="Q74" s="9">
        <f>IF($B74="",0,IF(COUNTIFS($B$5:$B74,$B74)=1,1,0))</f>
        <v/>
      </c>
    </row>
    <row r="75">
      <c r="A75" s="6" t="n"/>
      <c r="B75" s="6" t="n"/>
      <c r="C75" s="6" t="n"/>
      <c r="D75" s="6" t="n"/>
      <c r="E75" s="6" t="n"/>
      <c r="F75" s="6" t="n"/>
      <c r="G75" s="7" t="n"/>
      <c r="H75" s="7" t="n"/>
      <c r="I75" s="6" t="n"/>
      <c r="J75" s="9">
        <f>IF(NOT(ISNUMBER($G75)),"",IF(AND(ASH_CORRECTED="Yes",ISNUMBER($H75)),$G75*(1-$H75),$G75))</f>
        <v/>
      </c>
      <c r="K75" s="9">
        <f>IF($B75="","",IFERROR(AVERAGEIFS('2. Soil Data'!$G$5:$G$604,'2. Soil Data'!$B$5:$B$604,$B75),""))</f>
        <v/>
      </c>
      <c r="L75" s="9">
        <f>IF(NOT(ISNUMBER($K75)),"",PI()*($K75/2)^2)</f>
        <v/>
      </c>
      <c r="M75" s="9">
        <f>IF(OR(NOT(ISNUMBER($J75)),NOT(ISNUMBER($L75)),$L75=0),"",$J75/$L75*10000)</f>
        <v/>
      </c>
      <c r="N75" s="9">
        <f>IF(NOT(ISNUMBER($M75)),"",$M75*CARBON_FRACTION_ROOT/1000)</f>
        <v/>
      </c>
      <c r="O75" s="11">
        <f>IF(AND($A75="",$B75="",$G75=""),"",IF(AND($B75&lt;&gt;"",COUNTIFS('2. Soil Data'!$B$5:$B$604,$B75)=0),"Core ID not found in Soil Data, so the corer diameter cannot be looked up. ","")&amp;IF(ASH_CORRECTED&lt;&gt;"Yes","Root mass is NOT ash-corrected, so it includes adhering mineral soil and is too high. Set ASH_CORRECTED once you have done it. ","")&amp;IF(AND(ASH_CORRECTED="Yes",NOT(ISNUMBER($H75))),"Ash correction is switched on but no ash fraction is given for this row. ","")&amp;IF($I75="","Sieve mesh not recorded — a fine-root figure cannot be interpreted without it. ","")&amp;IF(AND(ISNUMBER($H75),$H75&gt;0.5),"Ash fraction above 0.5 — over half this sample was mineral soil. Re-wash. ","")&amp;IF($F75="Not separated","Live and dead not separated. Fine for a stock, but "&amp;"note it in reporting. ",""))</f>
        <v/>
      </c>
      <c r="P75" s="6" t="n"/>
      <c r="Q75" s="9">
        <f>IF($B75="",0,IF(COUNTIFS($B$5:$B75,$B75)=1,1,0))</f>
        <v/>
      </c>
    </row>
    <row r="76">
      <c r="A76" s="6" t="n"/>
      <c r="B76" s="6" t="n"/>
      <c r="C76" s="6" t="n"/>
      <c r="D76" s="6" t="n"/>
      <c r="E76" s="6" t="n"/>
      <c r="F76" s="6" t="n"/>
      <c r="G76" s="7" t="n"/>
      <c r="H76" s="7" t="n"/>
      <c r="I76" s="6" t="n"/>
      <c r="J76" s="9">
        <f>IF(NOT(ISNUMBER($G76)),"",IF(AND(ASH_CORRECTED="Yes",ISNUMBER($H76)),$G76*(1-$H76),$G76))</f>
        <v/>
      </c>
      <c r="K76" s="9">
        <f>IF($B76="","",IFERROR(AVERAGEIFS('2. Soil Data'!$G$5:$G$604,'2. Soil Data'!$B$5:$B$604,$B76),""))</f>
        <v/>
      </c>
      <c r="L76" s="9">
        <f>IF(NOT(ISNUMBER($K76)),"",PI()*($K76/2)^2)</f>
        <v/>
      </c>
      <c r="M76" s="9">
        <f>IF(OR(NOT(ISNUMBER($J76)),NOT(ISNUMBER($L76)),$L76=0),"",$J76/$L76*10000)</f>
        <v/>
      </c>
      <c r="N76" s="9">
        <f>IF(NOT(ISNUMBER($M76)),"",$M76*CARBON_FRACTION_ROOT/1000)</f>
        <v/>
      </c>
      <c r="O76" s="11">
        <f>IF(AND($A76="",$B76="",$G76=""),"",IF(AND($B76&lt;&gt;"",COUNTIFS('2. Soil Data'!$B$5:$B$604,$B76)=0),"Core ID not found in Soil Data, so the corer diameter cannot be looked up. ","")&amp;IF(ASH_CORRECTED&lt;&gt;"Yes","Root mass is NOT ash-corrected, so it includes adhering mineral soil and is too high. Set ASH_CORRECTED once you have done it. ","")&amp;IF(AND(ASH_CORRECTED="Yes",NOT(ISNUMBER($H76))),"Ash correction is switched on but no ash fraction is given for this row. ","")&amp;IF($I76="","Sieve mesh not recorded — a fine-root figure cannot be interpreted without it. ","")&amp;IF(AND(ISNUMBER($H76),$H76&gt;0.5),"Ash fraction above 0.5 — over half this sample was mineral soil. Re-wash. ","")&amp;IF($F76="Not separated","Live and dead not separated. Fine for a stock, but "&amp;"note it in reporting. ",""))</f>
        <v/>
      </c>
      <c r="P76" s="6" t="n"/>
      <c r="Q76" s="9">
        <f>IF($B76="",0,IF(COUNTIFS($B$5:$B76,$B76)=1,1,0))</f>
        <v/>
      </c>
    </row>
    <row r="77">
      <c r="A77" s="6" t="n"/>
      <c r="B77" s="6" t="n"/>
      <c r="C77" s="6" t="n"/>
      <c r="D77" s="6" t="n"/>
      <c r="E77" s="6" t="n"/>
      <c r="F77" s="6" t="n"/>
      <c r="G77" s="7" t="n"/>
      <c r="H77" s="7" t="n"/>
      <c r="I77" s="6" t="n"/>
      <c r="J77" s="9">
        <f>IF(NOT(ISNUMBER($G77)),"",IF(AND(ASH_CORRECTED="Yes",ISNUMBER($H77)),$G77*(1-$H77),$G77))</f>
        <v/>
      </c>
      <c r="K77" s="9">
        <f>IF($B77="","",IFERROR(AVERAGEIFS('2. Soil Data'!$G$5:$G$604,'2. Soil Data'!$B$5:$B$604,$B77),""))</f>
        <v/>
      </c>
      <c r="L77" s="9">
        <f>IF(NOT(ISNUMBER($K77)),"",PI()*($K77/2)^2)</f>
        <v/>
      </c>
      <c r="M77" s="9">
        <f>IF(OR(NOT(ISNUMBER($J77)),NOT(ISNUMBER($L77)),$L77=0),"",$J77/$L77*10000)</f>
        <v/>
      </c>
      <c r="N77" s="9">
        <f>IF(NOT(ISNUMBER($M77)),"",$M77*CARBON_FRACTION_ROOT/1000)</f>
        <v/>
      </c>
      <c r="O77" s="11">
        <f>IF(AND($A77="",$B77="",$G77=""),"",IF(AND($B77&lt;&gt;"",COUNTIFS('2. Soil Data'!$B$5:$B$604,$B77)=0),"Core ID not found in Soil Data, so the corer diameter cannot be looked up. ","")&amp;IF(ASH_CORRECTED&lt;&gt;"Yes","Root mass is NOT ash-corrected, so it includes adhering mineral soil and is too high. Set ASH_CORRECTED once you have done it. ","")&amp;IF(AND(ASH_CORRECTED="Yes",NOT(ISNUMBER($H77))),"Ash correction is switched on but no ash fraction is given for this row. ","")&amp;IF($I77="","Sieve mesh not recorded — a fine-root figure cannot be interpreted without it. ","")&amp;IF(AND(ISNUMBER($H77),$H77&gt;0.5),"Ash fraction above 0.5 — over half this sample was mineral soil. Re-wash. ","")&amp;IF($F77="Not separated","Live and dead not separated. Fine for a stock, but "&amp;"note it in reporting. ",""))</f>
        <v/>
      </c>
      <c r="P77" s="6" t="n"/>
      <c r="Q77" s="9">
        <f>IF($B77="",0,IF(COUNTIFS($B$5:$B77,$B77)=1,1,0))</f>
        <v/>
      </c>
    </row>
    <row r="78">
      <c r="A78" s="6" t="n"/>
      <c r="B78" s="6" t="n"/>
      <c r="C78" s="6" t="n"/>
      <c r="D78" s="6" t="n"/>
      <c r="E78" s="6" t="n"/>
      <c r="F78" s="6" t="n"/>
      <c r="G78" s="7" t="n"/>
      <c r="H78" s="7" t="n"/>
      <c r="I78" s="6" t="n"/>
      <c r="J78" s="9">
        <f>IF(NOT(ISNUMBER($G78)),"",IF(AND(ASH_CORRECTED="Yes",ISNUMBER($H78)),$G78*(1-$H78),$G78))</f>
        <v/>
      </c>
      <c r="K78" s="9">
        <f>IF($B78="","",IFERROR(AVERAGEIFS('2. Soil Data'!$G$5:$G$604,'2. Soil Data'!$B$5:$B$604,$B78),""))</f>
        <v/>
      </c>
      <c r="L78" s="9">
        <f>IF(NOT(ISNUMBER($K78)),"",PI()*($K78/2)^2)</f>
        <v/>
      </c>
      <c r="M78" s="9">
        <f>IF(OR(NOT(ISNUMBER($J78)),NOT(ISNUMBER($L78)),$L78=0),"",$J78/$L78*10000)</f>
        <v/>
      </c>
      <c r="N78" s="9">
        <f>IF(NOT(ISNUMBER($M78)),"",$M78*CARBON_FRACTION_ROOT/1000)</f>
        <v/>
      </c>
      <c r="O78" s="11">
        <f>IF(AND($A78="",$B78="",$G78=""),"",IF(AND($B78&lt;&gt;"",COUNTIFS('2. Soil Data'!$B$5:$B$604,$B78)=0),"Core ID not found in Soil Data, so the corer diameter cannot be looked up. ","")&amp;IF(ASH_CORRECTED&lt;&gt;"Yes","Root mass is NOT ash-corrected, so it includes adhering mineral soil and is too high. Set ASH_CORRECTED once you have done it. ","")&amp;IF(AND(ASH_CORRECTED="Yes",NOT(ISNUMBER($H78))),"Ash correction is switched on but no ash fraction is given for this row. ","")&amp;IF($I78="","Sieve mesh not recorded — a fine-root figure cannot be interpreted without it. ","")&amp;IF(AND(ISNUMBER($H78),$H78&gt;0.5),"Ash fraction above 0.5 — over half this sample was mineral soil. Re-wash. ","")&amp;IF($F78="Not separated","Live and dead not separated. Fine for a stock, but "&amp;"note it in reporting. ",""))</f>
        <v/>
      </c>
      <c r="P78" s="6" t="n"/>
      <c r="Q78" s="9">
        <f>IF($B78="",0,IF(COUNTIFS($B$5:$B78,$B78)=1,1,0))</f>
        <v/>
      </c>
    </row>
    <row r="79">
      <c r="A79" s="6" t="n"/>
      <c r="B79" s="6" t="n"/>
      <c r="C79" s="6" t="n"/>
      <c r="D79" s="6" t="n"/>
      <c r="E79" s="6" t="n"/>
      <c r="F79" s="6" t="n"/>
      <c r="G79" s="7" t="n"/>
      <c r="H79" s="7" t="n"/>
      <c r="I79" s="6" t="n"/>
      <c r="J79" s="9">
        <f>IF(NOT(ISNUMBER($G79)),"",IF(AND(ASH_CORRECTED="Yes",ISNUMBER($H79)),$G79*(1-$H79),$G79))</f>
        <v/>
      </c>
      <c r="K79" s="9">
        <f>IF($B79="","",IFERROR(AVERAGEIFS('2. Soil Data'!$G$5:$G$604,'2. Soil Data'!$B$5:$B$604,$B79),""))</f>
        <v/>
      </c>
      <c r="L79" s="9">
        <f>IF(NOT(ISNUMBER($K79)),"",PI()*($K79/2)^2)</f>
        <v/>
      </c>
      <c r="M79" s="9">
        <f>IF(OR(NOT(ISNUMBER($J79)),NOT(ISNUMBER($L79)),$L79=0),"",$J79/$L79*10000)</f>
        <v/>
      </c>
      <c r="N79" s="9">
        <f>IF(NOT(ISNUMBER($M79)),"",$M79*CARBON_FRACTION_ROOT/1000)</f>
        <v/>
      </c>
      <c r="O79" s="11">
        <f>IF(AND($A79="",$B79="",$G79=""),"",IF(AND($B79&lt;&gt;"",COUNTIFS('2. Soil Data'!$B$5:$B$604,$B79)=0),"Core ID not found in Soil Data, so the corer diameter cannot be looked up. ","")&amp;IF(ASH_CORRECTED&lt;&gt;"Yes","Root mass is NOT ash-corrected, so it includes adhering mineral soil and is too high. Set ASH_CORRECTED once you have done it. ","")&amp;IF(AND(ASH_CORRECTED="Yes",NOT(ISNUMBER($H79))),"Ash correction is switched on but no ash fraction is given for this row. ","")&amp;IF($I79="","Sieve mesh not recorded — a fine-root figure cannot be interpreted without it. ","")&amp;IF(AND(ISNUMBER($H79),$H79&gt;0.5),"Ash fraction above 0.5 — over half this sample was mineral soil. Re-wash. ","")&amp;IF($F79="Not separated","Live and dead not separated. Fine for a stock, but "&amp;"note it in reporting. ",""))</f>
        <v/>
      </c>
      <c r="P79" s="6" t="n"/>
      <c r="Q79" s="9">
        <f>IF($B79="",0,IF(COUNTIFS($B$5:$B79,$B79)=1,1,0))</f>
        <v/>
      </c>
    </row>
    <row r="80">
      <c r="A80" s="6" t="n"/>
      <c r="B80" s="6" t="n"/>
      <c r="C80" s="6" t="n"/>
      <c r="D80" s="6" t="n"/>
      <c r="E80" s="6" t="n"/>
      <c r="F80" s="6" t="n"/>
      <c r="G80" s="7" t="n"/>
      <c r="H80" s="7" t="n"/>
      <c r="I80" s="6" t="n"/>
      <c r="J80" s="9">
        <f>IF(NOT(ISNUMBER($G80)),"",IF(AND(ASH_CORRECTED="Yes",ISNUMBER($H80)),$G80*(1-$H80),$G80))</f>
        <v/>
      </c>
      <c r="K80" s="9">
        <f>IF($B80="","",IFERROR(AVERAGEIFS('2. Soil Data'!$G$5:$G$604,'2. Soil Data'!$B$5:$B$604,$B80),""))</f>
        <v/>
      </c>
      <c r="L80" s="9">
        <f>IF(NOT(ISNUMBER($K80)),"",PI()*($K80/2)^2)</f>
        <v/>
      </c>
      <c r="M80" s="9">
        <f>IF(OR(NOT(ISNUMBER($J80)),NOT(ISNUMBER($L80)),$L80=0),"",$J80/$L80*10000)</f>
        <v/>
      </c>
      <c r="N80" s="9">
        <f>IF(NOT(ISNUMBER($M80)),"",$M80*CARBON_FRACTION_ROOT/1000)</f>
        <v/>
      </c>
      <c r="O80" s="11">
        <f>IF(AND($A80="",$B80="",$G80=""),"",IF(AND($B80&lt;&gt;"",COUNTIFS('2. Soil Data'!$B$5:$B$604,$B80)=0),"Core ID not found in Soil Data, so the corer diameter cannot be looked up. ","")&amp;IF(ASH_CORRECTED&lt;&gt;"Yes","Root mass is NOT ash-corrected, so it includes adhering mineral soil and is too high. Set ASH_CORRECTED once you have done it. ","")&amp;IF(AND(ASH_CORRECTED="Yes",NOT(ISNUMBER($H80))),"Ash correction is switched on but no ash fraction is given for this row. ","")&amp;IF($I80="","Sieve mesh not recorded — a fine-root figure cannot be interpreted without it. ","")&amp;IF(AND(ISNUMBER($H80),$H80&gt;0.5),"Ash fraction above 0.5 — over half this sample was mineral soil. Re-wash. ","")&amp;IF($F80="Not separated","Live and dead not separated. Fine for a stock, but "&amp;"note it in reporting. ",""))</f>
        <v/>
      </c>
      <c r="P80" s="6" t="n"/>
      <c r="Q80" s="9">
        <f>IF($B80="",0,IF(COUNTIFS($B$5:$B80,$B80)=1,1,0))</f>
        <v/>
      </c>
    </row>
    <row r="81">
      <c r="A81" s="6" t="n"/>
      <c r="B81" s="6" t="n"/>
      <c r="C81" s="6" t="n"/>
      <c r="D81" s="6" t="n"/>
      <c r="E81" s="6" t="n"/>
      <c r="F81" s="6" t="n"/>
      <c r="G81" s="7" t="n"/>
      <c r="H81" s="7" t="n"/>
      <c r="I81" s="6" t="n"/>
      <c r="J81" s="9">
        <f>IF(NOT(ISNUMBER($G81)),"",IF(AND(ASH_CORRECTED="Yes",ISNUMBER($H81)),$G81*(1-$H81),$G81))</f>
        <v/>
      </c>
      <c r="K81" s="9">
        <f>IF($B81="","",IFERROR(AVERAGEIFS('2. Soil Data'!$G$5:$G$604,'2. Soil Data'!$B$5:$B$604,$B81),""))</f>
        <v/>
      </c>
      <c r="L81" s="9">
        <f>IF(NOT(ISNUMBER($K81)),"",PI()*($K81/2)^2)</f>
        <v/>
      </c>
      <c r="M81" s="9">
        <f>IF(OR(NOT(ISNUMBER($J81)),NOT(ISNUMBER($L81)),$L81=0),"",$J81/$L81*10000)</f>
        <v/>
      </c>
      <c r="N81" s="9">
        <f>IF(NOT(ISNUMBER($M81)),"",$M81*CARBON_FRACTION_ROOT/1000)</f>
        <v/>
      </c>
      <c r="O81" s="11">
        <f>IF(AND($A81="",$B81="",$G81=""),"",IF(AND($B81&lt;&gt;"",COUNTIFS('2. Soil Data'!$B$5:$B$604,$B81)=0),"Core ID not found in Soil Data, so the corer diameter cannot be looked up. ","")&amp;IF(ASH_CORRECTED&lt;&gt;"Yes","Root mass is NOT ash-corrected, so it includes adhering mineral soil and is too high. Set ASH_CORRECTED once you have done it. ","")&amp;IF(AND(ASH_CORRECTED="Yes",NOT(ISNUMBER($H81))),"Ash correction is switched on but no ash fraction is given for this row. ","")&amp;IF($I81="","Sieve mesh not recorded — a fine-root figure cannot be interpreted without it. ","")&amp;IF(AND(ISNUMBER($H81),$H81&gt;0.5),"Ash fraction above 0.5 — over half this sample was mineral soil. Re-wash. ","")&amp;IF($F81="Not separated","Live and dead not separated. Fine for a stock, but "&amp;"note it in reporting. ",""))</f>
        <v/>
      </c>
      <c r="P81" s="6" t="n"/>
      <c r="Q81" s="9">
        <f>IF($B81="",0,IF(COUNTIFS($B$5:$B81,$B81)=1,1,0))</f>
        <v/>
      </c>
    </row>
    <row r="82">
      <c r="A82" s="6" t="n"/>
      <c r="B82" s="6" t="n"/>
      <c r="C82" s="6" t="n"/>
      <c r="D82" s="6" t="n"/>
      <c r="E82" s="6" t="n"/>
      <c r="F82" s="6" t="n"/>
      <c r="G82" s="7" t="n"/>
      <c r="H82" s="7" t="n"/>
      <c r="I82" s="6" t="n"/>
      <c r="J82" s="9">
        <f>IF(NOT(ISNUMBER($G82)),"",IF(AND(ASH_CORRECTED="Yes",ISNUMBER($H82)),$G82*(1-$H82),$G82))</f>
        <v/>
      </c>
      <c r="K82" s="9">
        <f>IF($B82="","",IFERROR(AVERAGEIFS('2. Soil Data'!$G$5:$G$604,'2. Soil Data'!$B$5:$B$604,$B82),""))</f>
        <v/>
      </c>
      <c r="L82" s="9">
        <f>IF(NOT(ISNUMBER($K82)),"",PI()*($K82/2)^2)</f>
        <v/>
      </c>
      <c r="M82" s="9">
        <f>IF(OR(NOT(ISNUMBER($J82)),NOT(ISNUMBER($L82)),$L82=0),"",$J82/$L82*10000)</f>
        <v/>
      </c>
      <c r="N82" s="9">
        <f>IF(NOT(ISNUMBER($M82)),"",$M82*CARBON_FRACTION_ROOT/1000)</f>
        <v/>
      </c>
      <c r="O82" s="11">
        <f>IF(AND($A82="",$B82="",$G82=""),"",IF(AND($B82&lt;&gt;"",COUNTIFS('2. Soil Data'!$B$5:$B$604,$B82)=0),"Core ID not found in Soil Data, so the corer diameter cannot be looked up. ","")&amp;IF(ASH_CORRECTED&lt;&gt;"Yes","Root mass is NOT ash-corrected, so it includes adhering mineral soil and is too high. Set ASH_CORRECTED once you have done it. ","")&amp;IF(AND(ASH_CORRECTED="Yes",NOT(ISNUMBER($H82))),"Ash correction is switched on but no ash fraction is given for this row. ","")&amp;IF($I82="","Sieve mesh not recorded — a fine-root figure cannot be interpreted without it. ","")&amp;IF(AND(ISNUMBER($H82),$H82&gt;0.5),"Ash fraction above 0.5 — over half this sample was mineral soil. Re-wash. ","")&amp;IF($F82="Not separated","Live and dead not separated. Fine for a stock, but "&amp;"note it in reporting. ",""))</f>
        <v/>
      </c>
      <c r="P82" s="6" t="n"/>
      <c r="Q82" s="9">
        <f>IF($B82="",0,IF(COUNTIFS($B$5:$B82,$B82)=1,1,0))</f>
        <v/>
      </c>
    </row>
    <row r="83">
      <c r="A83" s="6" t="n"/>
      <c r="B83" s="6" t="n"/>
      <c r="C83" s="6" t="n"/>
      <c r="D83" s="6" t="n"/>
      <c r="E83" s="6" t="n"/>
      <c r="F83" s="6" t="n"/>
      <c r="G83" s="7" t="n"/>
      <c r="H83" s="7" t="n"/>
      <c r="I83" s="6" t="n"/>
      <c r="J83" s="9">
        <f>IF(NOT(ISNUMBER($G83)),"",IF(AND(ASH_CORRECTED="Yes",ISNUMBER($H83)),$G83*(1-$H83),$G83))</f>
        <v/>
      </c>
      <c r="K83" s="9">
        <f>IF($B83="","",IFERROR(AVERAGEIFS('2. Soil Data'!$G$5:$G$604,'2. Soil Data'!$B$5:$B$604,$B83),""))</f>
        <v/>
      </c>
      <c r="L83" s="9">
        <f>IF(NOT(ISNUMBER($K83)),"",PI()*($K83/2)^2)</f>
        <v/>
      </c>
      <c r="M83" s="9">
        <f>IF(OR(NOT(ISNUMBER($J83)),NOT(ISNUMBER($L83)),$L83=0),"",$J83/$L83*10000)</f>
        <v/>
      </c>
      <c r="N83" s="9">
        <f>IF(NOT(ISNUMBER($M83)),"",$M83*CARBON_FRACTION_ROOT/1000)</f>
        <v/>
      </c>
      <c r="O83" s="11">
        <f>IF(AND($A83="",$B83="",$G83=""),"",IF(AND($B83&lt;&gt;"",COUNTIFS('2. Soil Data'!$B$5:$B$604,$B83)=0),"Core ID not found in Soil Data, so the corer diameter cannot be looked up. ","")&amp;IF(ASH_CORRECTED&lt;&gt;"Yes","Root mass is NOT ash-corrected, so it includes adhering mineral soil and is too high. Set ASH_CORRECTED once you have done it. ","")&amp;IF(AND(ASH_CORRECTED="Yes",NOT(ISNUMBER($H83))),"Ash correction is switched on but no ash fraction is given for this row. ","")&amp;IF($I83="","Sieve mesh not recorded — a fine-root figure cannot be interpreted without it. ","")&amp;IF(AND(ISNUMBER($H83),$H83&gt;0.5),"Ash fraction above 0.5 — over half this sample was mineral soil. Re-wash. ","")&amp;IF($F83="Not separated","Live and dead not separated. Fine for a stock, but "&amp;"note it in reporting. ",""))</f>
        <v/>
      </c>
      <c r="P83" s="6" t="n"/>
      <c r="Q83" s="9">
        <f>IF($B83="",0,IF(COUNTIFS($B$5:$B83,$B83)=1,1,0))</f>
        <v/>
      </c>
    </row>
    <row r="84">
      <c r="A84" s="6" t="n"/>
      <c r="B84" s="6" t="n"/>
      <c r="C84" s="6" t="n"/>
      <c r="D84" s="6" t="n"/>
      <c r="E84" s="6" t="n"/>
      <c r="F84" s="6" t="n"/>
      <c r="G84" s="7" t="n"/>
      <c r="H84" s="7" t="n"/>
      <c r="I84" s="6" t="n"/>
      <c r="J84" s="9">
        <f>IF(NOT(ISNUMBER($G84)),"",IF(AND(ASH_CORRECTED="Yes",ISNUMBER($H84)),$G84*(1-$H84),$G84))</f>
        <v/>
      </c>
      <c r="K84" s="9">
        <f>IF($B84="","",IFERROR(AVERAGEIFS('2. Soil Data'!$G$5:$G$604,'2. Soil Data'!$B$5:$B$604,$B84),""))</f>
        <v/>
      </c>
      <c r="L84" s="9">
        <f>IF(NOT(ISNUMBER($K84)),"",PI()*($K84/2)^2)</f>
        <v/>
      </c>
      <c r="M84" s="9">
        <f>IF(OR(NOT(ISNUMBER($J84)),NOT(ISNUMBER($L84)),$L84=0),"",$J84/$L84*10000)</f>
        <v/>
      </c>
      <c r="N84" s="9">
        <f>IF(NOT(ISNUMBER($M84)),"",$M84*CARBON_FRACTION_ROOT/1000)</f>
        <v/>
      </c>
      <c r="O84" s="11">
        <f>IF(AND($A84="",$B84="",$G84=""),"",IF(AND($B84&lt;&gt;"",COUNTIFS('2. Soil Data'!$B$5:$B$604,$B84)=0),"Core ID not found in Soil Data, so the corer diameter cannot be looked up. ","")&amp;IF(ASH_CORRECTED&lt;&gt;"Yes","Root mass is NOT ash-corrected, so it includes adhering mineral soil and is too high. Set ASH_CORRECTED once you have done it. ","")&amp;IF(AND(ASH_CORRECTED="Yes",NOT(ISNUMBER($H84))),"Ash correction is switched on but no ash fraction is given for this row. ","")&amp;IF($I84="","Sieve mesh not recorded — a fine-root figure cannot be interpreted without it. ","")&amp;IF(AND(ISNUMBER($H84),$H84&gt;0.5),"Ash fraction above 0.5 — over half this sample was mineral soil. Re-wash. ","")&amp;IF($F84="Not separated","Live and dead not separated. Fine for a stock, but "&amp;"note it in reporting. ",""))</f>
        <v/>
      </c>
      <c r="P84" s="6" t="n"/>
      <c r="Q84" s="9">
        <f>IF($B84="",0,IF(COUNTIFS($B$5:$B84,$B84)=1,1,0))</f>
        <v/>
      </c>
    </row>
    <row r="85">
      <c r="A85" s="6" t="n"/>
      <c r="B85" s="6" t="n"/>
      <c r="C85" s="6" t="n"/>
      <c r="D85" s="6" t="n"/>
      <c r="E85" s="6" t="n"/>
      <c r="F85" s="6" t="n"/>
      <c r="G85" s="7" t="n"/>
      <c r="H85" s="7" t="n"/>
      <c r="I85" s="6" t="n"/>
      <c r="J85" s="9">
        <f>IF(NOT(ISNUMBER($G85)),"",IF(AND(ASH_CORRECTED="Yes",ISNUMBER($H85)),$G85*(1-$H85),$G85))</f>
        <v/>
      </c>
      <c r="K85" s="9">
        <f>IF($B85="","",IFERROR(AVERAGEIFS('2. Soil Data'!$G$5:$G$604,'2. Soil Data'!$B$5:$B$604,$B85),""))</f>
        <v/>
      </c>
      <c r="L85" s="9">
        <f>IF(NOT(ISNUMBER($K85)),"",PI()*($K85/2)^2)</f>
        <v/>
      </c>
      <c r="M85" s="9">
        <f>IF(OR(NOT(ISNUMBER($J85)),NOT(ISNUMBER($L85)),$L85=0),"",$J85/$L85*10000)</f>
        <v/>
      </c>
      <c r="N85" s="9">
        <f>IF(NOT(ISNUMBER($M85)),"",$M85*CARBON_FRACTION_ROOT/1000)</f>
        <v/>
      </c>
      <c r="O85" s="11">
        <f>IF(AND($A85="",$B85="",$G85=""),"",IF(AND($B85&lt;&gt;"",COUNTIFS('2. Soil Data'!$B$5:$B$604,$B85)=0),"Core ID not found in Soil Data, so the corer diameter cannot be looked up. ","")&amp;IF(ASH_CORRECTED&lt;&gt;"Yes","Root mass is NOT ash-corrected, so it includes adhering mineral soil and is too high. Set ASH_CORRECTED once you have done it. ","")&amp;IF(AND(ASH_CORRECTED="Yes",NOT(ISNUMBER($H85))),"Ash correction is switched on but no ash fraction is given for this row. ","")&amp;IF($I85="","Sieve mesh not recorded — a fine-root figure cannot be interpreted without it. ","")&amp;IF(AND(ISNUMBER($H85),$H85&gt;0.5),"Ash fraction above 0.5 — over half this sample was mineral soil. Re-wash. ","")&amp;IF($F85="Not separated","Live and dead not separated. Fine for a stock, but "&amp;"note it in reporting. ",""))</f>
        <v/>
      </c>
      <c r="P85" s="6" t="n"/>
      <c r="Q85" s="9">
        <f>IF($B85="",0,IF(COUNTIFS($B$5:$B85,$B85)=1,1,0))</f>
        <v/>
      </c>
    </row>
    <row r="86">
      <c r="A86" s="6" t="n"/>
      <c r="B86" s="6" t="n"/>
      <c r="C86" s="6" t="n"/>
      <c r="D86" s="6" t="n"/>
      <c r="E86" s="6" t="n"/>
      <c r="F86" s="6" t="n"/>
      <c r="G86" s="7" t="n"/>
      <c r="H86" s="7" t="n"/>
      <c r="I86" s="6" t="n"/>
      <c r="J86" s="9">
        <f>IF(NOT(ISNUMBER($G86)),"",IF(AND(ASH_CORRECTED="Yes",ISNUMBER($H86)),$G86*(1-$H86),$G86))</f>
        <v/>
      </c>
      <c r="K86" s="9">
        <f>IF($B86="","",IFERROR(AVERAGEIFS('2. Soil Data'!$G$5:$G$604,'2. Soil Data'!$B$5:$B$604,$B86),""))</f>
        <v/>
      </c>
      <c r="L86" s="9">
        <f>IF(NOT(ISNUMBER($K86)),"",PI()*($K86/2)^2)</f>
        <v/>
      </c>
      <c r="M86" s="9">
        <f>IF(OR(NOT(ISNUMBER($J86)),NOT(ISNUMBER($L86)),$L86=0),"",$J86/$L86*10000)</f>
        <v/>
      </c>
      <c r="N86" s="9">
        <f>IF(NOT(ISNUMBER($M86)),"",$M86*CARBON_FRACTION_ROOT/1000)</f>
        <v/>
      </c>
      <c r="O86" s="11">
        <f>IF(AND($A86="",$B86="",$G86=""),"",IF(AND($B86&lt;&gt;"",COUNTIFS('2. Soil Data'!$B$5:$B$604,$B86)=0),"Core ID not found in Soil Data, so the corer diameter cannot be looked up. ","")&amp;IF(ASH_CORRECTED&lt;&gt;"Yes","Root mass is NOT ash-corrected, so it includes adhering mineral soil and is too high. Set ASH_CORRECTED once you have done it. ","")&amp;IF(AND(ASH_CORRECTED="Yes",NOT(ISNUMBER($H86))),"Ash correction is switched on but no ash fraction is given for this row. ","")&amp;IF($I86="","Sieve mesh not recorded — a fine-root figure cannot be interpreted without it. ","")&amp;IF(AND(ISNUMBER($H86),$H86&gt;0.5),"Ash fraction above 0.5 — over half this sample was mineral soil. Re-wash. ","")&amp;IF($F86="Not separated","Live and dead not separated. Fine for a stock, but "&amp;"note it in reporting. ",""))</f>
        <v/>
      </c>
      <c r="P86" s="6" t="n"/>
      <c r="Q86" s="9">
        <f>IF($B86="",0,IF(COUNTIFS($B$5:$B86,$B86)=1,1,0))</f>
        <v/>
      </c>
    </row>
    <row r="87">
      <c r="A87" s="6" t="n"/>
      <c r="B87" s="6" t="n"/>
      <c r="C87" s="6" t="n"/>
      <c r="D87" s="6" t="n"/>
      <c r="E87" s="6" t="n"/>
      <c r="F87" s="6" t="n"/>
      <c r="G87" s="7" t="n"/>
      <c r="H87" s="7" t="n"/>
      <c r="I87" s="6" t="n"/>
      <c r="J87" s="9">
        <f>IF(NOT(ISNUMBER($G87)),"",IF(AND(ASH_CORRECTED="Yes",ISNUMBER($H87)),$G87*(1-$H87),$G87))</f>
        <v/>
      </c>
      <c r="K87" s="9">
        <f>IF($B87="","",IFERROR(AVERAGEIFS('2. Soil Data'!$G$5:$G$604,'2. Soil Data'!$B$5:$B$604,$B87),""))</f>
        <v/>
      </c>
      <c r="L87" s="9">
        <f>IF(NOT(ISNUMBER($K87)),"",PI()*($K87/2)^2)</f>
        <v/>
      </c>
      <c r="M87" s="9">
        <f>IF(OR(NOT(ISNUMBER($J87)),NOT(ISNUMBER($L87)),$L87=0),"",$J87/$L87*10000)</f>
        <v/>
      </c>
      <c r="N87" s="9">
        <f>IF(NOT(ISNUMBER($M87)),"",$M87*CARBON_FRACTION_ROOT/1000)</f>
        <v/>
      </c>
      <c r="O87" s="11">
        <f>IF(AND($A87="",$B87="",$G87=""),"",IF(AND($B87&lt;&gt;"",COUNTIFS('2. Soil Data'!$B$5:$B$604,$B87)=0),"Core ID not found in Soil Data, so the corer diameter cannot be looked up. ","")&amp;IF(ASH_CORRECTED&lt;&gt;"Yes","Root mass is NOT ash-corrected, so it includes adhering mineral soil and is too high. Set ASH_CORRECTED once you have done it. ","")&amp;IF(AND(ASH_CORRECTED="Yes",NOT(ISNUMBER($H87))),"Ash correction is switched on but no ash fraction is given for this row. ","")&amp;IF($I87="","Sieve mesh not recorded — a fine-root figure cannot be interpreted without it. ","")&amp;IF(AND(ISNUMBER($H87),$H87&gt;0.5),"Ash fraction above 0.5 — over half this sample was mineral soil. Re-wash. ","")&amp;IF($F87="Not separated","Live and dead not separated. Fine for a stock, but "&amp;"note it in reporting. ",""))</f>
        <v/>
      </c>
      <c r="P87" s="6" t="n"/>
      <c r="Q87" s="9">
        <f>IF($B87="",0,IF(COUNTIFS($B$5:$B87,$B87)=1,1,0))</f>
        <v/>
      </c>
    </row>
    <row r="88">
      <c r="A88" s="6" t="n"/>
      <c r="B88" s="6" t="n"/>
      <c r="C88" s="6" t="n"/>
      <c r="D88" s="6" t="n"/>
      <c r="E88" s="6" t="n"/>
      <c r="F88" s="6" t="n"/>
      <c r="G88" s="7" t="n"/>
      <c r="H88" s="7" t="n"/>
      <c r="I88" s="6" t="n"/>
      <c r="J88" s="9">
        <f>IF(NOT(ISNUMBER($G88)),"",IF(AND(ASH_CORRECTED="Yes",ISNUMBER($H88)),$G88*(1-$H88),$G88))</f>
        <v/>
      </c>
      <c r="K88" s="9">
        <f>IF($B88="","",IFERROR(AVERAGEIFS('2. Soil Data'!$G$5:$G$604,'2. Soil Data'!$B$5:$B$604,$B88),""))</f>
        <v/>
      </c>
      <c r="L88" s="9">
        <f>IF(NOT(ISNUMBER($K88)),"",PI()*($K88/2)^2)</f>
        <v/>
      </c>
      <c r="M88" s="9">
        <f>IF(OR(NOT(ISNUMBER($J88)),NOT(ISNUMBER($L88)),$L88=0),"",$J88/$L88*10000)</f>
        <v/>
      </c>
      <c r="N88" s="9">
        <f>IF(NOT(ISNUMBER($M88)),"",$M88*CARBON_FRACTION_ROOT/1000)</f>
        <v/>
      </c>
      <c r="O88" s="11">
        <f>IF(AND($A88="",$B88="",$G88=""),"",IF(AND($B88&lt;&gt;"",COUNTIFS('2. Soil Data'!$B$5:$B$604,$B88)=0),"Core ID not found in Soil Data, so the corer diameter cannot be looked up. ","")&amp;IF(ASH_CORRECTED&lt;&gt;"Yes","Root mass is NOT ash-corrected, so it includes adhering mineral soil and is too high. Set ASH_CORRECTED once you have done it. ","")&amp;IF(AND(ASH_CORRECTED="Yes",NOT(ISNUMBER($H88))),"Ash correction is switched on but no ash fraction is given for this row. ","")&amp;IF($I88="","Sieve mesh not recorded — a fine-root figure cannot be interpreted without it. ","")&amp;IF(AND(ISNUMBER($H88),$H88&gt;0.5),"Ash fraction above 0.5 — over half this sample was mineral soil. Re-wash. ","")&amp;IF($F88="Not separated","Live and dead not separated. Fine for a stock, but "&amp;"note it in reporting. ",""))</f>
        <v/>
      </c>
      <c r="P88" s="6" t="n"/>
      <c r="Q88" s="9">
        <f>IF($B88="",0,IF(COUNTIFS($B$5:$B88,$B88)=1,1,0))</f>
        <v/>
      </c>
    </row>
    <row r="89">
      <c r="A89" s="6" t="n"/>
      <c r="B89" s="6" t="n"/>
      <c r="C89" s="6" t="n"/>
      <c r="D89" s="6" t="n"/>
      <c r="E89" s="6" t="n"/>
      <c r="F89" s="6" t="n"/>
      <c r="G89" s="7" t="n"/>
      <c r="H89" s="7" t="n"/>
      <c r="I89" s="6" t="n"/>
      <c r="J89" s="9">
        <f>IF(NOT(ISNUMBER($G89)),"",IF(AND(ASH_CORRECTED="Yes",ISNUMBER($H89)),$G89*(1-$H89),$G89))</f>
        <v/>
      </c>
      <c r="K89" s="9">
        <f>IF($B89="","",IFERROR(AVERAGEIFS('2. Soil Data'!$G$5:$G$604,'2. Soil Data'!$B$5:$B$604,$B89),""))</f>
        <v/>
      </c>
      <c r="L89" s="9">
        <f>IF(NOT(ISNUMBER($K89)),"",PI()*($K89/2)^2)</f>
        <v/>
      </c>
      <c r="M89" s="9">
        <f>IF(OR(NOT(ISNUMBER($J89)),NOT(ISNUMBER($L89)),$L89=0),"",$J89/$L89*10000)</f>
        <v/>
      </c>
      <c r="N89" s="9">
        <f>IF(NOT(ISNUMBER($M89)),"",$M89*CARBON_FRACTION_ROOT/1000)</f>
        <v/>
      </c>
      <c r="O89" s="11">
        <f>IF(AND($A89="",$B89="",$G89=""),"",IF(AND($B89&lt;&gt;"",COUNTIFS('2. Soil Data'!$B$5:$B$604,$B89)=0),"Core ID not found in Soil Data, so the corer diameter cannot be looked up. ","")&amp;IF(ASH_CORRECTED&lt;&gt;"Yes","Root mass is NOT ash-corrected, so it includes adhering mineral soil and is too high. Set ASH_CORRECTED once you have done it. ","")&amp;IF(AND(ASH_CORRECTED="Yes",NOT(ISNUMBER($H89))),"Ash correction is switched on but no ash fraction is given for this row. ","")&amp;IF($I89="","Sieve mesh not recorded — a fine-root figure cannot be interpreted without it. ","")&amp;IF(AND(ISNUMBER($H89),$H89&gt;0.5),"Ash fraction above 0.5 — over half this sample was mineral soil. Re-wash. ","")&amp;IF($F89="Not separated","Live and dead not separated. Fine for a stock, but "&amp;"note it in reporting. ",""))</f>
        <v/>
      </c>
      <c r="P89" s="6" t="n"/>
      <c r="Q89" s="9">
        <f>IF($B89="",0,IF(COUNTIFS($B$5:$B89,$B89)=1,1,0))</f>
        <v/>
      </c>
    </row>
    <row r="90">
      <c r="A90" s="6" t="n"/>
      <c r="B90" s="6" t="n"/>
      <c r="C90" s="6" t="n"/>
      <c r="D90" s="6" t="n"/>
      <c r="E90" s="6" t="n"/>
      <c r="F90" s="6" t="n"/>
      <c r="G90" s="7" t="n"/>
      <c r="H90" s="7" t="n"/>
      <c r="I90" s="6" t="n"/>
      <c r="J90" s="9">
        <f>IF(NOT(ISNUMBER($G90)),"",IF(AND(ASH_CORRECTED="Yes",ISNUMBER($H90)),$G90*(1-$H90),$G90))</f>
        <v/>
      </c>
      <c r="K90" s="9">
        <f>IF($B90="","",IFERROR(AVERAGEIFS('2. Soil Data'!$G$5:$G$604,'2. Soil Data'!$B$5:$B$604,$B90),""))</f>
        <v/>
      </c>
      <c r="L90" s="9">
        <f>IF(NOT(ISNUMBER($K90)),"",PI()*($K90/2)^2)</f>
        <v/>
      </c>
      <c r="M90" s="9">
        <f>IF(OR(NOT(ISNUMBER($J90)),NOT(ISNUMBER($L90)),$L90=0),"",$J90/$L90*10000)</f>
        <v/>
      </c>
      <c r="N90" s="9">
        <f>IF(NOT(ISNUMBER($M90)),"",$M90*CARBON_FRACTION_ROOT/1000)</f>
        <v/>
      </c>
      <c r="O90" s="11">
        <f>IF(AND($A90="",$B90="",$G90=""),"",IF(AND($B90&lt;&gt;"",COUNTIFS('2. Soil Data'!$B$5:$B$604,$B90)=0),"Core ID not found in Soil Data, so the corer diameter cannot be looked up. ","")&amp;IF(ASH_CORRECTED&lt;&gt;"Yes","Root mass is NOT ash-corrected, so it includes adhering mineral soil and is too high. Set ASH_CORRECTED once you have done it. ","")&amp;IF(AND(ASH_CORRECTED="Yes",NOT(ISNUMBER($H90))),"Ash correction is switched on but no ash fraction is given for this row. ","")&amp;IF($I90="","Sieve mesh not recorded — a fine-root figure cannot be interpreted without it. ","")&amp;IF(AND(ISNUMBER($H90),$H90&gt;0.5),"Ash fraction above 0.5 — over half this sample was mineral soil. Re-wash. ","")&amp;IF($F90="Not separated","Live and dead not separated. Fine for a stock, but "&amp;"note it in reporting. ",""))</f>
        <v/>
      </c>
      <c r="P90" s="6" t="n"/>
      <c r="Q90" s="9">
        <f>IF($B90="",0,IF(COUNTIFS($B$5:$B90,$B90)=1,1,0))</f>
        <v/>
      </c>
    </row>
    <row r="91">
      <c r="A91" s="6" t="n"/>
      <c r="B91" s="6" t="n"/>
      <c r="C91" s="6" t="n"/>
      <c r="D91" s="6" t="n"/>
      <c r="E91" s="6" t="n"/>
      <c r="F91" s="6" t="n"/>
      <c r="G91" s="7" t="n"/>
      <c r="H91" s="7" t="n"/>
      <c r="I91" s="6" t="n"/>
      <c r="J91" s="9">
        <f>IF(NOT(ISNUMBER($G91)),"",IF(AND(ASH_CORRECTED="Yes",ISNUMBER($H91)),$G91*(1-$H91),$G91))</f>
        <v/>
      </c>
      <c r="K91" s="9">
        <f>IF($B91="","",IFERROR(AVERAGEIFS('2. Soil Data'!$G$5:$G$604,'2. Soil Data'!$B$5:$B$604,$B91),""))</f>
        <v/>
      </c>
      <c r="L91" s="9">
        <f>IF(NOT(ISNUMBER($K91)),"",PI()*($K91/2)^2)</f>
        <v/>
      </c>
      <c r="M91" s="9">
        <f>IF(OR(NOT(ISNUMBER($J91)),NOT(ISNUMBER($L91)),$L91=0),"",$J91/$L91*10000)</f>
        <v/>
      </c>
      <c r="N91" s="9">
        <f>IF(NOT(ISNUMBER($M91)),"",$M91*CARBON_FRACTION_ROOT/1000)</f>
        <v/>
      </c>
      <c r="O91" s="11">
        <f>IF(AND($A91="",$B91="",$G91=""),"",IF(AND($B91&lt;&gt;"",COUNTIFS('2. Soil Data'!$B$5:$B$604,$B91)=0),"Core ID not found in Soil Data, so the corer diameter cannot be looked up. ","")&amp;IF(ASH_CORRECTED&lt;&gt;"Yes","Root mass is NOT ash-corrected, so it includes adhering mineral soil and is too high. Set ASH_CORRECTED once you have done it. ","")&amp;IF(AND(ASH_CORRECTED="Yes",NOT(ISNUMBER($H91))),"Ash correction is switched on but no ash fraction is given for this row. ","")&amp;IF($I91="","Sieve mesh not recorded — a fine-root figure cannot be interpreted without it. ","")&amp;IF(AND(ISNUMBER($H91),$H91&gt;0.5),"Ash fraction above 0.5 — over half this sample was mineral soil. Re-wash. ","")&amp;IF($F91="Not separated","Live and dead not separated. Fine for a stock, but "&amp;"note it in reporting. ",""))</f>
        <v/>
      </c>
      <c r="P91" s="6" t="n"/>
      <c r="Q91" s="9">
        <f>IF($B91="",0,IF(COUNTIFS($B$5:$B91,$B91)=1,1,0))</f>
        <v/>
      </c>
    </row>
    <row r="92">
      <c r="A92" s="6" t="n"/>
      <c r="B92" s="6" t="n"/>
      <c r="C92" s="6" t="n"/>
      <c r="D92" s="6" t="n"/>
      <c r="E92" s="6" t="n"/>
      <c r="F92" s="6" t="n"/>
      <c r="G92" s="7" t="n"/>
      <c r="H92" s="7" t="n"/>
      <c r="I92" s="6" t="n"/>
      <c r="J92" s="9">
        <f>IF(NOT(ISNUMBER($G92)),"",IF(AND(ASH_CORRECTED="Yes",ISNUMBER($H92)),$G92*(1-$H92),$G92))</f>
        <v/>
      </c>
      <c r="K92" s="9">
        <f>IF($B92="","",IFERROR(AVERAGEIFS('2. Soil Data'!$G$5:$G$604,'2. Soil Data'!$B$5:$B$604,$B92),""))</f>
        <v/>
      </c>
      <c r="L92" s="9">
        <f>IF(NOT(ISNUMBER($K92)),"",PI()*($K92/2)^2)</f>
        <v/>
      </c>
      <c r="M92" s="9">
        <f>IF(OR(NOT(ISNUMBER($J92)),NOT(ISNUMBER($L92)),$L92=0),"",$J92/$L92*10000)</f>
        <v/>
      </c>
      <c r="N92" s="9">
        <f>IF(NOT(ISNUMBER($M92)),"",$M92*CARBON_FRACTION_ROOT/1000)</f>
        <v/>
      </c>
      <c r="O92" s="11">
        <f>IF(AND($A92="",$B92="",$G92=""),"",IF(AND($B92&lt;&gt;"",COUNTIFS('2. Soil Data'!$B$5:$B$604,$B92)=0),"Core ID not found in Soil Data, so the corer diameter cannot be looked up. ","")&amp;IF(ASH_CORRECTED&lt;&gt;"Yes","Root mass is NOT ash-corrected, so it includes adhering mineral soil and is too high. Set ASH_CORRECTED once you have done it. ","")&amp;IF(AND(ASH_CORRECTED="Yes",NOT(ISNUMBER($H92))),"Ash correction is switched on but no ash fraction is given for this row. ","")&amp;IF($I92="","Sieve mesh not recorded — a fine-root figure cannot be interpreted without it. ","")&amp;IF(AND(ISNUMBER($H92),$H92&gt;0.5),"Ash fraction above 0.5 — over half this sample was mineral soil. Re-wash. ","")&amp;IF($F92="Not separated","Live and dead not separated. Fine for a stock, but "&amp;"note it in reporting. ",""))</f>
        <v/>
      </c>
      <c r="P92" s="6" t="n"/>
      <c r="Q92" s="9">
        <f>IF($B92="",0,IF(COUNTIFS($B$5:$B92,$B92)=1,1,0))</f>
        <v/>
      </c>
    </row>
    <row r="93">
      <c r="A93" s="6" t="n"/>
      <c r="B93" s="6" t="n"/>
      <c r="C93" s="6" t="n"/>
      <c r="D93" s="6" t="n"/>
      <c r="E93" s="6" t="n"/>
      <c r="F93" s="6" t="n"/>
      <c r="G93" s="7" t="n"/>
      <c r="H93" s="7" t="n"/>
      <c r="I93" s="6" t="n"/>
      <c r="J93" s="9">
        <f>IF(NOT(ISNUMBER($G93)),"",IF(AND(ASH_CORRECTED="Yes",ISNUMBER($H93)),$G93*(1-$H93),$G93))</f>
        <v/>
      </c>
      <c r="K93" s="9">
        <f>IF($B93="","",IFERROR(AVERAGEIFS('2. Soil Data'!$G$5:$G$604,'2. Soil Data'!$B$5:$B$604,$B93),""))</f>
        <v/>
      </c>
      <c r="L93" s="9">
        <f>IF(NOT(ISNUMBER($K93)),"",PI()*($K93/2)^2)</f>
        <v/>
      </c>
      <c r="M93" s="9">
        <f>IF(OR(NOT(ISNUMBER($J93)),NOT(ISNUMBER($L93)),$L93=0),"",$J93/$L93*10000)</f>
        <v/>
      </c>
      <c r="N93" s="9">
        <f>IF(NOT(ISNUMBER($M93)),"",$M93*CARBON_FRACTION_ROOT/1000)</f>
        <v/>
      </c>
      <c r="O93" s="11">
        <f>IF(AND($A93="",$B93="",$G93=""),"",IF(AND($B93&lt;&gt;"",COUNTIFS('2. Soil Data'!$B$5:$B$604,$B93)=0),"Core ID not found in Soil Data, so the corer diameter cannot be looked up. ","")&amp;IF(ASH_CORRECTED&lt;&gt;"Yes","Root mass is NOT ash-corrected, so it includes adhering mineral soil and is too high. Set ASH_CORRECTED once you have done it. ","")&amp;IF(AND(ASH_CORRECTED="Yes",NOT(ISNUMBER($H93))),"Ash correction is switched on but no ash fraction is given for this row. ","")&amp;IF($I93="","Sieve mesh not recorded — a fine-root figure cannot be interpreted without it. ","")&amp;IF(AND(ISNUMBER($H93),$H93&gt;0.5),"Ash fraction above 0.5 — over half this sample was mineral soil. Re-wash. ","")&amp;IF($F93="Not separated","Live and dead not separated. Fine for a stock, but "&amp;"note it in reporting. ",""))</f>
        <v/>
      </c>
      <c r="P93" s="6" t="n"/>
      <c r="Q93" s="9">
        <f>IF($B93="",0,IF(COUNTIFS($B$5:$B93,$B93)=1,1,0))</f>
        <v/>
      </c>
    </row>
    <row r="94">
      <c r="A94" s="6" t="n"/>
      <c r="B94" s="6" t="n"/>
      <c r="C94" s="6" t="n"/>
      <c r="D94" s="6" t="n"/>
      <c r="E94" s="6" t="n"/>
      <c r="F94" s="6" t="n"/>
      <c r="G94" s="7" t="n"/>
      <c r="H94" s="7" t="n"/>
      <c r="I94" s="6" t="n"/>
      <c r="J94" s="9">
        <f>IF(NOT(ISNUMBER($G94)),"",IF(AND(ASH_CORRECTED="Yes",ISNUMBER($H94)),$G94*(1-$H94),$G94))</f>
        <v/>
      </c>
      <c r="K94" s="9">
        <f>IF($B94="","",IFERROR(AVERAGEIFS('2. Soil Data'!$G$5:$G$604,'2. Soil Data'!$B$5:$B$604,$B94),""))</f>
        <v/>
      </c>
      <c r="L94" s="9">
        <f>IF(NOT(ISNUMBER($K94)),"",PI()*($K94/2)^2)</f>
        <v/>
      </c>
      <c r="M94" s="9">
        <f>IF(OR(NOT(ISNUMBER($J94)),NOT(ISNUMBER($L94)),$L94=0),"",$J94/$L94*10000)</f>
        <v/>
      </c>
      <c r="N94" s="9">
        <f>IF(NOT(ISNUMBER($M94)),"",$M94*CARBON_FRACTION_ROOT/1000)</f>
        <v/>
      </c>
      <c r="O94" s="11">
        <f>IF(AND($A94="",$B94="",$G94=""),"",IF(AND($B94&lt;&gt;"",COUNTIFS('2. Soil Data'!$B$5:$B$604,$B94)=0),"Core ID not found in Soil Data, so the corer diameter cannot be looked up. ","")&amp;IF(ASH_CORRECTED&lt;&gt;"Yes","Root mass is NOT ash-corrected, so it includes adhering mineral soil and is too high. Set ASH_CORRECTED once you have done it. ","")&amp;IF(AND(ASH_CORRECTED="Yes",NOT(ISNUMBER($H94))),"Ash correction is switched on but no ash fraction is given for this row. ","")&amp;IF($I94="","Sieve mesh not recorded — a fine-root figure cannot be interpreted without it. ","")&amp;IF(AND(ISNUMBER($H94),$H94&gt;0.5),"Ash fraction above 0.5 — over half this sample was mineral soil. Re-wash. ","")&amp;IF($F94="Not separated","Live and dead not separated. Fine for a stock, but "&amp;"note it in reporting. ",""))</f>
        <v/>
      </c>
      <c r="P94" s="6" t="n"/>
      <c r="Q94" s="9">
        <f>IF($B94="",0,IF(COUNTIFS($B$5:$B94,$B94)=1,1,0))</f>
        <v/>
      </c>
    </row>
    <row r="95">
      <c r="A95" s="6" t="n"/>
      <c r="B95" s="6" t="n"/>
      <c r="C95" s="6" t="n"/>
      <c r="D95" s="6" t="n"/>
      <c r="E95" s="6" t="n"/>
      <c r="F95" s="6" t="n"/>
      <c r="G95" s="7" t="n"/>
      <c r="H95" s="7" t="n"/>
      <c r="I95" s="6" t="n"/>
      <c r="J95" s="9">
        <f>IF(NOT(ISNUMBER($G95)),"",IF(AND(ASH_CORRECTED="Yes",ISNUMBER($H95)),$G95*(1-$H95),$G95))</f>
        <v/>
      </c>
      <c r="K95" s="9">
        <f>IF($B95="","",IFERROR(AVERAGEIFS('2. Soil Data'!$G$5:$G$604,'2. Soil Data'!$B$5:$B$604,$B95),""))</f>
        <v/>
      </c>
      <c r="L95" s="9">
        <f>IF(NOT(ISNUMBER($K95)),"",PI()*($K95/2)^2)</f>
        <v/>
      </c>
      <c r="M95" s="9">
        <f>IF(OR(NOT(ISNUMBER($J95)),NOT(ISNUMBER($L95)),$L95=0),"",$J95/$L95*10000)</f>
        <v/>
      </c>
      <c r="N95" s="9">
        <f>IF(NOT(ISNUMBER($M95)),"",$M95*CARBON_FRACTION_ROOT/1000)</f>
        <v/>
      </c>
      <c r="O95" s="11">
        <f>IF(AND($A95="",$B95="",$G95=""),"",IF(AND($B95&lt;&gt;"",COUNTIFS('2. Soil Data'!$B$5:$B$604,$B95)=0),"Core ID not found in Soil Data, so the corer diameter cannot be looked up. ","")&amp;IF(ASH_CORRECTED&lt;&gt;"Yes","Root mass is NOT ash-corrected, so it includes adhering mineral soil and is too high. Set ASH_CORRECTED once you have done it. ","")&amp;IF(AND(ASH_CORRECTED="Yes",NOT(ISNUMBER($H95))),"Ash correction is switched on but no ash fraction is given for this row. ","")&amp;IF($I95="","Sieve mesh not recorded — a fine-root figure cannot be interpreted without it. ","")&amp;IF(AND(ISNUMBER($H95),$H95&gt;0.5),"Ash fraction above 0.5 — over half this sample was mineral soil. Re-wash. ","")&amp;IF($F95="Not separated","Live and dead not separated. Fine for a stock, but "&amp;"note it in reporting. ",""))</f>
        <v/>
      </c>
      <c r="P95" s="6" t="n"/>
      <c r="Q95" s="9">
        <f>IF($B95="",0,IF(COUNTIFS($B$5:$B95,$B95)=1,1,0))</f>
        <v/>
      </c>
    </row>
    <row r="96">
      <c r="A96" s="6" t="n"/>
      <c r="B96" s="6" t="n"/>
      <c r="C96" s="6" t="n"/>
      <c r="D96" s="6" t="n"/>
      <c r="E96" s="6" t="n"/>
      <c r="F96" s="6" t="n"/>
      <c r="G96" s="7" t="n"/>
      <c r="H96" s="7" t="n"/>
      <c r="I96" s="6" t="n"/>
      <c r="J96" s="9">
        <f>IF(NOT(ISNUMBER($G96)),"",IF(AND(ASH_CORRECTED="Yes",ISNUMBER($H96)),$G96*(1-$H96),$G96))</f>
        <v/>
      </c>
      <c r="K96" s="9">
        <f>IF($B96="","",IFERROR(AVERAGEIFS('2. Soil Data'!$G$5:$G$604,'2. Soil Data'!$B$5:$B$604,$B96),""))</f>
        <v/>
      </c>
      <c r="L96" s="9">
        <f>IF(NOT(ISNUMBER($K96)),"",PI()*($K96/2)^2)</f>
        <v/>
      </c>
      <c r="M96" s="9">
        <f>IF(OR(NOT(ISNUMBER($J96)),NOT(ISNUMBER($L96)),$L96=0),"",$J96/$L96*10000)</f>
        <v/>
      </c>
      <c r="N96" s="9">
        <f>IF(NOT(ISNUMBER($M96)),"",$M96*CARBON_FRACTION_ROOT/1000)</f>
        <v/>
      </c>
      <c r="O96" s="11">
        <f>IF(AND($A96="",$B96="",$G96=""),"",IF(AND($B96&lt;&gt;"",COUNTIFS('2. Soil Data'!$B$5:$B$604,$B96)=0),"Core ID not found in Soil Data, so the corer diameter cannot be looked up. ","")&amp;IF(ASH_CORRECTED&lt;&gt;"Yes","Root mass is NOT ash-corrected, so it includes adhering mineral soil and is too high. Set ASH_CORRECTED once you have done it. ","")&amp;IF(AND(ASH_CORRECTED="Yes",NOT(ISNUMBER($H96))),"Ash correction is switched on but no ash fraction is given for this row. ","")&amp;IF($I96="","Sieve mesh not recorded — a fine-root figure cannot be interpreted without it. ","")&amp;IF(AND(ISNUMBER($H96),$H96&gt;0.5),"Ash fraction above 0.5 — over half this sample was mineral soil. Re-wash. ","")&amp;IF($F96="Not separated","Live and dead not separated. Fine for a stock, but "&amp;"note it in reporting. ",""))</f>
        <v/>
      </c>
      <c r="P96" s="6" t="n"/>
      <c r="Q96" s="9">
        <f>IF($B96="",0,IF(COUNTIFS($B$5:$B96,$B96)=1,1,0))</f>
        <v/>
      </c>
    </row>
    <row r="97">
      <c r="A97" s="6" t="n"/>
      <c r="B97" s="6" t="n"/>
      <c r="C97" s="6" t="n"/>
      <c r="D97" s="6" t="n"/>
      <c r="E97" s="6" t="n"/>
      <c r="F97" s="6" t="n"/>
      <c r="G97" s="7" t="n"/>
      <c r="H97" s="7" t="n"/>
      <c r="I97" s="6" t="n"/>
      <c r="J97" s="9">
        <f>IF(NOT(ISNUMBER($G97)),"",IF(AND(ASH_CORRECTED="Yes",ISNUMBER($H97)),$G97*(1-$H97),$G97))</f>
        <v/>
      </c>
      <c r="K97" s="9">
        <f>IF($B97="","",IFERROR(AVERAGEIFS('2. Soil Data'!$G$5:$G$604,'2. Soil Data'!$B$5:$B$604,$B97),""))</f>
        <v/>
      </c>
      <c r="L97" s="9">
        <f>IF(NOT(ISNUMBER($K97)),"",PI()*($K97/2)^2)</f>
        <v/>
      </c>
      <c r="M97" s="9">
        <f>IF(OR(NOT(ISNUMBER($J97)),NOT(ISNUMBER($L97)),$L97=0),"",$J97/$L97*10000)</f>
        <v/>
      </c>
      <c r="N97" s="9">
        <f>IF(NOT(ISNUMBER($M97)),"",$M97*CARBON_FRACTION_ROOT/1000)</f>
        <v/>
      </c>
      <c r="O97" s="11">
        <f>IF(AND($A97="",$B97="",$G97=""),"",IF(AND($B97&lt;&gt;"",COUNTIFS('2. Soil Data'!$B$5:$B$604,$B97)=0),"Core ID not found in Soil Data, so the corer diameter cannot be looked up. ","")&amp;IF(ASH_CORRECTED&lt;&gt;"Yes","Root mass is NOT ash-corrected, so it includes adhering mineral soil and is too high. Set ASH_CORRECTED once you have done it. ","")&amp;IF(AND(ASH_CORRECTED="Yes",NOT(ISNUMBER($H97))),"Ash correction is switched on but no ash fraction is given for this row. ","")&amp;IF($I97="","Sieve mesh not recorded — a fine-root figure cannot be interpreted without it. ","")&amp;IF(AND(ISNUMBER($H97),$H97&gt;0.5),"Ash fraction above 0.5 — over half this sample was mineral soil. Re-wash. ","")&amp;IF($F97="Not separated","Live and dead not separated. Fine for a stock, but "&amp;"note it in reporting. ",""))</f>
        <v/>
      </c>
      <c r="P97" s="6" t="n"/>
      <c r="Q97" s="9">
        <f>IF($B97="",0,IF(COUNTIFS($B$5:$B97,$B97)=1,1,0))</f>
        <v/>
      </c>
    </row>
    <row r="98">
      <c r="A98" s="6" t="n"/>
      <c r="B98" s="6" t="n"/>
      <c r="C98" s="6" t="n"/>
      <c r="D98" s="6" t="n"/>
      <c r="E98" s="6" t="n"/>
      <c r="F98" s="6" t="n"/>
      <c r="G98" s="7" t="n"/>
      <c r="H98" s="7" t="n"/>
      <c r="I98" s="6" t="n"/>
      <c r="J98" s="9">
        <f>IF(NOT(ISNUMBER($G98)),"",IF(AND(ASH_CORRECTED="Yes",ISNUMBER($H98)),$G98*(1-$H98),$G98))</f>
        <v/>
      </c>
      <c r="K98" s="9">
        <f>IF($B98="","",IFERROR(AVERAGEIFS('2. Soil Data'!$G$5:$G$604,'2. Soil Data'!$B$5:$B$604,$B98),""))</f>
        <v/>
      </c>
      <c r="L98" s="9">
        <f>IF(NOT(ISNUMBER($K98)),"",PI()*($K98/2)^2)</f>
        <v/>
      </c>
      <c r="M98" s="9">
        <f>IF(OR(NOT(ISNUMBER($J98)),NOT(ISNUMBER($L98)),$L98=0),"",$J98/$L98*10000)</f>
        <v/>
      </c>
      <c r="N98" s="9">
        <f>IF(NOT(ISNUMBER($M98)),"",$M98*CARBON_FRACTION_ROOT/1000)</f>
        <v/>
      </c>
      <c r="O98" s="11">
        <f>IF(AND($A98="",$B98="",$G98=""),"",IF(AND($B98&lt;&gt;"",COUNTIFS('2. Soil Data'!$B$5:$B$604,$B98)=0),"Core ID not found in Soil Data, so the corer diameter cannot be looked up. ","")&amp;IF(ASH_CORRECTED&lt;&gt;"Yes","Root mass is NOT ash-corrected, so it includes adhering mineral soil and is too high. Set ASH_CORRECTED once you have done it. ","")&amp;IF(AND(ASH_CORRECTED="Yes",NOT(ISNUMBER($H98))),"Ash correction is switched on but no ash fraction is given for this row. ","")&amp;IF($I98="","Sieve mesh not recorded — a fine-root figure cannot be interpreted without it. ","")&amp;IF(AND(ISNUMBER($H98),$H98&gt;0.5),"Ash fraction above 0.5 — over half this sample was mineral soil. Re-wash. ","")&amp;IF($F98="Not separated","Live and dead not separated. Fine for a stock, but "&amp;"note it in reporting. ",""))</f>
        <v/>
      </c>
      <c r="P98" s="6" t="n"/>
      <c r="Q98" s="9">
        <f>IF($B98="",0,IF(COUNTIFS($B$5:$B98,$B98)=1,1,0))</f>
        <v/>
      </c>
    </row>
    <row r="99">
      <c r="A99" s="6" t="n"/>
      <c r="B99" s="6" t="n"/>
      <c r="C99" s="6" t="n"/>
      <c r="D99" s="6" t="n"/>
      <c r="E99" s="6" t="n"/>
      <c r="F99" s="6" t="n"/>
      <c r="G99" s="7" t="n"/>
      <c r="H99" s="7" t="n"/>
      <c r="I99" s="6" t="n"/>
      <c r="J99" s="9">
        <f>IF(NOT(ISNUMBER($G99)),"",IF(AND(ASH_CORRECTED="Yes",ISNUMBER($H99)),$G99*(1-$H99),$G99))</f>
        <v/>
      </c>
      <c r="K99" s="9">
        <f>IF($B99="","",IFERROR(AVERAGEIFS('2. Soil Data'!$G$5:$G$604,'2. Soil Data'!$B$5:$B$604,$B99),""))</f>
        <v/>
      </c>
      <c r="L99" s="9">
        <f>IF(NOT(ISNUMBER($K99)),"",PI()*($K99/2)^2)</f>
        <v/>
      </c>
      <c r="M99" s="9">
        <f>IF(OR(NOT(ISNUMBER($J99)),NOT(ISNUMBER($L99)),$L99=0),"",$J99/$L99*10000)</f>
        <v/>
      </c>
      <c r="N99" s="9">
        <f>IF(NOT(ISNUMBER($M99)),"",$M99*CARBON_FRACTION_ROOT/1000)</f>
        <v/>
      </c>
      <c r="O99" s="11">
        <f>IF(AND($A99="",$B99="",$G99=""),"",IF(AND($B99&lt;&gt;"",COUNTIFS('2. Soil Data'!$B$5:$B$604,$B99)=0),"Core ID not found in Soil Data, so the corer diameter cannot be looked up. ","")&amp;IF(ASH_CORRECTED&lt;&gt;"Yes","Root mass is NOT ash-corrected, so it includes adhering mineral soil and is too high. Set ASH_CORRECTED once you have done it. ","")&amp;IF(AND(ASH_CORRECTED="Yes",NOT(ISNUMBER($H99))),"Ash correction is switched on but no ash fraction is given for this row. ","")&amp;IF($I99="","Sieve mesh not recorded — a fine-root figure cannot be interpreted without it. ","")&amp;IF(AND(ISNUMBER($H99),$H99&gt;0.5),"Ash fraction above 0.5 — over half this sample was mineral soil. Re-wash. ","")&amp;IF($F99="Not separated","Live and dead not separated. Fine for a stock, but "&amp;"note it in reporting. ",""))</f>
        <v/>
      </c>
      <c r="P99" s="6" t="n"/>
      <c r="Q99" s="9">
        <f>IF($B99="",0,IF(COUNTIFS($B$5:$B99,$B99)=1,1,0))</f>
        <v/>
      </c>
    </row>
    <row r="100">
      <c r="A100" s="6" t="n"/>
      <c r="B100" s="6" t="n"/>
      <c r="C100" s="6" t="n"/>
      <c r="D100" s="6" t="n"/>
      <c r="E100" s="6" t="n"/>
      <c r="F100" s="6" t="n"/>
      <c r="G100" s="7" t="n"/>
      <c r="H100" s="7" t="n"/>
      <c r="I100" s="6" t="n"/>
      <c r="J100" s="9">
        <f>IF(NOT(ISNUMBER($G100)),"",IF(AND(ASH_CORRECTED="Yes",ISNUMBER($H100)),$G100*(1-$H100),$G100))</f>
        <v/>
      </c>
      <c r="K100" s="9">
        <f>IF($B100="","",IFERROR(AVERAGEIFS('2. Soil Data'!$G$5:$G$604,'2. Soil Data'!$B$5:$B$604,$B100),""))</f>
        <v/>
      </c>
      <c r="L100" s="9">
        <f>IF(NOT(ISNUMBER($K100)),"",PI()*($K100/2)^2)</f>
        <v/>
      </c>
      <c r="M100" s="9">
        <f>IF(OR(NOT(ISNUMBER($J100)),NOT(ISNUMBER($L100)),$L100=0),"",$J100/$L100*10000)</f>
        <v/>
      </c>
      <c r="N100" s="9">
        <f>IF(NOT(ISNUMBER($M100)),"",$M100*CARBON_FRACTION_ROOT/1000)</f>
        <v/>
      </c>
      <c r="O100" s="11">
        <f>IF(AND($A100="",$B100="",$G100=""),"",IF(AND($B100&lt;&gt;"",COUNTIFS('2. Soil Data'!$B$5:$B$604,$B100)=0),"Core ID not found in Soil Data, so the corer diameter cannot be looked up. ","")&amp;IF(ASH_CORRECTED&lt;&gt;"Yes","Root mass is NOT ash-corrected, so it includes adhering mineral soil and is too high. Set ASH_CORRECTED once you have done it. ","")&amp;IF(AND(ASH_CORRECTED="Yes",NOT(ISNUMBER($H100))),"Ash correction is switched on but no ash fraction is given for this row. ","")&amp;IF($I100="","Sieve mesh not recorded — a fine-root figure cannot be interpreted without it. ","")&amp;IF(AND(ISNUMBER($H100),$H100&gt;0.5),"Ash fraction above 0.5 — over half this sample was mineral soil. Re-wash. ","")&amp;IF($F100="Not separated","Live and dead not separated. Fine for a stock, but "&amp;"note it in reporting. ",""))</f>
        <v/>
      </c>
      <c r="P100" s="6" t="n"/>
      <c r="Q100" s="9">
        <f>IF($B100="",0,IF(COUNTIFS($B$5:$B100,$B100)=1,1,0))</f>
        <v/>
      </c>
    </row>
    <row r="101">
      <c r="A101" s="6" t="n"/>
      <c r="B101" s="6" t="n"/>
      <c r="C101" s="6" t="n"/>
      <c r="D101" s="6" t="n"/>
      <c r="E101" s="6" t="n"/>
      <c r="F101" s="6" t="n"/>
      <c r="G101" s="7" t="n"/>
      <c r="H101" s="7" t="n"/>
      <c r="I101" s="6" t="n"/>
      <c r="J101" s="9">
        <f>IF(NOT(ISNUMBER($G101)),"",IF(AND(ASH_CORRECTED="Yes",ISNUMBER($H101)),$G101*(1-$H101),$G101))</f>
        <v/>
      </c>
      <c r="K101" s="9">
        <f>IF($B101="","",IFERROR(AVERAGEIFS('2. Soil Data'!$G$5:$G$604,'2. Soil Data'!$B$5:$B$604,$B101),""))</f>
        <v/>
      </c>
      <c r="L101" s="9">
        <f>IF(NOT(ISNUMBER($K101)),"",PI()*($K101/2)^2)</f>
        <v/>
      </c>
      <c r="M101" s="9">
        <f>IF(OR(NOT(ISNUMBER($J101)),NOT(ISNUMBER($L101)),$L101=0),"",$J101/$L101*10000)</f>
        <v/>
      </c>
      <c r="N101" s="9">
        <f>IF(NOT(ISNUMBER($M101)),"",$M101*CARBON_FRACTION_ROOT/1000)</f>
        <v/>
      </c>
      <c r="O101" s="11">
        <f>IF(AND($A101="",$B101="",$G101=""),"",IF(AND($B101&lt;&gt;"",COUNTIFS('2. Soil Data'!$B$5:$B$604,$B101)=0),"Core ID not found in Soil Data, so the corer diameter cannot be looked up. ","")&amp;IF(ASH_CORRECTED&lt;&gt;"Yes","Root mass is NOT ash-corrected, so it includes adhering mineral soil and is too high. Set ASH_CORRECTED once you have done it. ","")&amp;IF(AND(ASH_CORRECTED="Yes",NOT(ISNUMBER($H101))),"Ash correction is switched on but no ash fraction is given for this row. ","")&amp;IF($I101="","Sieve mesh not recorded — a fine-root figure cannot be interpreted without it. ","")&amp;IF(AND(ISNUMBER($H101),$H101&gt;0.5),"Ash fraction above 0.5 — over half this sample was mineral soil. Re-wash. ","")&amp;IF($F101="Not separated","Live and dead not separated. Fine for a stock, but "&amp;"note it in reporting. ",""))</f>
        <v/>
      </c>
      <c r="P101" s="6" t="n"/>
      <c r="Q101" s="9">
        <f>IF($B101="",0,IF(COUNTIFS($B$5:$B101,$B101)=1,1,0))</f>
        <v/>
      </c>
    </row>
    <row r="102">
      <c r="A102" s="6" t="n"/>
      <c r="B102" s="6" t="n"/>
      <c r="C102" s="6" t="n"/>
      <c r="D102" s="6" t="n"/>
      <c r="E102" s="6" t="n"/>
      <c r="F102" s="6" t="n"/>
      <c r="G102" s="7" t="n"/>
      <c r="H102" s="7" t="n"/>
      <c r="I102" s="6" t="n"/>
      <c r="J102" s="9">
        <f>IF(NOT(ISNUMBER($G102)),"",IF(AND(ASH_CORRECTED="Yes",ISNUMBER($H102)),$G102*(1-$H102),$G102))</f>
        <v/>
      </c>
      <c r="K102" s="9">
        <f>IF($B102="","",IFERROR(AVERAGEIFS('2. Soil Data'!$G$5:$G$604,'2. Soil Data'!$B$5:$B$604,$B102),""))</f>
        <v/>
      </c>
      <c r="L102" s="9">
        <f>IF(NOT(ISNUMBER($K102)),"",PI()*($K102/2)^2)</f>
        <v/>
      </c>
      <c r="M102" s="9">
        <f>IF(OR(NOT(ISNUMBER($J102)),NOT(ISNUMBER($L102)),$L102=0),"",$J102/$L102*10000)</f>
        <v/>
      </c>
      <c r="N102" s="9">
        <f>IF(NOT(ISNUMBER($M102)),"",$M102*CARBON_FRACTION_ROOT/1000)</f>
        <v/>
      </c>
      <c r="O102" s="11">
        <f>IF(AND($A102="",$B102="",$G102=""),"",IF(AND($B102&lt;&gt;"",COUNTIFS('2. Soil Data'!$B$5:$B$604,$B102)=0),"Core ID not found in Soil Data, so the corer diameter cannot be looked up. ","")&amp;IF(ASH_CORRECTED&lt;&gt;"Yes","Root mass is NOT ash-corrected, so it includes adhering mineral soil and is too high. Set ASH_CORRECTED once you have done it. ","")&amp;IF(AND(ASH_CORRECTED="Yes",NOT(ISNUMBER($H102))),"Ash correction is switched on but no ash fraction is given for this row. ","")&amp;IF($I102="","Sieve mesh not recorded — a fine-root figure cannot be interpreted without it. ","")&amp;IF(AND(ISNUMBER($H102),$H102&gt;0.5),"Ash fraction above 0.5 — over half this sample was mineral soil. Re-wash. ","")&amp;IF($F102="Not separated","Live and dead not separated. Fine for a stock, but "&amp;"note it in reporting. ",""))</f>
        <v/>
      </c>
      <c r="P102" s="6" t="n"/>
      <c r="Q102" s="9">
        <f>IF($B102="",0,IF(COUNTIFS($B$5:$B102,$B102)=1,1,0))</f>
        <v/>
      </c>
    </row>
    <row r="103">
      <c r="A103" s="6" t="n"/>
      <c r="B103" s="6" t="n"/>
      <c r="C103" s="6" t="n"/>
      <c r="D103" s="6" t="n"/>
      <c r="E103" s="6" t="n"/>
      <c r="F103" s="6" t="n"/>
      <c r="G103" s="7" t="n"/>
      <c r="H103" s="7" t="n"/>
      <c r="I103" s="6" t="n"/>
      <c r="J103" s="9">
        <f>IF(NOT(ISNUMBER($G103)),"",IF(AND(ASH_CORRECTED="Yes",ISNUMBER($H103)),$G103*(1-$H103),$G103))</f>
        <v/>
      </c>
      <c r="K103" s="9">
        <f>IF($B103="","",IFERROR(AVERAGEIFS('2. Soil Data'!$G$5:$G$604,'2. Soil Data'!$B$5:$B$604,$B103),""))</f>
        <v/>
      </c>
      <c r="L103" s="9">
        <f>IF(NOT(ISNUMBER($K103)),"",PI()*($K103/2)^2)</f>
        <v/>
      </c>
      <c r="M103" s="9">
        <f>IF(OR(NOT(ISNUMBER($J103)),NOT(ISNUMBER($L103)),$L103=0),"",$J103/$L103*10000)</f>
        <v/>
      </c>
      <c r="N103" s="9">
        <f>IF(NOT(ISNUMBER($M103)),"",$M103*CARBON_FRACTION_ROOT/1000)</f>
        <v/>
      </c>
      <c r="O103" s="11">
        <f>IF(AND($A103="",$B103="",$G103=""),"",IF(AND($B103&lt;&gt;"",COUNTIFS('2. Soil Data'!$B$5:$B$604,$B103)=0),"Core ID not found in Soil Data, so the corer diameter cannot be looked up. ","")&amp;IF(ASH_CORRECTED&lt;&gt;"Yes","Root mass is NOT ash-corrected, so it includes adhering mineral soil and is too high. Set ASH_CORRECTED once you have done it. ","")&amp;IF(AND(ASH_CORRECTED="Yes",NOT(ISNUMBER($H103))),"Ash correction is switched on but no ash fraction is given for this row. ","")&amp;IF($I103="","Sieve mesh not recorded — a fine-root figure cannot be interpreted without it. ","")&amp;IF(AND(ISNUMBER($H103),$H103&gt;0.5),"Ash fraction above 0.5 — over half this sample was mineral soil. Re-wash. ","")&amp;IF($F103="Not separated","Live and dead not separated. Fine for a stock, but "&amp;"note it in reporting. ",""))</f>
        <v/>
      </c>
      <c r="P103" s="6" t="n"/>
      <c r="Q103" s="9">
        <f>IF($B103="",0,IF(COUNTIFS($B$5:$B103,$B103)=1,1,0))</f>
        <v/>
      </c>
    </row>
    <row r="104">
      <c r="A104" s="6" t="n"/>
      <c r="B104" s="6" t="n"/>
      <c r="C104" s="6" t="n"/>
      <c r="D104" s="6" t="n"/>
      <c r="E104" s="6" t="n"/>
      <c r="F104" s="6" t="n"/>
      <c r="G104" s="7" t="n"/>
      <c r="H104" s="7" t="n"/>
      <c r="I104" s="6" t="n"/>
      <c r="J104" s="9">
        <f>IF(NOT(ISNUMBER($G104)),"",IF(AND(ASH_CORRECTED="Yes",ISNUMBER($H104)),$G104*(1-$H104),$G104))</f>
        <v/>
      </c>
      <c r="K104" s="9">
        <f>IF($B104="","",IFERROR(AVERAGEIFS('2. Soil Data'!$G$5:$G$604,'2. Soil Data'!$B$5:$B$604,$B104),""))</f>
        <v/>
      </c>
      <c r="L104" s="9">
        <f>IF(NOT(ISNUMBER($K104)),"",PI()*($K104/2)^2)</f>
        <v/>
      </c>
      <c r="M104" s="9">
        <f>IF(OR(NOT(ISNUMBER($J104)),NOT(ISNUMBER($L104)),$L104=0),"",$J104/$L104*10000)</f>
        <v/>
      </c>
      <c r="N104" s="9">
        <f>IF(NOT(ISNUMBER($M104)),"",$M104*CARBON_FRACTION_ROOT/1000)</f>
        <v/>
      </c>
      <c r="O104" s="11">
        <f>IF(AND($A104="",$B104="",$G104=""),"",IF(AND($B104&lt;&gt;"",COUNTIFS('2. Soil Data'!$B$5:$B$604,$B104)=0),"Core ID not found in Soil Data, so the corer diameter cannot be looked up. ","")&amp;IF(ASH_CORRECTED&lt;&gt;"Yes","Root mass is NOT ash-corrected, so it includes adhering mineral soil and is too high. Set ASH_CORRECTED once you have done it. ","")&amp;IF(AND(ASH_CORRECTED="Yes",NOT(ISNUMBER($H104))),"Ash correction is switched on but no ash fraction is given for this row. ","")&amp;IF($I104="","Sieve mesh not recorded — a fine-root figure cannot be interpreted without it. ","")&amp;IF(AND(ISNUMBER($H104),$H104&gt;0.5),"Ash fraction above 0.5 — over half this sample was mineral soil. Re-wash. ","")&amp;IF($F104="Not separated","Live and dead not separated. Fine for a stock, but "&amp;"note it in reporting. ",""))</f>
        <v/>
      </c>
      <c r="P104" s="6" t="n"/>
      <c r="Q104" s="9">
        <f>IF($B104="",0,IF(COUNTIFS($B$5:$B104,$B104)=1,1,0))</f>
        <v/>
      </c>
    </row>
    <row r="105">
      <c r="A105" s="6" t="n"/>
      <c r="B105" s="6" t="n"/>
      <c r="C105" s="6" t="n"/>
      <c r="D105" s="6" t="n"/>
      <c r="E105" s="6" t="n"/>
      <c r="F105" s="6" t="n"/>
      <c r="G105" s="7" t="n"/>
      <c r="H105" s="7" t="n"/>
      <c r="I105" s="6" t="n"/>
      <c r="J105" s="9">
        <f>IF(NOT(ISNUMBER($G105)),"",IF(AND(ASH_CORRECTED="Yes",ISNUMBER($H105)),$G105*(1-$H105),$G105))</f>
        <v/>
      </c>
      <c r="K105" s="9">
        <f>IF($B105="","",IFERROR(AVERAGEIFS('2. Soil Data'!$G$5:$G$604,'2. Soil Data'!$B$5:$B$604,$B105),""))</f>
        <v/>
      </c>
      <c r="L105" s="9">
        <f>IF(NOT(ISNUMBER($K105)),"",PI()*($K105/2)^2)</f>
        <v/>
      </c>
      <c r="M105" s="9">
        <f>IF(OR(NOT(ISNUMBER($J105)),NOT(ISNUMBER($L105)),$L105=0),"",$J105/$L105*10000)</f>
        <v/>
      </c>
      <c r="N105" s="9">
        <f>IF(NOT(ISNUMBER($M105)),"",$M105*CARBON_FRACTION_ROOT/1000)</f>
        <v/>
      </c>
      <c r="O105" s="11">
        <f>IF(AND($A105="",$B105="",$G105=""),"",IF(AND($B105&lt;&gt;"",COUNTIFS('2. Soil Data'!$B$5:$B$604,$B105)=0),"Core ID not found in Soil Data, so the corer diameter cannot be looked up. ","")&amp;IF(ASH_CORRECTED&lt;&gt;"Yes","Root mass is NOT ash-corrected, so it includes adhering mineral soil and is too high. Set ASH_CORRECTED once you have done it. ","")&amp;IF(AND(ASH_CORRECTED="Yes",NOT(ISNUMBER($H105))),"Ash correction is switched on but no ash fraction is given for this row. ","")&amp;IF($I105="","Sieve mesh not recorded — a fine-root figure cannot be interpreted without it. ","")&amp;IF(AND(ISNUMBER($H105),$H105&gt;0.5),"Ash fraction above 0.5 — over half this sample was mineral soil. Re-wash. ","")&amp;IF($F105="Not separated","Live and dead not separated. Fine for a stock, but "&amp;"note it in reporting. ",""))</f>
        <v/>
      </c>
      <c r="P105" s="6" t="n"/>
      <c r="Q105" s="9">
        <f>IF($B105="",0,IF(COUNTIFS($B$5:$B105,$B105)=1,1,0))</f>
        <v/>
      </c>
    </row>
    <row r="106">
      <c r="A106" s="6" t="n"/>
      <c r="B106" s="6" t="n"/>
      <c r="C106" s="6" t="n"/>
      <c r="D106" s="6" t="n"/>
      <c r="E106" s="6" t="n"/>
      <c r="F106" s="6" t="n"/>
      <c r="G106" s="7" t="n"/>
      <c r="H106" s="7" t="n"/>
      <c r="I106" s="6" t="n"/>
      <c r="J106" s="9">
        <f>IF(NOT(ISNUMBER($G106)),"",IF(AND(ASH_CORRECTED="Yes",ISNUMBER($H106)),$G106*(1-$H106),$G106))</f>
        <v/>
      </c>
      <c r="K106" s="9">
        <f>IF($B106="","",IFERROR(AVERAGEIFS('2. Soil Data'!$G$5:$G$604,'2. Soil Data'!$B$5:$B$604,$B106),""))</f>
        <v/>
      </c>
      <c r="L106" s="9">
        <f>IF(NOT(ISNUMBER($K106)),"",PI()*($K106/2)^2)</f>
        <v/>
      </c>
      <c r="M106" s="9">
        <f>IF(OR(NOT(ISNUMBER($J106)),NOT(ISNUMBER($L106)),$L106=0),"",$J106/$L106*10000)</f>
        <v/>
      </c>
      <c r="N106" s="9">
        <f>IF(NOT(ISNUMBER($M106)),"",$M106*CARBON_FRACTION_ROOT/1000)</f>
        <v/>
      </c>
      <c r="O106" s="11">
        <f>IF(AND($A106="",$B106="",$G106=""),"",IF(AND($B106&lt;&gt;"",COUNTIFS('2. Soil Data'!$B$5:$B$604,$B106)=0),"Core ID not found in Soil Data, so the corer diameter cannot be looked up. ","")&amp;IF(ASH_CORRECTED&lt;&gt;"Yes","Root mass is NOT ash-corrected, so it includes adhering mineral soil and is too high. Set ASH_CORRECTED once you have done it. ","")&amp;IF(AND(ASH_CORRECTED="Yes",NOT(ISNUMBER($H106))),"Ash correction is switched on but no ash fraction is given for this row. ","")&amp;IF($I106="","Sieve mesh not recorded — a fine-root figure cannot be interpreted without it. ","")&amp;IF(AND(ISNUMBER($H106),$H106&gt;0.5),"Ash fraction above 0.5 — over half this sample was mineral soil. Re-wash. ","")&amp;IF($F106="Not separated","Live and dead not separated. Fine for a stock, but "&amp;"note it in reporting. ",""))</f>
        <v/>
      </c>
      <c r="P106" s="6" t="n"/>
      <c r="Q106" s="9">
        <f>IF($B106="",0,IF(COUNTIFS($B$5:$B106,$B106)=1,1,0))</f>
        <v/>
      </c>
    </row>
    <row r="107">
      <c r="A107" s="6" t="n"/>
      <c r="B107" s="6" t="n"/>
      <c r="C107" s="6" t="n"/>
      <c r="D107" s="6" t="n"/>
      <c r="E107" s="6" t="n"/>
      <c r="F107" s="6" t="n"/>
      <c r="G107" s="7" t="n"/>
      <c r="H107" s="7" t="n"/>
      <c r="I107" s="6" t="n"/>
      <c r="J107" s="9">
        <f>IF(NOT(ISNUMBER($G107)),"",IF(AND(ASH_CORRECTED="Yes",ISNUMBER($H107)),$G107*(1-$H107),$G107))</f>
        <v/>
      </c>
      <c r="K107" s="9">
        <f>IF($B107="","",IFERROR(AVERAGEIFS('2. Soil Data'!$G$5:$G$604,'2. Soil Data'!$B$5:$B$604,$B107),""))</f>
        <v/>
      </c>
      <c r="L107" s="9">
        <f>IF(NOT(ISNUMBER($K107)),"",PI()*($K107/2)^2)</f>
        <v/>
      </c>
      <c r="M107" s="9">
        <f>IF(OR(NOT(ISNUMBER($J107)),NOT(ISNUMBER($L107)),$L107=0),"",$J107/$L107*10000)</f>
        <v/>
      </c>
      <c r="N107" s="9">
        <f>IF(NOT(ISNUMBER($M107)),"",$M107*CARBON_FRACTION_ROOT/1000)</f>
        <v/>
      </c>
      <c r="O107" s="11">
        <f>IF(AND($A107="",$B107="",$G107=""),"",IF(AND($B107&lt;&gt;"",COUNTIFS('2. Soil Data'!$B$5:$B$604,$B107)=0),"Core ID not found in Soil Data, so the corer diameter cannot be looked up. ","")&amp;IF(ASH_CORRECTED&lt;&gt;"Yes","Root mass is NOT ash-corrected, so it includes adhering mineral soil and is too high. Set ASH_CORRECTED once you have done it. ","")&amp;IF(AND(ASH_CORRECTED="Yes",NOT(ISNUMBER($H107))),"Ash correction is switched on but no ash fraction is given for this row. ","")&amp;IF($I107="","Sieve mesh not recorded — a fine-root figure cannot be interpreted without it. ","")&amp;IF(AND(ISNUMBER($H107),$H107&gt;0.5),"Ash fraction above 0.5 — over half this sample was mineral soil. Re-wash. ","")&amp;IF($F107="Not separated","Live and dead not separated. Fine for a stock, but "&amp;"note it in reporting. ",""))</f>
        <v/>
      </c>
      <c r="P107" s="6" t="n"/>
      <c r="Q107" s="9">
        <f>IF($B107="",0,IF(COUNTIFS($B$5:$B107,$B107)=1,1,0))</f>
        <v/>
      </c>
    </row>
    <row r="108">
      <c r="A108" s="6" t="n"/>
      <c r="B108" s="6" t="n"/>
      <c r="C108" s="6" t="n"/>
      <c r="D108" s="6" t="n"/>
      <c r="E108" s="6" t="n"/>
      <c r="F108" s="6" t="n"/>
      <c r="G108" s="7" t="n"/>
      <c r="H108" s="7" t="n"/>
      <c r="I108" s="6" t="n"/>
      <c r="J108" s="9">
        <f>IF(NOT(ISNUMBER($G108)),"",IF(AND(ASH_CORRECTED="Yes",ISNUMBER($H108)),$G108*(1-$H108),$G108))</f>
        <v/>
      </c>
      <c r="K108" s="9">
        <f>IF($B108="","",IFERROR(AVERAGEIFS('2. Soil Data'!$G$5:$G$604,'2. Soil Data'!$B$5:$B$604,$B108),""))</f>
        <v/>
      </c>
      <c r="L108" s="9">
        <f>IF(NOT(ISNUMBER($K108)),"",PI()*($K108/2)^2)</f>
        <v/>
      </c>
      <c r="M108" s="9">
        <f>IF(OR(NOT(ISNUMBER($J108)),NOT(ISNUMBER($L108)),$L108=0),"",$J108/$L108*10000)</f>
        <v/>
      </c>
      <c r="N108" s="9">
        <f>IF(NOT(ISNUMBER($M108)),"",$M108*CARBON_FRACTION_ROOT/1000)</f>
        <v/>
      </c>
      <c r="O108" s="11">
        <f>IF(AND($A108="",$B108="",$G108=""),"",IF(AND($B108&lt;&gt;"",COUNTIFS('2. Soil Data'!$B$5:$B$604,$B108)=0),"Core ID not found in Soil Data, so the corer diameter cannot be looked up. ","")&amp;IF(ASH_CORRECTED&lt;&gt;"Yes","Root mass is NOT ash-corrected, so it includes adhering mineral soil and is too high. Set ASH_CORRECTED once you have done it. ","")&amp;IF(AND(ASH_CORRECTED="Yes",NOT(ISNUMBER($H108))),"Ash correction is switched on but no ash fraction is given for this row. ","")&amp;IF($I108="","Sieve mesh not recorded — a fine-root figure cannot be interpreted without it. ","")&amp;IF(AND(ISNUMBER($H108),$H108&gt;0.5),"Ash fraction above 0.5 — over half this sample was mineral soil. Re-wash. ","")&amp;IF($F108="Not separated","Live and dead not separated. Fine for a stock, but "&amp;"note it in reporting. ",""))</f>
        <v/>
      </c>
      <c r="P108" s="6" t="n"/>
      <c r="Q108" s="9">
        <f>IF($B108="",0,IF(COUNTIFS($B$5:$B108,$B108)=1,1,0))</f>
        <v/>
      </c>
    </row>
    <row r="109">
      <c r="A109" s="6" t="n"/>
      <c r="B109" s="6" t="n"/>
      <c r="C109" s="6" t="n"/>
      <c r="D109" s="6" t="n"/>
      <c r="E109" s="6" t="n"/>
      <c r="F109" s="6" t="n"/>
      <c r="G109" s="7" t="n"/>
      <c r="H109" s="7" t="n"/>
      <c r="I109" s="6" t="n"/>
      <c r="J109" s="9">
        <f>IF(NOT(ISNUMBER($G109)),"",IF(AND(ASH_CORRECTED="Yes",ISNUMBER($H109)),$G109*(1-$H109),$G109))</f>
        <v/>
      </c>
      <c r="K109" s="9">
        <f>IF($B109="","",IFERROR(AVERAGEIFS('2. Soil Data'!$G$5:$G$604,'2. Soil Data'!$B$5:$B$604,$B109),""))</f>
        <v/>
      </c>
      <c r="L109" s="9">
        <f>IF(NOT(ISNUMBER($K109)),"",PI()*($K109/2)^2)</f>
        <v/>
      </c>
      <c r="M109" s="9">
        <f>IF(OR(NOT(ISNUMBER($J109)),NOT(ISNUMBER($L109)),$L109=0),"",$J109/$L109*10000)</f>
        <v/>
      </c>
      <c r="N109" s="9">
        <f>IF(NOT(ISNUMBER($M109)),"",$M109*CARBON_FRACTION_ROOT/1000)</f>
        <v/>
      </c>
      <c r="O109" s="11">
        <f>IF(AND($A109="",$B109="",$G109=""),"",IF(AND($B109&lt;&gt;"",COUNTIFS('2. Soil Data'!$B$5:$B$604,$B109)=0),"Core ID not found in Soil Data, so the corer diameter cannot be looked up. ","")&amp;IF(ASH_CORRECTED&lt;&gt;"Yes","Root mass is NOT ash-corrected, so it includes adhering mineral soil and is too high. Set ASH_CORRECTED once you have done it. ","")&amp;IF(AND(ASH_CORRECTED="Yes",NOT(ISNUMBER($H109))),"Ash correction is switched on but no ash fraction is given for this row. ","")&amp;IF($I109="","Sieve mesh not recorded — a fine-root figure cannot be interpreted without it. ","")&amp;IF(AND(ISNUMBER($H109),$H109&gt;0.5),"Ash fraction above 0.5 — over half this sample was mineral soil. Re-wash. ","")&amp;IF($F109="Not separated","Live and dead not separated. Fine for a stock, but "&amp;"note it in reporting. ",""))</f>
        <v/>
      </c>
      <c r="P109" s="6" t="n"/>
      <c r="Q109" s="9">
        <f>IF($B109="",0,IF(COUNTIFS($B$5:$B109,$B109)=1,1,0))</f>
        <v/>
      </c>
    </row>
    <row r="110">
      <c r="A110" s="6" t="n"/>
      <c r="B110" s="6" t="n"/>
      <c r="C110" s="6" t="n"/>
      <c r="D110" s="6" t="n"/>
      <c r="E110" s="6" t="n"/>
      <c r="F110" s="6" t="n"/>
      <c r="G110" s="7" t="n"/>
      <c r="H110" s="7" t="n"/>
      <c r="I110" s="6" t="n"/>
      <c r="J110" s="9">
        <f>IF(NOT(ISNUMBER($G110)),"",IF(AND(ASH_CORRECTED="Yes",ISNUMBER($H110)),$G110*(1-$H110),$G110))</f>
        <v/>
      </c>
      <c r="K110" s="9">
        <f>IF($B110="","",IFERROR(AVERAGEIFS('2. Soil Data'!$G$5:$G$604,'2. Soil Data'!$B$5:$B$604,$B110),""))</f>
        <v/>
      </c>
      <c r="L110" s="9">
        <f>IF(NOT(ISNUMBER($K110)),"",PI()*($K110/2)^2)</f>
        <v/>
      </c>
      <c r="M110" s="9">
        <f>IF(OR(NOT(ISNUMBER($J110)),NOT(ISNUMBER($L110)),$L110=0),"",$J110/$L110*10000)</f>
        <v/>
      </c>
      <c r="N110" s="9">
        <f>IF(NOT(ISNUMBER($M110)),"",$M110*CARBON_FRACTION_ROOT/1000)</f>
        <v/>
      </c>
      <c r="O110" s="11">
        <f>IF(AND($A110="",$B110="",$G110=""),"",IF(AND($B110&lt;&gt;"",COUNTIFS('2. Soil Data'!$B$5:$B$604,$B110)=0),"Core ID not found in Soil Data, so the corer diameter cannot be looked up. ","")&amp;IF(ASH_CORRECTED&lt;&gt;"Yes","Root mass is NOT ash-corrected, so it includes adhering mineral soil and is too high. Set ASH_CORRECTED once you have done it. ","")&amp;IF(AND(ASH_CORRECTED="Yes",NOT(ISNUMBER($H110))),"Ash correction is switched on but no ash fraction is given for this row. ","")&amp;IF($I110="","Sieve mesh not recorded — a fine-root figure cannot be interpreted without it. ","")&amp;IF(AND(ISNUMBER($H110),$H110&gt;0.5),"Ash fraction above 0.5 — over half this sample was mineral soil. Re-wash. ","")&amp;IF($F110="Not separated","Live and dead not separated. Fine for a stock, but "&amp;"note it in reporting. ",""))</f>
        <v/>
      </c>
      <c r="P110" s="6" t="n"/>
      <c r="Q110" s="9">
        <f>IF($B110="",0,IF(COUNTIFS($B$5:$B110,$B110)=1,1,0))</f>
        <v/>
      </c>
    </row>
    <row r="111">
      <c r="A111" s="6" t="n"/>
      <c r="B111" s="6" t="n"/>
      <c r="C111" s="6" t="n"/>
      <c r="D111" s="6" t="n"/>
      <c r="E111" s="6" t="n"/>
      <c r="F111" s="6" t="n"/>
      <c r="G111" s="7" t="n"/>
      <c r="H111" s="7" t="n"/>
      <c r="I111" s="6" t="n"/>
      <c r="J111" s="9">
        <f>IF(NOT(ISNUMBER($G111)),"",IF(AND(ASH_CORRECTED="Yes",ISNUMBER($H111)),$G111*(1-$H111),$G111))</f>
        <v/>
      </c>
      <c r="K111" s="9">
        <f>IF($B111="","",IFERROR(AVERAGEIFS('2. Soil Data'!$G$5:$G$604,'2. Soil Data'!$B$5:$B$604,$B111),""))</f>
        <v/>
      </c>
      <c r="L111" s="9">
        <f>IF(NOT(ISNUMBER($K111)),"",PI()*($K111/2)^2)</f>
        <v/>
      </c>
      <c r="M111" s="9">
        <f>IF(OR(NOT(ISNUMBER($J111)),NOT(ISNUMBER($L111)),$L111=0),"",$J111/$L111*10000)</f>
        <v/>
      </c>
      <c r="N111" s="9">
        <f>IF(NOT(ISNUMBER($M111)),"",$M111*CARBON_FRACTION_ROOT/1000)</f>
        <v/>
      </c>
      <c r="O111" s="11">
        <f>IF(AND($A111="",$B111="",$G111=""),"",IF(AND($B111&lt;&gt;"",COUNTIFS('2. Soil Data'!$B$5:$B$604,$B111)=0),"Core ID not found in Soil Data, so the corer diameter cannot be looked up. ","")&amp;IF(ASH_CORRECTED&lt;&gt;"Yes","Root mass is NOT ash-corrected, so it includes adhering mineral soil and is too high. Set ASH_CORRECTED once you have done it. ","")&amp;IF(AND(ASH_CORRECTED="Yes",NOT(ISNUMBER($H111))),"Ash correction is switched on but no ash fraction is given for this row. ","")&amp;IF($I111="","Sieve mesh not recorded — a fine-root figure cannot be interpreted without it. ","")&amp;IF(AND(ISNUMBER($H111),$H111&gt;0.5),"Ash fraction above 0.5 — over half this sample was mineral soil. Re-wash. ","")&amp;IF($F111="Not separated","Live and dead not separated. Fine for a stock, but "&amp;"note it in reporting. ",""))</f>
        <v/>
      </c>
      <c r="P111" s="6" t="n"/>
      <c r="Q111" s="9">
        <f>IF($B111="",0,IF(COUNTIFS($B$5:$B111,$B111)=1,1,0))</f>
        <v/>
      </c>
    </row>
    <row r="112">
      <c r="A112" s="6" t="n"/>
      <c r="B112" s="6" t="n"/>
      <c r="C112" s="6" t="n"/>
      <c r="D112" s="6" t="n"/>
      <c r="E112" s="6" t="n"/>
      <c r="F112" s="6" t="n"/>
      <c r="G112" s="7" t="n"/>
      <c r="H112" s="7" t="n"/>
      <c r="I112" s="6" t="n"/>
      <c r="J112" s="9">
        <f>IF(NOT(ISNUMBER($G112)),"",IF(AND(ASH_CORRECTED="Yes",ISNUMBER($H112)),$G112*(1-$H112),$G112))</f>
        <v/>
      </c>
      <c r="K112" s="9">
        <f>IF($B112="","",IFERROR(AVERAGEIFS('2. Soil Data'!$G$5:$G$604,'2. Soil Data'!$B$5:$B$604,$B112),""))</f>
        <v/>
      </c>
      <c r="L112" s="9">
        <f>IF(NOT(ISNUMBER($K112)),"",PI()*($K112/2)^2)</f>
        <v/>
      </c>
      <c r="M112" s="9">
        <f>IF(OR(NOT(ISNUMBER($J112)),NOT(ISNUMBER($L112)),$L112=0),"",$J112/$L112*10000)</f>
        <v/>
      </c>
      <c r="N112" s="9">
        <f>IF(NOT(ISNUMBER($M112)),"",$M112*CARBON_FRACTION_ROOT/1000)</f>
        <v/>
      </c>
      <c r="O112" s="11">
        <f>IF(AND($A112="",$B112="",$G112=""),"",IF(AND($B112&lt;&gt;"",COUNTIFS('2. Soil Data'!$B$5:$B$604,$B112)=0),"Core ID not found in Soil Data, so the corer diameter cannot be looked up. ","")&amp;IF(ASH_CORRECTED&lt;&gt;"Yes","Root mass is NOT ash-corrected, so it includes adhering mineral soil and is too high. Set ASH_CORRECTED once you have done it. ","")&amp;IF(AND(ASH_CORRECTED="Yes",NOT(ISNUMBER($H112))),"Ash correction is switched on but no ash fraction is given for this row. ","")&amp;IF($I112="","Sieve mesh not recorded — a fine-root figure cannot be interpreted without it. ","")&amp;IF(AND(ISNUMBER($H112),$H112&gt;0.5),"Ash fraction above 0.5 — over half this sample was mineral soil. Re-wash. ","")&amp;IF($F112="Not separated","Live and dead not separated. Fine for a stock, but "&amp;"note it in reporting. ",""))</f>
        <v/>
      </c>
      <c r="P112" s="6" t="n"/>
      <c r="Q112" s="9">
        <f>IF($B112="",0,IF(COUNTIFS($B$5:$B112,$B112)=1,1,0))</f>
        <v/>
      </c>
    </row>
    <row r="113">
      <c r="A113" s="6" t="n"/>
      <c r="B113" s="6" t="n"/>
      <c r="C113" s="6" t="n"/>
      <c r="D113" s="6" t="n"/>
      <c r="E113" s="6" t="n"/>
      <c r="F113" s="6" t="n"/>
      <c r="G113" s="7" t="n"/>
      <c r="H113" s="7" t="n"/>
      <c r="I113" s="6" t="n"/>
      <c r="J113" s="9">
        <f>IF(NOT(ISNUMBER($G113)),"",IF(AND(ASH_CORRECTED="Yes",ISNUMBER($H113)),$G113*(1-$H113),$G113))</f>
        <v/>
      </c>
      <c r="K113" s="9">
        <f>IF($B113="","",IFERROR(AVERAGEIFS('2. Soil Data'!$G$5:$G$604,'2. Soil Data'!$B$5:$B$604,$B113),""))</f>
        <v/>
      </c>
      <c r="L113" s="9">
        <f>IF(NOT(ISNUMBER($K113)),"",PI()*($K113/2)^2)</f>
        <v/>
      </c>
      <c r="M113" s="9">
        <f>IF(OR(NOT(ISNUMBER($J113)),NOT(ISNUMBER($L113)),$L113=0),"",$J113/$L113*10000)</f>
        <v/>
      </c>
      <c r="N113" s="9">
        <f>IF(NOT(ISNUMBER($M113)),"",$M113*CARBON_FRACTION_ROOT/1000)</f>
        <v/>
      </c>
      <c r="O113" s="11">
        <f>IF(AND($A113="",$B113="",$G113=""),"",IF(AND($B113&lt;&gt;"",COUNTIFS('2. Soil Data'!$B$5:$B$604,$B113)=0),"Core ID not found in Soil Data, so the corer diameter cannot be looked up. ","")&amp;IF(ASH_CORRECTED&lt;&gt;"Yes","Root mass is NOT ash-corrected, so it includes adhering mineral soil and is too high. Set ASH_CORRECTED once you have done it. ","")&amp;IF(AND(ASH_CORRECTED="Yes",NOT(ISNUMBER($H113))),"Ash correction is switched on but no ash fraction is given for this row. ","")&amp;IF($I113="","Sieve mesh not recorded — a fine-root figure cannot be interpreted without it. ","")&amp;IF(AND(ISNUMBER($H113),$H113&gt;0.5),"Ash fraction above 0.5 — over half this sample was mineral soil. Re-wash. ","")&amp;IF($F113="Not separated","Live and dead not separated. Fine for a stock, but "&amp;"note it in reporting. ",""))</f>
        <v/>
      </c>
      <c r="P113" s="6" t="n"/>
      <c r="Q113" s="9">
        <f>IF($B113="",0,IF(COUNTIFS($B$5:$B113,$B113)=1,1,0))</f>
        <v/>
      </c>
    </row>
    <row r="114">
      <c r="A114" s="6" t="n"/>
      <c r="B114" s="6" t="n"/>
      <c r="C114" s="6" t="n"/>
      <c r="D114" s="6" t="n"/>
      <c r="E114" s="6" t="n"/>
      <c r="F114" s="6" t="n"/>
      <c r="G114" s="7" t="n"/>
      <c r="H114" s="7" t="n"/>
      <c r="I114" s="6" t="n"/>
      <c r="J114" s="9">
        <f>IF(NOT(ISNUMBER($G114)),"",IF(AND(ASH_CORRECTED="Yes",ISNUMBER($H114)),$G114*(1-$H114),$G114))</f>
        <v/>
      </c>
      <c r="K114" s="9">
        <f>IF($B114="","",IFERROR(AVERAGEIFS('2. Soil Data'!$G$5:$G$604,'2. Soil Data'!$B$5:$B$604,$B114),""))</f>
        <v/>
      </c>
      <c r="L114" s="9">
        <f>IF(NOT(ISNUMBER($K114)),"",PI()*($K114/2)^2)</f>
        <v/>
      </c>
      <c r="M114" s="9">
        <f>IF(OR(NOT(ISNUMBER($J114)),NOT(ISNUMBER($L114)),$L114=0),"",$J114/$L114*10000)</f>
        <v/>
      </c>
      <c r="N114" s="9">
        <f>IF(NOT(ISNUMBER($M114)),"",$M114*CARBON_FRACTION_ROOT/1000)</f>
        <v/>
      </c>
      <c r="O114" s="11">
        <f>IF(AND($A114="",$B114="",$G114=""),"",IF(AND($B114&lt;&gt;"",COUNTIFS('2. Soil Data'!$B$5:$B$604,$B114)=0),"Core ID not found in Soil Data, so the corer diameter cannot be looked up. ","")&amp;IF(ASH_CORRECTED&lt;&gt;"Yes","Root mass is NOT ash-corrected, so it includes adhering mineral soil and is too high. Set ASH_CORRECTED once you have done it. ","")&amp;IF(AND(ASH_CORRECTED="Yes",NOT(ISNUMBER($H114))),"Ash correction is switched on but no ash fraction is given for this row. ","")&amp;IF($I114="","Sieve mesh not recorded — a fine-root figure cannot be interpreted without it. ","")&amp;IF(AND(ISNUMBER($H114),$H114&gt;0.5),"Ash fraction above 0.5 — over half this sample was mineral soil. Re-wash. ","")&amp;IF($F114="Not separated","Live and dead not separated. Fine for a stock, but "&amp;"note it in reporting. ",""))</f>
        <v/>
      </c>
      <c r="P114" s="6" t="n"/>
      <c r="Q114" s="9">
        <f>IF($B114="",0,IF(COUNTIFS($B$5:$B114,$B114)=1,1,0))</f>
        <v/>
      </c>
    </row>
    <row r="115">
      <c r="A115" s="6" t="n"/>
      <c r="B115" s="6" t="n"/>
      <c r="C115" s="6" t="n"/>
      <c r="D115" s="6" t="n"/>
      <c r="E115" s="6" t="n"/>
      <c r="F115" s="6" t="n"/>
      <c r="G115" s="7" t="n"/>
      <c r="H115" s="7" t="n"/>
      <c r="I115" s="6" t="n"/>
      <c r="J115" s="9">
        <f>IF(NOT(ISNUMBER($G115)),"",IF(AND(ASH_CORRECTED="Yes",ISNUMBER($H115)),$G115*(1-$H115),$G115))</f>
        <v/>
      </c>
      <c r="K115" s="9">
        <f>IF($B115="","",IFERROR(AVERAGEIFS('2. Soil Data'!$G$5:$G$604,'2. Soil Data'!$B$5:$B$604,$B115),""))</f>
        <v/>
      </c>
      <c r="L115" s="9">
        <f>IF(NOT(ISNUMBER($K115)),"",PI()*($K115/2)^2)</f>
        <v/>
      </c>
      <c r="M115" s="9">
        <f>IF(OR(NOT(ISNUMBER($J115)),NOT(ISNUMBER($L115)),$L115=0),"",$J115/$L115*10000)</f>
        <v/>
      </c>
      <c r="N115" s="9">
        <f>IF(NOT(ISNUMBER($M115)),"",$M115*CARBON_FRACTION_ROOT/1000)</f>
        <v/>
      </c>
      <c r="O115" s="11">
        <f>IF(AND($A115="",$B115="",$G115=""),"",IF(AND($B115&lt;&gt;"",COUNTIFS('2. Soil Data'!$B$5:$B$604,$B115)=0),"Core ID not found in Soil Data, so the corer diameter cannot be looked up. ","")&amp;IF(ASH_CORRECTED&lt;&gt;"Yes","Root mass is NOT ash-corrected, so it includes adhering mineral soil and is too high. Set ASH_CORRECTED once you have done it. ","")&amp;IF(AND(ASH_CORRECTED="Yes",NOT(ISNUMBER($H115))),"Ash correction is switched on but no ash fraction is given for this row. ","")&amp;IF($I115="","Sieve mesh not recorded — a fine-root figure cannot be interpreted without it. ","")&amp;IF(AND(ISNUMBER($H115),$H115&gt;0.5),"Ash fraction above 0.5 — over half this sample was mineral soil. Re-wash. ","")&amp;IF($F115="Not separated","Live and dead not separated. Fine for a stock, but "&amp;"note it in reporting. ",""))</f>
        <v/>
      </c>
      <c r="P115" s="6" t="n"/>
      <c r="Q115" s="9">
        <f>IF($B115="",0,IF(COUNTIFS($B$5:$B115,$B115)=1,1,0))</f>
        <v/>
      </c>
    </row>
    <row r="116">
      <c r="A116" s="6" t="n"/>
      <c r="B116" s="6" t="n"/>
      <c r="C116" s="6" t="n"/>
      <c r="D116" s="6" t="n"/>
      <c r="E116" s="6" t="n"/>
      <c r="F116" s="6" t="n"/>
      <c r="G116" s="7" t="n"/>
      <c r="H116" s="7" t="n"/>
      <c r="I116" s="6" t="n"/>
      <c r="J116" s="9">
        <f>IF(NOT(ISNUMBER($G116)),"",IF(AND(ASH_CORRECTED="Yes",ISNUMBER($H116)),$G116*(1-$H116),$G116))</f>
        <v/>
      </c>
      <c r="K116" s="9">
        <f>IF($B116="","",IFERROR(AVERAGEIFS('2. Soil Data'!$G$5:$G$604,'2. Soil Data'!$B$5:$B$604,$B116),""))</f>
        <v/>
      </c>
      <c r="L116" s="9">
        <f>IF(NOT(ISNUMBER($K116)),"",PI()*($K116/2)^2)</f>
        <v/>
      </c>
      <c r="M116" s="9">
        <f>IF(OR(NOT(ISNUMBER($J116)),NOT(ISNUMBER($L116)),$L116=0),"",$J116/$L116*10000)</f>
        <v/>
      </c>
      <c r="N116" s="9">
        <f>IF(NOT(ISNUMBER($M116)),"",$M116*CARBON_FRACTION_ROOT/1000)</f>
        <v/>
      </c>
      <c r="O116" s="11">
        <f>IF(AND($A116="",$B116="",$G116=""),"",IF(AND($B116&lt;&gt;"",COUNTIFS('2. Soil Data'!$B$5:$B$604,$B116)=0),"Core ID not found in Soil Data, so the corer diameter cannot be looked up. ","")&amp;IF(ASH_CORRECTED&lt;&gt;"Yes","Root mass is NOT ash-corrected, so it includes adhering mineral soil and is too high. Set ASH_CORRECTED once you have done it. ","")&amp;IF(AND(ASH_CORRECTED="Yes",NOT(ISNUMBER($H116))),"Ash correction is switched on but no ash fraction is given for this row. ","")&amp;IF($I116="","Sieve mesh not recorded — a fine-root figure cannot be interpreted without it. ","")&amp;IF(AND(ISNUMBER($H116),$H116&gt;0.5),"Ash fraction above 0.5 — over half this sample was mineral soil. Re-wash. ","")&amp;IF($F116="Not separated","Live and dead not separated. Fine for a stock, but "&amp;"note it in reporting. ",""))</f>
        <v/>
      </c>
      <c r="P116" s="6" t="n"/>
      <c r="Q116" s="9">
        <f>IF($B116="",0,IF(COUNTIFS($B$5:$B116,$B116)=1,1,0))</f>
        <v/>
      </c>
    </row>
    <row r="117">
      <c r="A117" s="6" t="n"/>
      <c r="B117" s="6" t="n"/>
      <c r="C117" s="6" t="n"/>
      <c r="D117" s="6" t="n"/>
      <c r="E117" s="6" t="n"/>
      <c r="F117" s="6" t="n"/>
      <c r="G117" s="7" t="n"/>
      <c r="H117" s="7" t="n"/>
      <c r="I117" s="6" t="n"/>
      <c r="J117" s="9">
        <f>IF(NOT(ISNUMBER($G117)),"",IF(AND(ASH_CORRECTED="Yes",ISNUMBER($H117)),$G117*(1-$H117),$G117))</f>
        <v/>
      </c>
      <c r="K117" s="9">
        <f>IF($B117="","",IFERROR(AVERAGEIFS('2. Soil Data'!$G$5:$G$604,'2. Soil Data'!$B$5:$B$604,$B117),""))</f>
        <v/>
      </c>
      <c r="L117" s="9">
        <f>IF(NOT(ISNUMBER($K117)),"",PI()*($K117/2)^2)</f>
        <v/>
      </c>
      <c r="M117" s="9">
        <f>IF(OR(NOT(ISNUMBER($J117)),NOT(ISNUMBER($L117)),$L117=0),"",$J117/$L117*10000)</f>
        <v/>
      </c>
      <c r="N117" s="9">
        <f>IF(NOT(ISNUMBER($M117)),"",$M117*CARBON_FRACTION_ROOT/1000)</f>
        <v/>
      </c>
      <c r="O117" s="11">
        <f>IF(AND($A117="",$B117="",$G117=""),"",IF(AND($B117&lt;&gt;"",COUNTIFS('2. Soil Data'!$B$5:$B$604,$B117)=0),"Core ID not found in Soil Data, so the corer diameter cannot be looked up. ","")&amp;IF(ASH_CORRECTED&lt;&gt;"Yes","Root mass is NOT ash-corrected, so it includes adhering mineral soil and is too high. Set ASH_CORRECTED once you have done it. ","")&amp;IF(AND(ASH_CORRECTED="Yes",NOT(ISNUMBER($H117))),"Ash correction is switched on but no ash fraction is given for this row. ","")&amp;IF($I117="","Sieve mesh not recorded — a fine-root figure cannot be interpreted without it. ","")&amp;IF(AND(ISNUMBER($H117),$H117&gt;0.5),"Ash fraction above 0.5 — over half this sample was mineral soil. Re-wash. ","")&amp;IF($F117="Not separated","Live and dead not separated. Fine for a stock, but "&amp;"note it in reporting. ",""))</f>
        <v/>
      </c>
      <c r="P117" s="6" t="n"/>
      <c r="Q117" s="9">
        <f>IF($B117="",0,IF(COUNTIFS($B$5:$B117,$B117)=1,1,0))</f>
        <v/>
      </c>
    </row>
    <row r="118">
      <c r="A118" s="6" t="n"/>
      <c r="B118" s="6" t="n"/>
      <c r="C118" s="6" t="n"/>
      <c r="D118" s="6" t="n"/>
      <c r="E118" s="6" t="n"/>
      <c r="F118" s="6" t="n"/>
      <c r="G118" s="7" t="n"/>
      <c r="H118" s="7" t="n"/>
      <c r="I118" s="6" t="n"/>
      <c r="J118" s="9">
        <f>IF(NOT(ISNUMBER($G118)),"",IF(AND(ASH_CORRECTED="Yes",ISNUMBER($H118)),$G118*(1-$H118),$G118))</f>
        <v/>
      </c>
      <c r="K118" s="9">
        <f>IF($B118="","",IFERROR(AVERAGEIFS('2. Soil Data'!$G$5:$G$604,'2. Soil Data'!$B$5:$B$604,$B118),""))</f>
        <v/>
      </c>
      <c r="L118" s="9">
        <f>IF(NOT(ISNUMBER($K118)),"",PI()*($K118/2)^2)</f>
        <v/>
      </c>
      <c r="M118" s="9">
        <f>IF(OR(NOT(ISNUMBER($J118)),NOT(ISNUMBER($L118)),$L118=0),"",$J118/$L118*10000)</f>
        <v/>
      </c>
      <c r="N118" s="9">
        <f>IF(NOT(ISNUMBER($M118)),"",$M118*CARBON_FRACTION_ROOT/1000)</f>
        <v/>
      </c>
      <c r="O118" s="11">
        <f>IF(AND($A118="",$B118="",$G118=""),"",IF(AND($B118&lt;&gt;"",COUNTIFS('2. Soil Data'!$B$5:$B$604,$B118)=0),"Core ID not found in Soil Data, so the corer diameter cannot be looked up. ","")&amp;IF(ASH_CORRECTED&lt;&gt;"Yes","Root mass is NOT ash-corrected, so it includes adhering mineral soil and is too high. Set ASH_CORRECTED once you have done it. ","")&amp;IF(AND(ASH_CORRECTED="Yes",NOT(ISNUMBER($H118))),"Ash correction is switched on but no ash fraction is given for this row. ","")&amp;IF($I118="","Sieve mesh not recorded — a fine-root figure cannot be interpreted without it. ","")&amp;IF(AND(ISNUMBER($H118),$H118&gt;0.5),"Ash fraction above 0.5 — over half this sample was mineral soil. Re-wash. ","")&amp;IF($F118="Not separated","Live and dead not separated. Fine for a stock, but "&amp;"note it in reporting. ",""))</f>
        <v/>
      </c>
      <c r="P118" s="6" t="n"/>
      <c r="Q118" s="9">
        <f>IF($B118="",0,IF(COUNTIFS($B$5:$B118,$B118)=1,1,0))</f>
        <v/>
      </c>
    </row>
    <row r="119">
      <c r="A119" s="6" t="n"/>
      <c r="B119" s="6" t="n"/>
      <c r="C119" s="6" t="n"/>
      <c r="D119" s="6" t="n"/>
      <c r="E119" s="6" t="n"/>
      <c r="F119" s="6" t="n"/>
      <c r="G119" s="7" t="n"/>
      <c r="H119" s="7" t="n"/>
      <c r="I119" s="6" t="n"/>
      <c r="J119" s="9">
        <f>IF(NOT(ISNUMBER($G119)),"",IF(AND(ASH_CORRECTED="Yes",ISNUMBER($H119)),$G119*(1-$H119),$G119))</f>
        <v/>
      </c>
      <c r="K119" s="9">
        <f>IF($B119="","",IFERROR(AVERAGEIFS('2. Soil Data'!$G$5:$G$604,'2. Soil Data'!$B$5:$B$604,$B119),""))</f>
        <v/>
      </c>
      <c r="L119" s="9">
        <f>IF(NOT(ISNUMBER($K119)),"",PI()*($K119/2)^2)</f>
        <v/>
      </c>
      <c r="M119" s="9">
        <f>IF(OR(NOT(ISNUMBER($J119)),NOT(ISNUMBER($L119)),$L119=0),"",$J119/$L119*10000)</f>
        <v/>
      </c>
      <c r="N119" s="9">
        <f>IF(NOT(ISNUMBER($M119)),"",$M119*CARBON_FRACTION_ROOT/1000)</f>
        <v/>
      </c>
      <c r="O119" s="11">
        <f>IF(AND($A119="",$B119="",$G119=""),"",IF(AND($B119&lt;&gt;"",COUNTIFS('2. Soil Data'!$B$5:$B$604,$B119)=0),"Core ID not found in Soil Data, so the corer diameter cannot be looked up. ","")&amp;IF(ASH_CORRECTED&lt;&gt;"Yes","Root mass is NOT ash-corrected, so it includes adhering mineral soil and is too high. Set ASH_CORRECTED once you have done it. ","")&amp;IF(AND(ASH_CORRECTED="Yes",NOT(ISNUMBER($H119))),"Ash correction is switched on but no ash fraction is given for this row. ","")&amp;IF($I119="","Sieve mesh not recorded — a fine-root figure cannot be interpreted without it. ","")&amp;IF(AND(ISNUMBER($H119),$H119&gt;0.5),"Ash fraction above 0.5 — over half this sample was mineral soil. Re-wash. ","")&amp;IF($F119="Not separated","Live and dead not separated. Fine for a stock, but "&amp;"note it in reporting. ",""))</f>
        <v/>
      </c>
      <c r="P119" s="6" t="n"/>
      <c r="Q119" s="9">
        <f>IF($B119="",0,IF(COUNTIFS($B$5:$B119,$B119)=1,1,0))</f>
        <v/>
      </c>
    </row>
    <row r="120">
      <c r="A120" s="6" t="n"/>
      <c r="B120" s="6" t="n"/>
      <c r="C120" s="6" t="n"/>
      <c r="D120" s="6" t="n"/>
      <c r="E120" s="6" t="n"/>
      <c r="F120" s="6" t="n"/>
      <c r="G120" s="7" t="n"/>
      <c r="H120" s="7" t="n"/>
      <c r="I120" s="6" t="n"/>
      <c r="J120" s="9">
        <f>IF(NOT(ISNUMBER($G120)),"",IF(AND(ASH_CORRECTED="Yes",ISNUMBER($H120)),$G120*(1-$H120),$G120))</f>
        <v/>
      </c>
      <c r="K120" s="9">
        <f>IF($B120="","",IFERROR(AVERAGEIFS('2. Soil Data'!$G$5:$G$604,'2. Soil Data'!$B$5:$B$604,$B120),""))</f>
        <v/>
      </c>
      <c r="L120" s="9">
        <f>IF(NOT(ISNUMBER($K120)),"",PI()*($K120/2)^2)</f>
        <v/>
      </c>
      <c r="M120" s="9">
        <f>IF(OR(NOT(ISNUMBER($J120)),NOT(ISNUMBER($L120)),$L120=0),"",$J120/$L120*10000)</f>
        <v/>
      </c>
      <c r="N120" s="9">
        <f>IF(NOT(ISNUMBER($M120)),"",$M120*CARBON_FRACTION_ROOT/1000)</f>
        <v/>
      </c>
      <c r="O120" s="11">
        <f>IF(AND($A120="",$B120="",$G120=""),"",IF(AND($B120&lt;&gt;"",COUNTIFS('2. Soil Data'!$B$5:$B$604,$B120)=0),"Core ID not found in Soil Data, so the corer diameter cannot be looked up. ","")&amp;IF(ASH_CORRECTED&lt;&gt;"Yes","Root mass is NOT ash-corrected, so it includes adhering mineral soil and is too high. Set ASH_CORRECTED once you have done it. ","")&amp;IF(AND(ASH_CORRECTED="Yes",NOT(ISNUMBER($H120))),"Ash correction is switched on but no ash fraction is given for this row. ","")&amp;IF($I120="","Sieve mesh not recorded — a fine-root figure cannot be interpreted without it. ","")&amp;IF(AND(ISNUMBER($H120),$H120&gt;0.5),"Ash fraction above 0.5 — over half this sample was mineral soil. Re-wash. ","")&amp;IF($F120="Not separated","Live and dead not separated. Fine for a stock, but "&amp;"note it in reporting. ",""))</f>
        <v/>
      </c>
      <c r="P120" s="6" t="n"/>
      <c r="Q120" s="9">
        <f>IF($B120="",0,IF(COUNTIFS($B$5:$B120,$B120)=1,1,0))</f>
        <v/>
      </c>
    </row>
    <row r="121">
      <c r="A121" s="6" t="n"/>
      <c r="B121" s="6" t="n"/>
      <c r="C121" s="6" t="n"/>
      <c r="D121" s="6" t="n"/>
      <c r="E121" s="6" t="n"/>
      <c r="F121" s="6" t="n"/>
      <c r="G121" s="7" t="n"/>
      <c r="H121" s="7" t="n"/>
      <c r="I121" s="6" t="n"/>
      <c r="J121" s="9">
        <f>IF(NOT(ISNUMBER($G121)),"",IF(AND(ASH_CORRECTED="Yes",ISNUMBER($H121)),$G121*(1-$H121),$G121))</f>
        <v/>
      </c>
      <c r="K121" s="9">
        <f>IF($B121="","",IFERROR(AVERAGEIFS('2. Soil Data'!$G$5:$G$604,'2. Soil Data'!$B$5:$B$604,$B121),""))</f>
        <v/>
      </c>
      <c r="L121" s="9">
        <f>IF(NOT(ISNUMBER($K121)),"",PI()*($K121/2)^2)</f>
        <v/>
      </c>
      <c r="M121" s="9">
        <f>IF(OR(NOT(ISNUMBER($J121)),NOT(ISNUMBER($L121)),$L121=0),"",$J121/$L121*10000)</f>
        <v/>
      </c>
      <c r="N121" s="9">
        <f>IF(NOT(ISNUMBER($M121)),"",$M121*CARBON_FRACTION_ROOT/1000)</f>
        <v/>
      </c>
      <c r="O121" s="11">
        <f>IF(AND($A121="",$B121="",$G121=""),"",IF(AND($B121&lt;&gt;"",COUNTIFS('2. Soil Data'!$B$5:$B$604,$B121)=0),"Core ID not found in Soil Data, so the corer diameter cannot be looked up. ","")&amp;IF(ASH_CORRECTED&lt;&gt;"Yes","Root mass is NOT ash-corrected, so it includes adhering mineral soil and is too high. Set ASH_CORRECTED once you have done it. ","")&amp;IF(AND(ASH_CORRECTED="Yes",NOT(ISNUMBER($H121))),"Ash correction is switched on but no ash fraction is given for this row. ","")&amp;IF($I121="","Sieve mesh not recorded — a fine-root figure cannot be interpreted without it. ","")&amp;IF(AND(ISNUMBER($H121),$H121&gt;0.5),"Ash fraction above 0.5 — over half this sample was mineral soil. Re-wash. ","")&amp;IF($F121="Not separated","Live and dead not separated. Fine for a stock, but "&amp;"note it in reporting. ",""))</f>
        <v/>
      </c>
      <c r="P121" s="6" t="n"/>
      <c r="Q121" s="9">
        <f>IF($B121="",0,IF(COUNTIFS($B$5:$B121,$B121)=1,1,0))</f>
        <v/>
      </c>
    </row>
    <row r="122">
      <c r="A122" s="6" t="n"/>
      <c r="B122" s="6" t="n"/>
      <c r="C122" s="6" t="n"/>
      <c r="D122" s="6" t="n"/>
      <c r="E122" s="6" t="n"/>
      <c r="F122" s="6" t="n"/>
      <c r="G122" s="7" t="n"/>
      <c r="H122" s="7" t="n"/>
      <c r="I122" s="6" t="n"/>
      <c r="J122" s="9">
        <f>IF(NOT(ISNUMBER($G122)),"",IF(AND(ASH_CORRECTED="Yes",ISNUMBER($H122)),$G122*(1-$H122),$G122))</f>
        <v/>
      </c>
      <c r="K122" s="9">
        <f>IF($B122="","",IFERROR(AVERAGEIFS('2. Soil Data'!$G$5:$G$604,'2. Soil Data'!$B$5:$B$604,$B122),""))</f>
        <v/>
      </c>
      <c r="L122" s="9">
        <f>IF(NOT(ISNUMBER($K122)),"",PI()*($K122/2)^2)</f>
        <v/>
      </c>
      <c r="M122" s="9">
        <f>IF(OR(NOT(ISNUMBER($J122)),NOT(ISNUMBER($L122)),$L122=0),"",$J122/$L122*10000)</f>
        <v/>
      </c>
      <c r="N122" s="9">
        <f>IF(NOT(ISNUMBER($M122)),"",$M122*CARBON_FRACTION_ROOT/1000)</f>
        <v/>
      </c>
      <c r="O122" s="11">
        <f>IF(AND($A122="",$B122="",$G122=""),"",IF(AND($B122&lt;&gt;"",COUNTIFS('2. Soil Data'!$B$5:$B$604,$B122)=0),"Core ID not found in Soil Data, so the corer diameter cannot be looked up. ","")&amp;IF(ASH_CORRECTED&lt;&gt;"Yes","Root mass is NOT ash-corrected, so it includes adhering mineral soil and is too high. Set ASH_CORRECTED once you have done it. ","")&amp;IF(AND(ASH_CORRECTED="Yes",NOT(ISNUMBER($H122))),"Ash correction is switched on but no ash fraction is given for this row. ","")&amp;IF($I122="","Sieve mesh not recorded — a fine-root figure cannot be interpreted without it. ","")&amp;IF(AND(ISNUMBER($H122),$H122&gt;0.5),"Ash fraction above 0.5 — over half this sample was mineral soil. Re-wash. ","")&amp;IF($F122="Not separated","Live and dead not separated. Fine for a stock, but "&amp;"note it in reporting. ",""))</f>
        <v/>
      </c>
      <c r="P122" s="6" t="n"/>
      <c r="Q122" s="9">
        <f>IF($B122="",0,IF(COUNTIFS($B$5:$B122,$B122)=1,1,0))</f>
        <v/>
      </c>
    </row>
    <row r="123">
      <c r="A123" s="6" t="n"/>
      <c r="B123" s="6" t="n"/>
      <c r="C123" s="6" t="n"/>
      <c r="D123" s="6" t="n"/>
      <c r="E123" s="6" t="n"/>
      <c r="F123" s="6" t="n"/>
      <c r="G123" s="7" t="n"/>
      <c r="H123" s="7" t="n"/>
      <c r="I123" s="6" t="n"/>
      <c r="J123" s="9">
        <f>IF(NOT(ISNUMBER($G123)),"",IF(AND(ASH_CORRECTED="Yes",ISNUMBER($H123)),$G123*(1-$H123),$G123))</f>
        <v/>
      </c>
      <c r="K123" s="9">
        <f>IF($B123="","",IFERROR(AVERAGEIFS('2. Soil Data'!$G$5:$G$604,'2. Soil Data'!$B$5:$B$604,$B123),""))</f>
        <v/>
      </c>
      <c r="L123" s="9">
        <f>IF(NOT(ISNUMBER($K123)),"",PI()*($K123/2)^2)</f>
        <v/>
      </c>
      <c r="M123" s="9">
        <f>IF(OR(NOT(ISNUMBER($J123)),NOT(ISNUMBER($L123)),$L123=0),"",$J123/$L123*10000)</f>
        <v/>
      </c>
      <c r="N123" s="9">
        <f>IF(NOT(ISNUMBER($M123)),"",$M123*CARBON_FRACTION_ROOT/1000)</f>
        <v/>
      </c>
      <c r="O123" s="11">
        <f>IF(AND($A123="",$B123="",$G123=""),"",IF(AND($B123&lt;&gt;"",COUNTIFS('2. Soil Data'!$B$5:$B$604,$B123)=0),"Core ID not found in Soil Data, so the corer diameter cannot be looked up. ","")&amp;IF(ASH_CORRECTED&lt;&gt;"Yes","Root mass is NOT ash-corrected, so it includes adhering mineral soil and is too high. Set ASH_CORRECTED once you have done it. ","")&amp;IF(AND(ASH_CORRECTED="Yes",NOT(ISNUMBER($H123))),"Ash correction is switched on but no ash fraction is given for this row. ","")&amp;IF($I123="","Sieve mesh not recorded — a fine-root figure cannot be interpreted without it. ","")&amp;IF(AND(ISNUMBER($H123),$H123&gt;0.5),"Ash fraction above 0.5 — over half this sample was mineral soil. Re-wash. ","")&amp;IF($F123="Not separated","Live and dead not separated. Fine for a stock, but "&amp;"note it in reporting. ",""))</f>
        <v/>
      </c>
      <c r="P123" s="6" t="n"/>
      <c r="Q123" s="9">
        <f>IF($B123="",0,IF(COUNTIFS($B$5:$B123,$B123)=1,1,0))</f>
        <v/>
      </c>
    </row>
    <row r="124">
      <c r="A124" s="6" t="n"/>
      <c r="B124" s="6" t="n"/>
      <c r="C124" s="6" t="n"/>
      <c r="D124" s="6" t="n"/>
      <c r="E124" s="6" t="n"/>
      <c r="F124" s="6" t="n"/>
      <c r="G124" s="7" t="n"/>
      <c r="H124" s="7" t="n"/>
      <c r="I124" s="6" t="n"/>
      <c r="J124" s="9">
        <f>IF(NOT(ISNUMBER($G124)),"",IF(AND(ASH_CORRECTED="Yes",ISNUMBER($H124)),$G124*(1-$H124),$G124))</f>
        <v/>
      </c>
      <c r="K124" s="9">
        <f>IF($B124="","",IFERROR(AVERAGEIFS('2. Soil Data'!$G$5:$G$604,'2. Soil Data'!$B$5:$B$604,$B124),""))</f>
        <v/>
      </c>
      <c r="L124" s="9">
        <f>IF(NOT(ISNUMBER($K124)),"",PI()*($K124/2)^2)</f>
        <v/>
      </c>
      <c r="M124" s="9">
        <f>IF(OR(NOT(ISNUMBER($J124)),NOT(ISNUMBER($L124)),$L124=0),"",$J124/$L124*10000)</f>
        <v/>
      </c>
      <c r="N124" s="9">
        <f>IF(NOT(ISNUMBER($M124)),"",$M124*CARBON_FRACTION_ROOT/1000)</f>
        <v/>
      </c>
      <c r="O124" s="11">
        <f>IF(AND($A124="",$B124="",$G124=""),"",IF(AND($B124&lt;&gt;"",COUNTIFS('2. Soil Data'!$B$5:$B$604,$B124)=0),"Core ID not found in Soil Data, so the corer diameter cannot be looked up. ","")&amp;IF(ASH_CORRECTED&lt;&gt;"Yes","Root mass is NOT ash-corrected, so it includes adhering mineral soil and is too high. Set ASH_CORRECTED once you have done it. ","")&amp;IF(AND(ASH_CORRECTED="Yes",NOT(ISNUMBER($H124))),"Ash correction is switched on but no ash fraction is given for this row. ","")&amp;IF($I124="","Sieve mesh not recorded — a fine-root figure cannot be interpreted without it. ","")&amp;IF(AND(ISNUMBER($H124),$H124&gt;0.5),"Ash fraction above 0.5 — over half this sample was mineral soil. Re-wash. ","")&amp;IF($F124="Not separated","Live and dead not separated. Fine for a stock, but "&amp;"note it in reporting. ",""))</f>
        <v/>
      </c>
      <c r="P124" s="6" t="n"/>
      <c r="Q124" s="9">
        <f>IF($B124="",0,IF(COUNTIFS($B$5:$B124,$B124)=1,1,0))</f>
        <v/>
      </c>
    </row>
    <row r="125">
      <c r="A125" s="6" t="n"/>
      <c r="B125" s="6" t="n"/>
      <c r="C125" s="6" t="n"/>
      <c r="D125" s="6" t="n"/>
      <c r="E125" s="6" t="n"/>
      <c r="F125" s="6" t="n"/>
      <c r="G125" s="7" t="n"/>
      <c r="H125" s="7" t="n"/>
      <c r="I125" s="6" t="n"/>
      <c r="J125" s="9">
        <f>IF(NOT(ISNUMBER($G125)),"",IF(AND(ASH_CORRECTED="Yes",ISNUMBER($H125)),$G125*(1-$H125),$G125))</f>
        <v/>
      </c>
      <c r="K125" s="9">
        <f>IF($B125="","",IFERROR(AVERAGEIFS('2. Soil Data'!$G$5:$G$604,'2. Soil Data'!$B$5:$B$604,$B125),""))</f>
        <v/>
      </c>
      <c r="L125" s="9">
        <f>IF(NOT(ISNUMBER($K125)),"",PI()*($K125/2)^2)</f>
        <v/>
      </c>
      <c r="M125" s="9">
        <f>IF(OR(NOT(ISNUMBER($J125)),NOT(ISNUMBER($L125)),$L125=0),"",$J125/$L125*10000)</f>
        <v/>
      </c>
      <c r="N125" s="9">
        <f>IF(NOT(ISNUMBER($M125)),"",$M125*CARBON_FRACTION_ROOT/1000)</f>
        <v/>
      </c>
      <c r="O125" s="11">
        <f>IF(AND($A125="",$B125="",$G125=""),"",IF(AND($B125&lt;&gt;"",COUNTIFS('2. Soil Data'!$B$5:$B$604,$B125)=0),"Core ID not found in Soil Data, so the corer diameter cannot be looked up. ","")&amp;IF(ASH_CORRECTED&lt;&gt;"Yes","Root mass is NOT ash-corrected, so it includes adhering mineral soil and is too high. Set ASH_CORRECTED once you have done it. ","")&amp;IF(AND(ASH_CORRECTED="Yes",NOT(ISNUMBER($H125))),"Ash correction is switched on but no ash fraction is given for this row. ","")&amp;IF($I125="","Sieve mesh not recorded — a fine-root figure cannot be interpreted without it. ","")&amp;IF(AND(ISNUMBER($H125),$H125&gt;0.5),"Ash fraction above 0.5 — over half this sample was mineral soil. Re-wash. ","")&amp;IF($F125="Not separated","Live and dead not separated. Fine for a stock, but "&amp;"note it in reporting. ",""))</f>
        <v/>
      </c>
      <c r="P125" s="6" t="n"/>
      <c r="Q125" s="9">
        <f>IF($B125="",0,IF(COUNTIFS($B$5:$B125,$B125)=1,1,0))</f>
        <v/>
      </c>
    </row>
    <row r="126">
      <c r="A126" s="6" t="n"/>
      <c r="B126" s="6" t="n"/>
      <c r="C126" s="6" t="n"/>
      <c r="D126" s="6" t="n"/>
      <c r="E126" s="6" t="n"/>
      <c r="F126" s="6" t="n"/>
      <c r="G126" s="7" t="n"/>
      <c r="H126" s="7" t="n"/>
      <c r="I126" s="6" t="n"/>
      <c r="J126" s="9">
        <f>IF(NOT(ISNUMBER($G126)),"",IF(AND(ASH_CORRECTED="Yes",ISNUMBER($H126)),$G126*(1-$H126),$G126))</f>
        <v/>
      </c>
      <c r="K126" s="9">
        <f>IF($B126="","",IFERROR(AVERAGEIFS('2. Soil Data'!$G$5:$G$604,'2. Soil Data'!$B$5:$B$604,$B126),""))</f>
        <v/>
      </c>
      <c r="L126" s="9">
        <f>IF(NOT(ISNUMBER($K126)),"",PI()*($K126/2)^2)</f>
        <v/>
      </c>
      <c r="M126" s="9">
        <f>IF(OR(NOT(ISNUMBER($J126)),NOT(ISNUMBER($L126)),$L126=0),"",$J126/$L126*10000)</f>
        <v/>
      </c>
      <c r="N126" s="9">
        <f>IF(NOT(ISNUMBER($M126)),"",$M126*CARBON_FRACTION_ROOT/1000)</f>
        <v/>
      </c>
      <c r="O126" s="11">
        <f>IF(AND($A126="",$B126="",$G126=""),"",IF(AND($B126&lt;&gt;"",COUNTIFS('2. Soil Data'!$B$5:$B$604,$B126)=0),"Core ID not found in Soil Data, so the corer diameter cannot be looked up. ","")&amp;IF(ASH_CORRECTED&lt;&gt;"Yes","Root mass is NOT ash-corrected, so it includes adhering mineral soil and is too high. Set ASH_CORRECTED once you have done it. ","")&amp;IF(AND(ASH_CORRECTED="Yes",NOT(ISNUMBER($H126))),"Ash correction is switched on but no ash fraction is given for this row. ","")&amp;IF($I126="","Sieve mesh not recorded — a fine-root figure cannot be interpreted without it. ","")&amp;IF(AND(ISNUMBER($H126),$H126&gt;0.5),"Ash fraction above 0.5 — over half this sample was mineral soil. Re-wash. ","")&amp;IF($F126="Not separated","Live and dead not separated. Fine for a stock, but "&amp;"note it in reporting. ",""))</f>
        <v/>
      </c>
      <c r="P126" s="6" t="n"/>
      <c r="Q126" s="9">
        <f>IF($B126="",0,IF(COUNTIFS($B$5:$B126,$B126)=1,1,0))</f>
        <v/>
      </c>
    </row>
    <row r="127">
      <c r="A127" s="6" t="n"/>
      <c r="B127" s="6" t="n"/>
      <c r="C127" s="6" t="n"/>
      <c r="D127" s="6" t="n"/>
      <c r="E127" s="6" t="n"/>
      <c r="F127" s="6" t="n"/>
      <c r="G127" s="7" t="n"/>
      <c r="H127" s="7" t="n"/>
      <c r="I127" s="6" t="n"/>
      <c r="J127" s="9">
        <f>IF(NOT(ISNUMBER($G127)),"",IF(AND(ASH_CORRECTED="Yes",ISNUMBER($H127)),$G127*(1-$H127),$G127))</f>
        <v/>
      </c>
      <c r="K127" s="9">
        <f>IF($B127="","",IFERROR(AVERAGEIFS('2. Soil Data'!$G$5:$G$604,'2. Soil Data'!$B$5:$B$604,$B127),""))</f>
        <v/>
      </c>
      <c r="L127" s="9">
        <f>IF(NOT(ISNUMBER($K127)),"",PI()*($K127/2)^2)</f>
        <v/>
      </c>
      <c r="M127" s="9">
        <f>IF(OR(NOT(ISNUMBER($J127)),NOT(ISNUMBER($L127)),$L127=0),"",$J127/$L127*10000)</f>
        <v/>
      </c>
      <c r="N127" s="9">
        <f>IF(NOT(ISNUMBER($M127)),"",$M127*CARBON_FRACTION_ROOT/1000)</f>
        <v/>
      </c>
      <c r="O127" s="11">
        <f>IF(AND($A127="",$B127="",$G127=""),"",IF(AND($B127&lt;&gt;"",COUNTIFS('2. Soil Data'!$B$5:$B$604,$B127)=0),"Core ID not found in Soil Data, so the corer diameter cannot be looked up. ","")&amp;IF(ASH_CORRECTED&lt;&gt;"Yes","Root mass is NOT ash-corrected, so it includes adhering mineral soil and is too high. Set ASH_CORRECTED once you have done it. ","")&amp;IF(AND(ASH_CORRECTED="Yes",NOT(ISNUMBER($H127))),"Ash correction is switched on but no ash fraction is given for this row. ","")&amp;IF($I127="","Sieve mesh not recorded — a fine-root figure cannot be interpreted without it. ","")&amp;IF(AND(ISNUMBER($H127),$H127&gt;0.5),"Ash fraction above 0.5 — over half this sample was mineral soil. Re-wash. ","")&amp;IF($F127="Not separated","Live and dead not separated. Fine for a stock, but "&amp;"note it in reporting. ",""))</f>
        <v/>
      </c>
      <c r="P127" s="6" t="n"/>
      <c r="Q127" s="9">
        <f>IF($B127="",0,IF(COUNTIFS($B$5:$B127,$B127)=1,1,0))</f>
        <v/>
      </c>
    </row>
    <row r="128">
      <c r="A128" s="6" t="n"/>
      <c r="B128" s="6" t="n"/>
      <c r="C128" s="6" t="n"/>
      <c r="D128" s="6" t="n"/>
      <c r="E128" s="6" t="n"/>
      <c r="F128" s="6" t="n"/>
      <c r="G128" s="7" t="n"/>
      <c r="H128" s="7" t="n"/>
      <c r="I128" s="6" t="n"/>
      <c r="J128" s="9">
        <f>IF(NOT(ISNUMBER($G128)),"",IF(AND(ASH_CORRECTED="Yes",ISNUMBER($H128)),$G128*(1-$H128),$G128))</f>
        <v/>
      </c>
      <c r="K128" s="9">
        <f>IF($B128="","",IFERROR(AVERAGEIFS('2. Soil Data'!$G$5:$G$604,'2. Soil Data'!$B$5:$B$604,$B128),""))</f>
        <v/>
      </c>
      <c r="L128" s="9">
        <f>IF(NOT(ISNUMBER($K128)),"",PI()*($K128/2)^2)</f>
        <v/>
      </c>
      <c r="M128" s="9">
        <f>IF(OR(NOT(ISNUMBER($J128)),NOT(ISNUMBER($L128)),$L128=0),"",$J128/$L128*10000)</f>
        <v/>
      </c>
      <c r="N128" s="9">
        <f>IF(NOT(ISNUMBER($M128)),"",$M128*CARBON_FRACTION_ROOT/1000)</f>
        <v/>
      </c>
      <c r="O128" s="11">
        <f>IF(AND($A128="",$B128="",$G128=""),"",IF(AND($B128&lt;&gt;"",COUNTIFS('2. Soil Data'!$B$5:$B$604,$B128)=0),"Core ID not found in Soil Data, so the corer diameter cannot be looked up. ","")&amp;IF(ASH_CORRECTED&lt;&gt;"Yes","Root mass is NOT ash-corrected, so it includes adhering mineral soil and is too high. Set ASH_CORRECTED once you have done it. ","")&amp;IF(AND(ASH_CORRECTED="Yes",NOT(ISNUMBER($H128))),"Ash correction is switched on but no ash fraction is given for this row. ","")&amp;IF($I128="","Sieve mesh not recorded — a fine-root figure cannot be interpreted without it. ","")&amp;IF(AND(ISNUMBER($H128),$H128&gt;0.5),"Ash fraction above 0.5 — over half this sample was mineral soil. Re-wash. ","")&amp;IF($F128="Not separated","Live and dead not separated. Fine for a stock, but "&amp;"note it in reporting. ",""))</f>
        <v/>
      </c>
      <c r="P128" s="6" t="n"/>
      <c r="Q128" s="9">
        <f>IF($B128="",0,IF(COUNTIFS($B$5:$B128,$B128)=1,1,0))</f>
        <v/>
      </c>
    </row>
    <row r="129">
      <c r="A129" s="6" t="n"/>
      <c r="B129" s="6" t="n"/>
      <c r="C129" s="6" t="n"/>
      <c r="D129" s="6" t="n"/>
      <c r="E129" s="6" t="n"/>
      <c r="F129" s="6" t="n"/>
      <c r="G129" s="7" t="n"/>
      <c r="H129" s="7" t="n"/>
      <c r="I129" s="6" t="n"/>
      <c r="J129" s="9">
        <f>IF(NOT(ISNUMBER($G129)),"",IF(AND(ASH_CORRECTED="Yes",ISNUMBER($H129)),$G129*(1-$H129),$G129))</f>
        <v/>
      </c>
      <c r="K129" s="9">
        <f>IF($B129="","",IFERROR(AVERAGEIFS('2. Soil Data'!$G$5:$G$604,'2. Soil Data'!$B$5:$B$604,$B129),""))</f>
        <v/>
      </c>
      <c r="L129" s="9">
        <f>IF(NOT(ISNUMBER($K129)),"",PI()*($K129/2)^2)</f>
        <v/>
      </c>
      <c r="M129" s="9">
        <f>IF(OR(NOT(ISNUMBER($J129)),NOT(ISNUMBER($L129)),$L129=0),"",$J129/$L129*10000)</f>
        <v/>
      </c>
      <c r="N129" s="9">
        <f>IF(NOT(ISNUMBER($M129)),"",$M129*CARBON_FRACTION_ROOT/1000)</f>
        <v/>
      </c>
      <c r="O129" s="11">
        <f>IF(AND($A129="",$B129="",$G129=""),"",IF(AND($B129&lt;&gt;"",COUNTIFS('2. Soil Data'!$B$5:$B$604,$B129)=0),"Core ID not found in Soil Data, so the corer diameter cannot be looked up. ","")&amp;IF(ASH_CORRECTED&lt;&gt;"Yes","Root mass is NOT ash-corrected, so it includes adhering mineral soil and is too high. Set ASH_CORRECTED once you have done it. ","")&amp;IF(AND(ASH_CORRECTED="Yes",NOT(ISNUMBER($H129))),"Ash correction is switched on but no ash fraction is given for this row. ","")&amp;IF($I129="","Sieve mesh not recorded — a fine-root figure cannot be interpreted without it. ","")&amp;IF(AND(ISNUMBER($H129),$H129&gt;0.5),"Ash fraction above 0.5 — over half this sample was mineral soil. Re-wash. ","")&amp;IF($F129="Not separated","Live and dead not separated. Fine for a stock, but "&amp;"note it in reporting. ",""))</f>
        <v/>
      </c>
      <c r="P129" s="6" t="n"/>
      <c r="Q129" s="9">
        <f>IF($B129="",0,IF(COUNTIFS($B$5:$B129,$B129)=1,1,0))</f>
        <v/>
      </c>
    </row>
    <row r="130">
      <c r="A130" s="6" t="n"/>
      <c r="B130" s="6" t="n"/>
      <c r="C130" s="6" t="n"/>
      <c r="D130" s="6" t="n"/>
      <c r="E130" s="6" t="n"/>
      <c r="F130" s="6" t="n"/>
      <c r="G130" s="7" t="n"/>
      <c r="H130" s="7" t="n"/>
      <c r="I130" s="6" t="n"/>
      <c r="J130" s="9">
        <f>IF(NOT(ISNUMBER($G130)),"",IF(AND(ASH_CORRECTED="Yes",ISNUMBER($H130)),$G130*(1-$H130),$G130))</f>
        <v/>
      </c>
      <c r="K130" s="9">
        <f>IF($B130="","",IFERROR(AVERAGEIFS('2. Soil Data'!$G$5:$G$604,'2. Soil Data'!$B$5:$B$604,$B130),""))</f>
        <v/>
      </c>
      <c r="L130" s="9">
        <f>IF(NOT(ISNUMBER($K130)),"",PI()*($K130/2)^2)</f>
        <v/>
      </c>
      <c r="M130" s="9">
        <f>IF(OR(NOT(ISNUMBER($J130)),NOT(ISNUMBER($L130)),$L130=0),"",$J130/$L130*10000)</f>
        <v/>
      </c>
      <c r="N130" s="9">
        <f>IF(NOT(ISNUMBER($M130)),"",$M130*CARBON_FRACTION_ROOT/1000)</f>
        <v/>
      </c>
      <c r="O130" s="11">
        <f>IF(AND($A130="",$B130="",$G130=""),"",IF(AND($B130&lt;&gt;"",COUNTIFS('2. Soil Data'!$B$5:$B$604,$B130)=0),"Core ID not found in Soil Data, so the corer diameter cannot be looked up. ","")&amp;IF(ASH_CORRECTED&lt;&gt;"Yes","Root mass is NOT ash-corrected, so it includes adhering mineral soil and is too high. Set ASH_CORRECTED once you have done it. ","")&amp;IF(AND(ASH_CORRECTED="Yes",NOT(ISNUMBER($H130))),"Ash correction is switched on but no ash fraction is given for this row. ","")&amp;IF($I130="","Sieve mesh not recorded — a fine-root figure cannot be interpreted without it. ","")&amp;IF(AND(ISNUMBER($H130),$H130&gt;0.5),"Ash fraction above 0.5 — over half this sample was mineral soil. Re-wash. ","")&amp;IF($F130="Not separated","Live and dead not separated. Fine for a stock, but "&amp;"note it in reporting. ",""))</f>
        <v/>
      </c>
      <c r="P130" s="6" t="n"/>
      <c r="Q130" s="9">
        <f>IF($B130="",0,IF(COUNTIFS($B$5:$B130,$B130)=1,1,0))</f>
        <v/>
      </c>
    </row>
    <row r="131">
      <c r="A131" s="6" t="n"/>
      <c r="B131" s="6" t="n"/>
      <c r="C131" s="6" t="n"/>
      <c r="D131" s="6" t="n"/>
      <c r="E131" s="6" t="n"/>
      <c r="F131" s="6" t="n"/>
      <c r="G131" s="7" t="n"/>
      <c r="H131" s="7" t="n"/>
      <c r="I131" s="6" t="n"/>
      <c r="J131" s="9">
        <f>IF(NOT(ISNUMBER($G131)),"",IF(AND(ASH_CORRECTED="Yes",ISNUMBER($H131)),$G131*(1-$H131),$G131))</f>
        <v/>
      </c>
      <c r="K131" s="9">
        <f>IF($B131="","",IFERROR(AVERAGEIFS('2. Soil Data'!$G$5:$G$604,'2. Soil Data'!$B$5:$B$604,$B131),""))</f>
        <v/>
      </c>
      <c r="L131" s="9">
        <f>IF(NOT(ISNUMBER($K131)),"",PI()*($K131/2)^2)</f>
        <v/>
      </c>
      <c r="M131" s="9">
        <f>IF(OR(NOT(ISNUMBER($J131)),NOT(ISNUMBER($L131)),$L131=0),"",$J131/$L131*10000)</f>
        <v/>
      </c>
      <c r="N131" s="9">
        <f>IF(NOT(ISNUMBER($M131)),"",$M131*CARBON_FRACTION_ROOT/1000)</f>
        <v/>
      </c>
      <c r="O131" s="11">
        <f>IF(AND($A131="",$B131="",$G131=""),"",IF(AND($B131&lt;&gt;"",COUNTIFS('2. Soil Data'!$B$5:$B$604,$B131)=0),"Core ID not found in Soil Data, so the corer diameter cannot be looked up. ","")&amp;IF(ASH_CORRECTED&lt;&gt;"Yes","Root mass is NOT ash-corrected, so it includes adhering mineral soil and is too high. Set ASH_CORRECTED once you have done it. ","")&amp;IF(AND(ASH_CORRECTED="Yes",NOT(ISNUMBER($H131))),"Ash correction is switched on but no ash fraction is given for this row. ","")&amp;IF($I131="","Sieve mesh not recorded — a fine-root figure cannot be interpreted without it. ","")&amp;IF(AND(ISNUMBER($H131),$H131&gt;0.5),"Ash fraction above 0.5 — over half this sample was mineral soil. Re-wash. ","")&amp;IF($F131="Not separated","Live and dead not separated. Fine for a stock, but "&amp;"note it in reporting. ",""))</f>
        <v/>
      </c>
      <c r="P131" s="6" t="n"/>
      <c r="Q131" s="9">
        <f>IF($B131="",0,IF(COUNTIFS($B$5:$B131,$B131)=1,1,0))</f>
        <v/>
      </c>
    </row>
    <row r="132">
      <c r="A132" s="6" t="n"/>
      <c r="B132" s="6" t="n"/>
      <c r="C132" s="6" t="n"/>
      <c r="D132" s="6" t="n"/>
      <c r="E132" s="6" t="n"/>
      <c r="F132" s="6" t="n"/>
      <c r="G132" s="7" t="n"/>
      <c r="H132" s="7" t="n"/>
      <c r="I132" s="6" t="n"/>
      <c r="J132" s="9">
        <f>IF(NOT(ISNUMBER($G132)),"",IF(AND(ASH_CORRECTED="Yes",ISNUMBER($H132)),$G132*(1-$H132),$G132))</f>
        <v/>
      </c>
      <c r="K132" s="9">
        <f>IF($B132="","",IFERROR(AVERAGEIFS('2. Soil Data'!$G$5:$G$604,'2. Soil Data'!$B$5:$B$604,$B132),""))</f>
        <v/>
      </c>
      <c r="L132" s="9">
        <f>IF(NOT(ISNUMBER($K132)),"",PI()*($K132/2)^2)</f>
        <v/>
      </c>
      <c r="M132" s="9">
        <f>IF(OR(NOT(ISNUMBER($J132)),NOT(ISNUMBER($L132)),$L132=0),"",$J132/$L132*10000)</f>
        <v/>
      </c>
      <c r="N132" s="9">
        <f>IF(NOT(ISNUMBER($M132)),"",$M132*CARBON_FRACTION_ROOT/1000)</f>
        <v/>
      </c>
      <c r="O132" s="11">
        <f>IF(AND($A132="",$B132="",$G132=""),"",IF(AND($B132&lt;&gt;"",COUNTIFS('2. Soil Data'!$B$5:$B$604,$B132)=0),"Core ID not found in Soil Data, so the corer diameter cannot be looked up. ","")&amp;IF(ASH_CORRECTED&lt;&gt;"Yes","Root mass is NOT ash-corrected, so it includes adhering mineral soil and is too high. Set ASH_CORRECTED once you have done it. ","")&amp;IF(AND(ASH_CORRECTED="Yes",NOT(ISNUMBER($H132))),"Ash correction is switched on but no ash fraction is given for this row. ","")&amp;IF($I132="","Sieve mesh not recorded — a fine-root figure cannot be interpreted without it. ","")&amp;IF(AND(ISNUMBER($H132),$H132&gt;0.5),"Ash fraction above 0.5 — over half this sample was mineral soil. Re-wash. ","")&amp;IF($F132="Not separated","Live and dead not separated. Fine for a stock, but "&amp;"note it in reporting. ",""))</f>
        <v/>
      </c>
      <c r="P132" s="6" t="n"/>
      <c r="Q132" s="9">
        <f>IF($B132="",0,IF(COUNTIFS($B$5:$B132,$B132)=1,1,0))</f>
        <v/>
      </c>
    </row>
    <row r="133">
      <c r="A133" s="6" t="n"/>
      <c r="B133" s="6" t="n"/>
      <c r="C133" s="6" t="n"/>
      <c r="D133" s="6" t="n"/>
      <c r="E133" s="6" t="n"/>
      <c r="F133" s="6" t="n"/>
      <c r="G133" s="7" t="n"/>
      <c r="H133" s="7" t="n"/>
      <c r="I133" s="6" t="n"/>
      <c r="J133" s="9">
        <f>IF(NOT(ISNUMBER($G133)),"",IF(AND(ASH_CORRECTED="Yes",ISNUMBER($H133)),$G133*(1-$H133),$G133))</f>
        <v/>
      </c>
      <c r="K133" s="9">
        <f>IF($B133="","",IFERROR(AVERAGEIFS('2. Soil Data'!$G$5:$G$604,'2. Soil Data'!$B$5:$B$604,$B133),""))</f>
        <v/>
      </c>
      <c r="L133" s="9">
        <f>IF(NOT(ISNUMBER($K133)),"",PI()*($K133/2)^2)</f>
        <v/>
      </c>
      <c r="M133" s="9">
        <f>IF(OR(NOT(ISNUMBER($J133)),NOT(ISNUMBER($L133)),$L133=0),"",$J133/$L133*10000)</f>
        <v/>
      </c>
      <c r="N133" s="9">
        <f>IF(NOT(ISNUMBER($M133)),"",$M133*CARBON_FRACTION_ROOT/1000)</f>
        <v/>
      </c>
      <c r="O133" s="11">
        <f>IF(AND($A133="",$B133="",$G133=""),"",IF(AND($B133&lt;&gt;"",COUNTIFS('2. Soil Data'!$B$5:$B$604,$B133)=0),"Core ID not found in Soil Data, so the corer diameter cannot be looked up. ","")&amp;IF(ASH_CORRECTED&lt;&gt;"Yes","Root mass is NOT ash-corrected, so it includes adhering mineral soil and is too high. Set ASH_CORRECTED once you have done it. ","")&amp;IF(AND(ASH_CORRECTED="Yes",NOT(ISNUMBER($H133))),"Ash correction is switched on but no ash fraction is given for this row. ","")&amp;IF($I133="","Sieve mesh not recorded — a fine-root figure cannot be interpreted without it. ","")&amp;IF(AND(ISNUMBER($H133),$H133&gt;0.5),"Ash fraction above 0.5 — over half this sample was mineral soil. Re-wash. ","")&amp;IF($F133="Not separated","Live and dead not separated. Fine for a stock, but "&amp;"note it in reporting. ",""))</f>
        <v/>
      </c>
      <c r="P133" s="6" t="n"/>
      <c r="Q133" s="9">
        <f>IF($B133="",0,IF(COUNTIFS($B$5:$B133,$B133)=1,1,0))</f>
        <v/>
      </c>
    </row>
    <row r="134">
      <c r="A134" s="6" t="n"/>
      <c r="B134" s="6" t="n"/>
      <c r="C134" s="6" t="n"/>
      <c r="D134" s="6" t="n"/>
      <c r="E134" s="6" t="n"/>
      <c r="F134" s="6" t="n"/>
      <c r="G134" s="7" t="n"/>
      <c r="H134" s="7" t="n"/>
      <c r="I134" s="6" t="n"/>
      <c r="J134" s="9">
        <f>IF(NOT(ISNUMBER($G134)),"",IF(AND(ASH_CORRECTED="Yes",ISNUMBER($H134)),$G134*(1-$H134),$G134))</f>
        <v/>
      </c>
      <c r="K134" s="9">
        <f>IF($B134="","",IFERROR(AVERAGEIFS('2. Soil Data'!$G$5:$G$604,'2. Soil Data'!$B$5:$B$604,$B134),""))</f>
        <v/>
      </c>
      <c r="L134" s="9">
        <f>IF(NOT(ISNUMBER($K134)),"",PI()*($K134/2)^2)</f>
        <v/>
      </c>
      <c r="M134" s="9">
        <f>IF(OR(NOT(ISNUMBER($J134)),NOT(ISNUMBER($L134)),$L134=0),"",$J134/$L134*10000)</f>
        <v/>
      </c>
      <c r="N134" s="9">
        <f>IF(NOT(ISNUMBER($M134)),"",$M134*CARBON_FRACTION_ROOT/1000)</f>
        <v/>
      </c>
      <c r="O134" s="11">
        <f>IF(AND($A134="",$B134="",$G134=""),"",IF(AND($B134&lt;&gt;"",COUNTIFS('2. Soil Data'!$B$5:$B$604,$B134)=0),"Core ID not found in Soil Data, so the corer diameter cannot be looked up. ","")&amp;IF(ASH_CORRECTED&lt;&gt;"Yes","Root mass is NOT ash-corrected, so it includes adhering mineral soil and is too high. Set ASH_CORRECTED once you have done it. ","")&amp;IF(AND(ASH_CORRECTED="Yes",NOT(ISNUMBER($H134))),"Ash correction is switched on but no ash fraction is given for this row. ","")&amp;IF($I134="","Sieve mesh not recorded — a fine-root figure cannot be interpreted without it. ","")&amp;IF(AND(ISNUMBER($H134),$H134&gt;0.5),"Ash fraction above 0.5 — over half this sample was mineral soil. Re-wash. ","")&amp;IF($F134="Not separated","Live and dead not separated. Fine for a stock, but "&amp;"note it in reporting. ",""))</f>
        <v/>
      </c>
      <c r="P134" s="6" t="n"/>
      <c r="Q134" s="9">
        <f>IF($B134="",0,IF(COUNTIFS($B$5:$B134,$B134)=1,1,0))</f>
        <v/>
      </c>
    </row>
    <row r="135">
      <c r="A135" s="6" t="n"/>
      <c r="B135" s="6" t="n"/>
      <c r="C135" s="6" t="n"/>
      <c r="D135" s="6" t="n"/>
      <c r="E135" s="6" t="n"/>
      <c r="F135" s="6" t="n"/>
      <c r="G135" s="7" t="n"/>
      <c r="H135" s="7" t="n"/>
      <c r="I135" s="6" t="n"/>
      <c r="J135" s="9">
        <f>IF(NOT(ISNUMBER($G135)),"",IF(AND(ASH_CORRECTED="Yes",ISNUMBER($H135)),$G135*(1-$H135),$G135))</f>
        <v/>
      </c>
      <c r="K135" s="9">
        <f>IF($B135="","",IFERROR(AVERAGEIFS('2. Soil Data'!$G$5:$G$604,'2. Soil Data'!$B$5:$B$604,$B135),""))</f>
        <v/>
      </c>
      <c r="L135" s="9">
        <f>IF(NOT(ISNUMBER($K135)),"",PI()*($K135/2)^2)</f>
        <v/>
      </c>
      <c r="M135" s="9">
        <f>IF(OR(NOT(ISNUMBER($J135)),NOT(ISNUMBER($L135)),$L135=0),"",$J135/$L135*10000)</f>
        <v/>
      </c>
      <c r="N135" s="9">
        <f>IF(NOT(ISNUMBER($M135)),"",$M135*CARBON_FRACTION_ROOT/1000)</f>
        <v/>
      </c>
      <c r="O135" s="11">
        <f>IF(AND($A135="",$B135="",$G135=""),"",IF(AND($B135&lt;&gt;"",COUNTIFS('2. Soil Data'!$B$5:$B$604,$B135)=0),"Core ID not found in Soil Data, so the corer diameter cannot be looked up. ","")&amp;IF(ASH_CORRECTED&lt;&gt;"Yes","Root mass is NOT ash-corrected, so it includes adhering mineral soil and is too high. Set ASH_CORRECTED once you have done it. ","")&amp;IF(AND(ASH_CORRECTED="Yes",NOT(ISNUMBER($H135))),"Ash correction is switched on but no ash fraction is given for this row. ","")&amp;IF($I135="","Sieve mesh not recorded — a fine-root figure cannot be interpreted without it. ","")&amp;IF(AND(ISNUMBER($H135),$H135&gt;0.5),"Ash fraction above 0.5 — over half this sample was mineral soil. Re-wash. ","")&amp;IF($F135="Not separated","Live and dead not separated. Fine for a stock, but "&amp;"note it in reporting. ",""))</f>
        <v/>
      </c>
      <c r="P135" s="6" t="n"/>
      <c r="Q135" s="9">
        <f>IF($B135="",0,IF(COUNTIFS($B$5:$B135,$B135)=1,1,0))</f>
        <v/>
      </c>
    </row>
    <row r="136">
      <c r="A136" s="6" t="n"/>
      <c r="B136" s="6" t="n"/>
      <c r="C136" s="6" t="n"/>
      <c r="D136" s="6" t="n"/>
      <c r="E136" s="6" t="n"/>
      <c r="F136" s="6" t="n"/>
      <c r="G136" s="7" t="n"/>
      <c r="H136" s="7" t="n"/>
      <c r="I136" s="6" t="n"/>
      <c r="J136" s="9">
        <f>IF(NOT(ISNUMBER($G136)),"",IF(AND(ASH_CORRECTED="Yes",ISNUMBER($H136)),$G136*(1-$H136),$G136))</f>
        <v/>
      </c>
      <c r="K136" s="9">
        <f>IF($B136="","",IFERROR(AVERAGEIFS('2. Soil Data'!$G$5:$G$604,'2. Soil Data'!$B$5:$B$604,$B136),""))</f>
        <v/>
      </c>
      <c r="L136" s="9">
        <f>IF(NOT(ISNUMBER($K136)),"",PI()*($K136/2)^2)</f>
        <v/>
      </c>
      <c r="M136" s="9">
        <f>IF(OR(NOT(ISNUMBER($J136)),NOT(ISNUMBER($L136)),$L136=0),"",$J136/$L136*10000)</f>
        <v/>
      </c>
      <c r="N136" s="9">
        <f>IF(NOT(ISNUMBER($M136)),"",$M136*CARBON_FRACTION_ROOT/1000)</f>
        <v/>
      </c>
      <c r="O136" s="11">
        <f>IF(AND($A136="",$B136="",$G136=""),"",IF(AND($B136&lt;&gt;"",COUNTIFS('2. Soil Data'!$B$5:$B$604,$B136)=0),"Core ID not found in Soil Data, so the corer diameter cannot be looked up. ","")&amp;IF(ASH_CORRECTED&lt;&gt;"Yes","Root mass is NOT ash-corrected, so it includes adhering mineral soil and is too high. Set ASH_CORRECTED once you have done it. ","")&amp;IF(AND(ASH_CORRECTED="Yes",NOT(ISNUMBER($H136))),"Ash correction is switched on but no ash fraction is given for this row. ","")&amp;IF($I136="","Sieve mesh not recorded — a fine-root figure cannot be interpreted without it. ","")&amp;IF(AND(ISNUMBER($H136),$H136&gt;0.5),"Ash fraction above 0.5 — over half this sample was mineral soil. Re-wash. ","")&amp;IF($F136="Not separated","Live and dead not separated. Fine for a stock, but "&amp;"note it in reporting. ",""))</f>
        <v/>
      </c>
      <c r="P136" s="6" t="n"/>
      <c r="Q136" s="9">
        <f>IF($B136="",0,IF(COUNTIFS($B$5:$B136,$B136)=1,1,0))</f>
        <v/>
      </c>
    </row>
    <row r="137">
      <c r="A137" s="6" t="n"/>
      <c r="B137" s="6" t="n"/>
      <c r="C137" s="6" t="n"/>
      <c r="D137" s="6" t="n"/>
      <c r="E137" s="6" t="n"/>
      <c r="F137" s="6" t="n"/>
      <c r="G137" s="7" t="n"/>
      <c r="H137" s="7" t="n"/>
      <c r="I137" s="6" t="n"/>
      <c r="J137" s="9">
        <f>IF(NOT(ISNUMBER($G137)),"",IF(AND(ASH_CORRECTED="Yes",ISNUMBER($H137)),$G137*(1-$H137),$G137))</f>
        <v/>
      </c>
      <c r="K137" s="9">
        <f>IF($B137="","",IFERROR(AVERAGEIFS('2. Soil Data'!$G$5:$G$604,'2. Soil Data'!$B$5:$B$604,$B137),""))</f>
        <v/>
      </c>
      <c r="L137" s="9">
        <f>IF(NOT(ISNUMBER($K137)),"",PI()*($K137/2)^2)</f>
        <v/>
      </c>
      <c r="M137" s="9">
        <f>IF(OR(NOT(ISNUMBER($J137)),NOT(ISNUMBER($L137)),$L137=0),"",$J137/$L137*10000)</f>
        <v/>
      </c>
      <c r="N137" s="9">
        <f>IF(NOT(ISNUMBER($M137)),"",$M137*CARBON_FRACTION_ROOT/1000)</f>
        <v/>
      </c>
      <c r="O137" s="11">
        <f>IF(AND($A137="",$B137="",$G137=""),"",IF(AND($B137&lt;&gt;"",COUNTIFS('2. Soil Data'!$B$5:$B$604,$B137)=0),"Core ID not found in Soil Data, so the corer diameter cannot be looked up. ","")&amp;IF(ASH_CORRECTED&lt;&gt;"Yes","Root mass is NOT ash-corrected, so it includes adhering mineral soil and is too high. Set ASH_CORRECTED once you have done it. ","")&amp;IF(AND(ASH_CORRECTED="Yes",NOT(ISNUMBER($H137))),"Ash correction is switched on but no ash fraction is given for this row. ","")&amp;IF($I137="","Sieve mesh not recorded — a fine-root figure cannot be interpreted without it. ","")&amp;IF(AND(ISNUMBER($H137),$H137&gt;0.5),"Ash fraction above 0.5 — over half this sample was mineral soil. Re-wash. ","")&amp;IF($F137="Not separated","Live and dead not separated. Fine for a stock, but "&amp;"note it in reporting. ",""))</f>
        <v/>
      </c>
      <c r="P137" s="6" t="n"/>
      <c r="Q137" s="9">
        <f>IF($B137="",0,IF(COUNTIFS($B$5:$B137,$B137)=1,1,0))</f>
        <v/>
      </c>
    </row>
    <row r="138">
      <c r="A138" s="6" t="n"/>
      <c r="B138" s="6" t="n"/>
      <c r="C138" s="6" t="n"/>
      <c r="D138" s="6" t="n"/>
      <c r="E138" s="6" t="n"/>
      <c r="F138" s="6" t="n"/>
      <c r="G138" s="7" t="n"/>
      <c r="H138" s="7" t="n"/>
      <c r="I138" s="6" t="n"/>
      <c r="J138" s="9">
        <f>IF(NOT(ISNUMBER($G138)),"",IF(AND(ASH_CORRECTED="Yes",ISNUMBER($H138)),$G138*(1-$H138),$G138))</f>
        <v/>
      </c>
      <c r="K138" s="9">
        <f>IF($B138="","",IFERROR(AVERAGEIFS('2. Soil Data'!$G$5:$G$604,'2. Soil Data'!$B$5:$B$604,$B138),""))</f>
        <v/>
      </c>
      <c r="L138" s="9">
        <f>IF(NOT(ISNUMBER($K138)),"",PI()*($K138/2)^2)</f>
        <v/>
      </c>
      <c r="M138" s="9">
        <f>IF(OR(NOT(ISNUMBER($J138)),NOT(ISNUMBER($L138)),$L138=0),"",$J138/$L138*10000)</f>
        <v/>
      </c>
      <c r="N138" s="9">
        <f>IF(NOT(ISNUMBER($M138)),"",$M138*CARBON_FRACTION_ROOT/1000)</f>
        <v/>
      </c>
      <c r="O138" s="11">
        <f>IF(AND($A138="",$B138="",$G138=""),"",IF(AND($B138&lt;&gt;"",COUNTIFS('2. Soil Data'!$B$5:$B$604,$B138)=0),"Core ID not found in Soil Data, so the corer diameter cannot be looked up. ","")&amp;IF(ASH_CORRECTED&lt;&gt;"Yes","Root mass is NOT ash-corrected, so it includes adhering mineral soil and is too high. Set ASH_CORRECTED once you have done it. ","")&amp;IF(AND(ASH_CORRECTED="Yes",NOT(ISNUMBER($H138))),"Ash correction is switched on but no ash fraction is given for this row. ","")&amp;IF($I138="","Sieve mesh not recorded — a fine-root figure cannot be interpreted without it. ","")&amp;IF(AND(ISNUMBER($H138),$H138&gt;0.5),"Ash fraction above 0.5 — over half this sample was mineral soil. Re-wash. ","")&amp;IF($F138="Not separated","Live and dead not separated. Fine for a stock, but "&amp;"note it in reporting. ",""))</f>
        <v/>
      </c>
      <c r="P138" s="6" t="n"/>
      <c r="Q138" s="9">
        <f>IF($B138="",0,IF(COUNTIFS($B$5:$B138,$B138)=1,1,0))</f>
        <v/>
      </c>
    </row>
    <row r="139">
      <c r="A139" s="6" t="n"/>
      <c r="B139" s="6" t="n"/>
      <c r="C139" s="6" t="n"/>
      <c r="D139" s="6" t="n"/>
      <c r="E139" s="6" t="n"/>
      <c r="F139" s="6" t="n"/>
      <c r="G139" s="7" t="n"/>
      <c r="H139" s="7" t="n"/>
      <c r="I139" s="6" t="n"/>
      <c r="J139" s="9">
        <f>IF(NOT(ISNUMBER($G139)),"",IF(AND(ASH_CORRECTED="Yes",ISNUMBER($H139)),$G139*(1-$H139),$G139))</f>
        <v/>
      </c>
      <c r="K139" s="9">
        <f>IF($B139="","",IFERROR(AVERAGEIFS('2. Soil Data'!$G$5:$G$604,'2. Soil Data'!$B$5:$B$604,$B139),""))</f>
        <v/>
      </c>
      <c r="L139" s="9">
        <f>IF(NOT(ISNUMBER($K139)),"",PI()*($K139/2)^2)</f>
        <v/>
      </c>
      <c r="M139" s="9">
        <f>IF(OR(NOT(ISNUMBER($J139)),NOT(ISNUMBER($L139)),$L139=0),"",$J139/$L139*10000)</f>
        <v/>
      </c>
      <c r="N139" s="9">
        <f>IF(NOT(ISNUMBER($M139)),"",$M139*CARBON_FRACTION_ROOT/1000)</f>
        <v/>
      </c>
      <c r="O139" s="11">
        <f>IF(AND($A139="",$B139="",$G139=""),"",IF(AND($B139&lt;&gt;"",COUNTIFS('2. Soil Data'!$B$5:$B$604,$B139)=0),"Core ID not found in Soil Data, so the corer diameter cannot be looked up. ","")&amp;IF(ASH_CORRECTED&lt;&gt;"Yes","Root mass is NOT ash-corrected, so it includes adhering mineral soil and is too high. Set ASH_CORRECTED once you have done it. ","")&amp;IF(AND(ASH_CORRECTED="Yes",NOT(ISNUMBER($H139))),"Ash correction is switched on but no ash fraction is given for this row. ","")&amp;IF($I139="","Sieve mesh not recorded — a fine-root figure cannot be interpreted without it. ","")&amp;IF(AND(ISNUMBER($H139),$H139&gt;0.5),"Ash fraction above 0.5 — over half this sample was mineral soil. Re-wash. ","")&amp;IF($F139="Not separated","Live and dead not separated. Fine for a stock, but "&amp;"note it in reporting. ",""))</f>
        <v/>
      </c>
      <c r="P139" s="6" t="n"/>
      <c r="Q139" s="9">
        <f>IF($B139="",0,IF(COUNTIFS($B$5:$B139,$B139)=1,1,0))</f>
        <v/>
      </c>
    </row>
    <row r="140">
      <c r="A140" s="6" t="n"/>
      <c r="B140" s="6" t="n"/>
      <c r="C140" s="6" t="n"/>
      <c r="D140" s="6" t="n"/>
      <c r="E140" s="6" t="n"/>
      <c r="F140" s="6" t="n"/>
      <c r="G140" s="7" t="n"/>
      <c r="H140" s="7" t="n"/>
      <c r="I140" s="6" t="n"/>
      <c r="J140" s="9">
        <f>IF(NOT(ISNUMBER($G140)),"",IF(AND(ASH_CORRECTED="Yes",ISNUMBER($H140)),$G140*(1-$H140),$G140))</f>
        <v/>
      </c>
      <c r="K140" s="9">
        <f>IF($B140="","",IFERROR(AVERAGEIFS('2. Soil Data'!$G$5:$G$604,'2. Soil Data'!$B$5:$B$604,$B140),""))</f>
        <v/>
      </c>
      <c r="L140" s="9">
        <f>IF(NOT(ISNUMBER($K140)),"",PI()*($K140/2)^2)</f>
        <v/>
      </c>
      <c r="M140" s="9">
        <f>IF(OR(NOT(ISNUMBER($J140)),NOT(ISNUMBER($L140)),$L140=0),"",$J140/$L140*10000)</f>
        <v/>
      </c>
      <c r="N140" s="9">
        <f>IF(NOT(ISNUMBER($M140)),"",$M140*CARBON_FRACTION_ROOT/1000)</f>
        <v/>
      </c>
      <c r="O140" s="11">
        <f>IF(AND($A140="",$B140="",$G140=""),"",IF(AND($B140&lt;&gt;"",COUNTIFS('2. Soil Data'!$B$5:$B$604,$B140)=0),"Core ID not found in Soil Data, so the corer diameter cannot be looked up. ","")&amp;IF(ASH_CORRECTED&lt;&gt;"Yes","Root mass is NOT ash-corrected, so it includes adhering mineral soil and is too high. Set ASH_CORRECTED once you have done it. ","")&amp;IF(AND(ASH_CORRECTED="Yes",NOT(ISNUMBER($H140))),"Ash correction is switched on but no ash fraction is given for this row. ","")&amp;IF($I140="","Sieve mesh not recorded — a fine-root figure cannot be interpreted without it. ","")&amp;IF(AND(ISNUMBER($H140),$H140&gt;0.5),"Ash fraction above 0.5 — over half this sample was mineral soil. Re-wash. ","")&amp;IF($F140="Not separated","Live and dead not separated. Fine for a stock, but "&amp;"note it in reporting. ",""))</f>
        <v/>
      </c>
      <c r="P140" s="6" t="n"/>
      <c r="Q140" s="9">
        <f>IF($B140="",0,IF(COUNTIFS($B$5:$B140,$B140)=1,1,0))</f>
        <v/>
      </c>
    </row>
    <row r="141">
      <c r="A141" s="6" t="n"/>
      <c r="B141" s="6" t="n"/>
      <c r="C141" s="6" t="n"/>
      <c r="D141" s="6" t="n"/>
      <c r="E141" s="6" t="n"/>
      <c r="F141" s="6" t="n"/>
      <c r="G141" s="7" t="n"/>
      <c r="H141" s="7" t="n"/>
      <c r="I141" s="6" t="n"/>
      <c r="J141" s="9">
        <f>IF(NOT(ISNUMBER($G141)),"",IF(AND(ASH_CORRECTED="Yes",ISNUMBER($H141)),$G141*(1-$H141),$G141))</f>
        <v/>
      </c>
      <c r="K141" s="9">
        <f>IF($B141="","",IFERROR(AVERAGEIFS('2. Soil Data'!$G$5:$G$604,'2. Soil Data'!$B$5:$B$604,$B141),""))</f>
        <v/>
      </c>
      <c r="L141" s="9">
        <f>IF(NOT(ISNUMBER($K141)),"",PI()*($K141/2)^2)</f>
        <v/>
      </c>
      <c r="M141" s="9">
        <f>IF(OR(NOT(ISNUMBER($J141)),NOT(ISNUMBER($L141)),$L141=0),"",$J141/$L141*10000)</f>
        <v/>
      </c>
      <c r="N141" s="9">
        <f>IF(NOT(ISNUMBER($M141)),"",$M141*CARBON_FRACTION_ROOT/1000)</f>
        <v/>
      </c>
      <c r="O141" s="11">
        <f>IF(AND($A141="",$B141="",$G141=""),"",IF(AND($B141&lt;&gt;"",COUNTIFS('2. Soil Data'!$B$5:$B$604,$B141)=0),"Core ID not found in Soil Data, so the corer diameter cannot be looked up. ","")&amp;IF(ASH_CORRECTED&lt;&gt;"Yes","Root mass is NOT ash-corrected, so it includes adhering mineral soil and is too high. Set ASH_CORRECTED once you have done it. ","")&amp;IF(AND(ASH_CORRECTED="Yes",NOT(ISNUMBER($H141))),"Ash correction is switched on but no ash fraction is given for this row. ","")&amp;IF($I141="","Sieve mesh not recorded — a fine-root figure cannot be interpreted without it. ","")&amp;IF(AND(ISNUMBER($H141),$H141&gt;0.5),"Ash fraction above 0.5 — over half this sample was mineral soil. Re-wash. ","")&amp;IF($F141="Not separated","Live and dead not separated. Fine for a stock, but "&amp;"note it in reporting. ",""))</f>
        <v/>
      </c>
      <c r="P141" s="6" t="n"/>
      <c r="Q141" s="9">
        <f>IF($B141="",0,IF(COUNTIFS($B$5:$B141,$B141)=1,1,0))</f>
        <v/>
      </c>
    </row>
    <row r="142">
      <c r="A142" s="6" t="n"/>
      <c r="B142" s="6" t="n"/>
      <c r="C142" s="6" t="n"/>
      <c r="D142" s="6" t="n"/>
      <c r="E142" s="6" t="n"/>
      <c r="F142" s="6" t="n"/>
      <c r="G142" s="7" t="n"/>
      <c r="H142" s="7" t="n"/>
      <c r="I142" s="6" t="n"/>
      <c r="J142" s="9">
        <f>IF(NOT(ISNUMBER($G142)),"",IF(AND(ASH_CORRECTED="Yes",ISNUMBER($H142)),$G142*(1-$H142),$G142))</f>
        <v/>
      </c>
      <c r="K142" s="9">
        <f>IF($B142="","",IFERROR(AVERAGEIFS('2. Soil Data'!$G$5:$G$604,'2. Soil Data'!$B$5:$B$604,$B142),""))</f>
        <v/>
      </c>
      <c r="L142" s="9">
        <f>IF(NOT(ISNUMBER($K142)),"",PI()*($K142/2)^2)</f>
        <v/>
      </c>
      <c r="M142" s="9">
        <f>IF(OR(NOT(ISNUMBER($J142)),NOT(ISNUMBER($L142)),$L142=0),"",$J142/$L142*10000)</f>
        <v/>
      </c>
      <c r="N142" s="9">
        <f>IF(NOT(ISNUMBER($M142)),"",$M142*CARBON_FRACTION_ROOT/1000)</f>
        <v/>
      </c>
      <c r="O142" s="11">
        <f>IF(AND($A142="",$B142="",$G142=""),"",IF(AND($B142&lt;&gt;"",COUNTIFS('2. Soil Data'!$B$5:$B$604,$B142)=0),"Core ID not found in Soil Data, so the corer diameter cannot be looked up. ","")&amp;IF(ASH_CORRECTED&lt;&gt;"Yes","Root mass is NOT ash-corrected, so it includes adhering mineral soil and is too high. Set ASH_CORRECTED once you have done it. ","")&amp;IF(AND(ASH_CORRECTED="Yes",NOT(ISNUMBER($H142))),"Ash correction is switched on but no ash fraction is given for this row. ","")&amp;IF($I142="","Sieve mesh not recorded — a fine-root figure cannot be interpreted without it. ","")&amp;IF(AND(ISNUMBER($H142),$H142&gt;0.5),"Ash fraction above 0.5 — over half this sample was mineral soil. Re-wash. ","")&amp;IF($F142="Not separated","Live and dead not separated. Fine for a stock, but "&amp;"note it in reporting. ",""))</f>
        <v/>
      </c>
      <c r="P142" s="6" t="n"/>
      <c r="Q142" s="9">
        <f>IF($B142="",0,IF(COUNTIFS($B$5:$B142,$B142)=1,1,0))</f>
        <v/>
      </c>
    </row>
    <row r="143">
      <c r="A143" s="6" t="n"/>
      <c r="B143" s="6" t="n"/>
      <c r="C143" s="6" t="n"/>
      <c r="D143" s="6" t="n"/>
      <c r="E143" s="6" t="n"/>
      <c r="F143" s="6" t="n"/>
      <c r="G143" s="7" t="n"/>
      <c r="H143" s="7" t="n"/>
      <c r="I143" s="6" t="n"/>
      <c r="J143" s="9">
        <f>IF(NOT(ISNUMBER($G143)),"",IF(AND(ASH_CORRECTED="Yes",ISNUMBER($H143)),$G143*(1-$H143),$G143))</f>
        <v/>
      </c>
      <c r="K143" s="9">
        <f>IF($B143="","",IFERROR(AVERAGEIFS('2. Soil Data'!$G$5:$G$604,'2. Soil Data'!$B$5:$B$604,$B143),""))</f>
        <v/>
      </c>
      <c r="L143" s="9">
        <f>IF(NOT(ISNUMBER($K143)),"",PI()*($K143/2)^2)</f>
        <v/>
      </c>
      <c r="M143" s="9">
        <f>IF(OR(NOT(ISNUMBER($J143)),NOT(ISNUMBER($L143)),$L143=0),"",$J143/$L143*10000)</f>
        <v/>
      </c>
      <c r="N143" s="9">
        <f>IF(NOT(ISNUMBER($M143)),"",$M143*CARBON_FRACTION_ROOT/1000)</f>
        <v/>
      </c>
      <c r="O143" s="11">
        <f>IF(AND($A143="",$B143="",$G143=""),"",IF(AND($B143&lt;&gt;"",COUNTIFS('2. Soil Data'!$B$5:$B$604,$B143)=0),"Core ID not found in Soil Data, so the corer diameter cannot be looked up. ","")&amp;IF(ASH_CORRECTED&lt;&gt;"Yes","Root mass is NOT ash-corrected, so it includes adhering mineral soil and is too high. Set ASH_CORRECTED once you have done it. ","")&amp;IF(AND(ASH_CORRECTED="Yes",NOT(ISNUMBER($H143))),"Ash correction is switched on but no ash fraction is given for this row. ","")&amp;IF($I143="","Sieve mesh not recorded — a fine-root figure cannot be interpreted without it. ","")&amp;IF(AND(ISNUMBER($H143),$H143&gt;0.5),"Ash fraction above 0.5 — over half this sample was mineral soil. Re-wash. ","")&amp;IF($F143="Not separated","Live and dead not separated. Fine for a stock, but "&amp;"note it in reporting. ",""))</f>
        <v/>
      </c>
      <c r="P143" s="6" t="n"/>
      <c r="Q143" s="9">
        <f>IF($B143="",0,IF(COUNTIFS($B$5:$B143,$B143)=1,1,0))</f>
        <v/>
      </c>
    </row>
    <row r="144">
      <c r="A144" s="6" t="n"/>
      <c r="B144" s="6" t="n"/>
      <c r="C144" s="6" t="n"/>
      <c r="D144" s="6" t="n"/>
      <c r="E144" s="6" t="n"/>
      <c r="F144" s="6" t="n"/>
      <c r="G144" s="7" t="n"/>
      <c r="H144" s="7" t="n"/>
      <c r="I144" s="6" t="n"/>
      <c r="J144" s="9">
        <f>IF(NOT(ISNUMBER($G144)),"",IF(AND(ASH_CORRECTED="Yes",ISNUMBER($H144)),$G144*(1-$H144),$G144))</f>
        <v/>
      </c>
      <c r="K144" s="9">
        <f>IF($B144="","",IFERROR(AVERAGEIFS('2. Soil Data'!$G$5:$G$604,'2. Soil Data'!$B$5:$B$604,$B144),""))</f>
        <v/>
      </c>
      <c r="L144" s="9">
        <f>IF(NOT(ISNUMBER($K144)),"",PI()*($K144/2)^2)</f>
        <v/>
      </c>
      <c r="M144" s="9">
        <f>IF(OR(NOT(ISNUMBER($J144)),NOT(ISNUMBER($L144)),$L144=0),"",$J144/$L144*10000)</f>
        <v/>
      </c>
      <c r="N144" s="9">
        <f>IF(NOT(ISNUMBER($M144)),"",$M144*CARBON_FRACTION_ROOT/1000)</f>
        <v/>
      </c>
      <c r="O144" s="11">
        <f>IF(AND($A144="",$B144="",$G144=""),"",IF(AND($B144&lt;&gt;"",COUNTIFS('2. Soil Data'!$B$5:$B$604,$B144)=0),"Core ID not found in Soil Data, so the corer diameter cannot be looked up. ","")&amp;IF(ASH_CORRECTED&lt;&gt;"Yes","Root mass is NOT ash-corrected, so it includes adhering mineral soil and is too high. Set ASH_CORRECTED once you have done it. ","")&amp;IF(AND(ASH_CORRECTED="Yes",NOT(ISNUMBER($H144))),"Ash correction is switched on but no ash fraction is given for this row. ","")&amp;IF($I144="","Sieve mesh not recorded — a fine-root figure cannot be interpreted without it. ","")&amp;IF(AND(ISNUMBER($H144),$H144&gt;0.5),"Ash fraction above 0.5 — over half this sample was mineral soil. Re-wash. ","")&amp;IF($F144="Not separated","Live and dead not separated. Fine for a stock, but "&amp;"note it in reporting. ",""))</f>
        <v/>
      </c>
      <c r="P144" s="6" t="n"/>
      <c r="Q144" s="9">
        <f>IF($B144="",0,IF(COUNTIFS($B$5:$B144,$B144)=1,1,0))</f>
        <v/>
      </c>
    </row>
    <row r="145">
      <c r="A145" s="6" t="n"/>
      <c r="B145" s="6" t="n"/>
      <c r="C145" s="6" t="n"/>
      <c r="D145" s="6" t="n"/>
      <c r="E145" s="6" t="n"/>
      <c r="F145" s="6" t="n"/>
      <c r="G145" s="7" t="n"/>
      <c r="H145" s="7" t="n"/>
      <c r="I145" s="6" t="n"/>
      <c r="J145" s="9">
        <f>IF(NOT(ISNUMBER($G145)),"",IF(AND(ASH_CORRECTED="Yes",ISNUMBER($H145)),$G145*(1-$H145),$G145))</f>
        <v/>
      </c>
      <c r="K145" s="9">
        <f>IF($B145="","",IFERROR(AVERAGEIFS('2. Soil Data'!$G$5:$G$604,'2. Soil Data'!$B$5:$B$604,$B145),""))</f>
        <v/>
      </c>
      <c r="L145" s="9">
        <f>IF(NOT(ISNUMBER($K145)),"",PI()*($K145/2)^2)</f>
        <v/>
      </c>
      <c r="M145" s="9">
        <f>IF(OR(NOT(ISNUMBER($J145)),NOT(ISNUMBER($L145)),$L145=0),"",$J145/$L145*10000)</f>
        <v/>
      </c>
      <c r="N145" s="9">
        <f>IF(NOT(ISNUMBER($M145)),"",$M145*CARBON_FRACTION_ROOT/1000)</f>
        <v/>
      </c>
      <c r="O145" s="11">
        <f>IF(AND($A145="",$B145="",$G145=""),"",IF(AND($B145&lt;&gt;"",COUNTIFS('2. Soil Data'!$B$5:$B$604,$B145)=0),"Core ID not found in Soil Data, so the corer diameter cannot be looked up. ","")&amp;IF(ASH_CORRECTED&lt;&gt;"Yes","Root mass is NOT ash-corrected, so it includes adhering mineral soil and is too high. Set ASH_CORRECTED once you have done it. ","")&amp;IF(AND(ASH_CORRECTED="Yes",NOT(ISNUMBER($H145))),"Ash correction is switched on but no ash fraction is given for this row. ","")&amp;IF($I145="","Sieve mesh not recorded — a fine-root figure cannot be interpreted without it. ","")&amp;IF(AND(ISNUMBER($H145),$H145&gt;0.5),"Ash fraction above 0.5 — over half this sample was mineral soil. Re-wash. ","")&amp;IF($F145="Not separated","Live and dead not separated. Fine for a stock, but "&amp;"note it in reporting. ",""))</f>
        <v/>
      </c>
      <c r="P145" s="6" t="n"/>
      <c r="Q145" s="9">
        <f>IF($B145="",0,IF(COUNTIFS($B$5:$B145,$B145)=1,1,0))</f>
        <v/>
      </c>
    </row>
    <row r="146">
      <c r="A146" s="6" t="n"/>
      <c r="B146" s="6" t="n"/>
      <c r="C146" s="6" t="n"/>
      <c r="D146" s="6" t="n"/>
      <c r="E146" s="6" t="n"/>
      <c r="F146" s="6" t="n"/>
      <c r="G146" s="7" t="n"/>
      <c r="H146" s="7" t="n"/>
      <c r="I146" s="6" t="n"/>
      <c r="J146" s="9">
        <f>IF(NOT(ISNUMBER($G146)),"",IF(AND(ASH_CORRECTED="Yes",ISNUMBER($H146)),$G146*(1-$H146),$G146))</f>
        <v/>
      </c>
      <c r="K146" s="9">
        <f>IF($B146="","",IFERROR(AVERAGEIFS('2. Soil Data'!$G$5:$G$604,'2. Soil Data'!$B$5:$B$604,$B146),""))</f>
        <v/>
      </c>
      <c r="L146" s="9">
        <f>IF(NOT(ISNUMBER($K146)),"",PI()*($K146/2)^2)</f>
        <v/>
      </c>
      <c r="M146" s="9">
        <f>IF(OR(NOT(ISNUMBER($J146)),NOT(ISNUMBER($L146)),$L146=0),"",$J146/$L146*10000)</f>
        <v/>
      </c>
      <c r="N146" s="9">
        <f>IF(NOT(ISNUMBER($M146)),"",$M146*CARBON_FRACTION_ROOT/1000)</f>
        <v/>
      </c>
      <c r="O146" s="11">
        <f>IF(AND($A146="",$B146="",$G146=""),"",IF(AND($B146&lt;&gt;"",COUNTIFS('2. Soil Data'!$B$5:$B$604,$B146)=0),"Core ID not found in Soil Data, so the corer diameter cannot be looked up. ","")&amp;IF(ASH_CORRECTED&lt;&gt;"Yes","Root mass is NOT ash-corrected, so it includes adhering mineral soil and is too high. Set ASH_CORRECTED once you have done it. ","")&amp;IF(AND(ASH_CORRECTED="Yes",NOT(ISNUMBER($H146))),"Ash correction is switched on but no ash fraction is given for this row. ","")&amp;IF($I146="","Sieve mesh not recorded — a fine-root figure cannot be interpreted without it. ","")&amp;IF(AND(ISNUMBER($H146),$H146&gt;0.5),"Ash fraction above 0.5 — over half this sample was mineral soil. Re-wash. ","")&amp;IF($F146="Not separated","Live and dead not separated. Fine for a stock, but "&amp;"note it in reporting. ",""))</f>
        <v/>
      </c>
      <c r="P146" s="6" t="n"/>
      <c r="Q146" s="9">
        <f>IF($B146="",0,IF(COUNTIFS($B$5:$B146,$B146)=1,1,0))</f>
        <v/>
      </c>
    </row>
    <row r="147">
      <c r="A147" s="6" t="n"/>
      <c r="B147" s="6" t="n"/>
      <c r="C147" s="6" t="n"/>
      <c r="D147" s="6" t="n"/>
      <c r="E147" s="6" t="n"/>
      <c r="F147" s="6" t="n"/>
      <c r="G147" s="7" t="n"/>
      <c r="H147" s="7" t="n"/>
      <c r="I147" s="6" t="n"/>
      <c r="J147" s="9">
        <f>IF(NOT(ISNUMBER($G147)),"",IF(AND(ASH_CORRECTED="Yes",ISNUMBER($H147)),$G147*(1-$H147),$G147))</f>
        <v/>
      </c>
      <c r="K147" s="9">
        <f>IF($B147="","",IFERROR(AVERAGEIFS('2. Soil Data'!$G$5:$G$604,'2. Soil Data'!$B$5:$B$604,$B147),""))</f>
        <v/>
      </c>
      <c r="L147" s="9">
        <f>IF(NOT(ISNUMBER($K147)),"",PI()*($K147/2)^2)</f>
        <v/>
      </c>
      <c r="M147" s="9">
        <f>IF(OR(NOT(ISNUMBER($J147)),NOT(ISNUMBER($L147)),$L147=0),"",$J147/$L147*10000)</f>
        <v/>
      </c>
      <c r="N147" s="9">
        <f>IF(NOT(ISNUMBER($M147)),"",$M147*CARBON_FRACTION_ROOT/1000)</f>
        <v/>
      </c>
      <c r="O147" s="11">
        <f>IF(AND($A147="",$B147="",$G147=""),"",IF(AND($B147&lt;&gt;"",COUNTIFS('2. Soil Data'!$B$5:$B$604,$B147)=0),"Core ID not found in Soil Data, so the corer diameter cannot be looked up. ","")&amp;IF(ASH_CORRECTED&lt;&gt;"Yes","Root mass is NOT ash-corrected, so it includes adhering mineral soil and is too high. Set ASH_CORRECTED once you have done it. ","")&amp;IF(AND(ASH_CORRECTED="Yes",NOT(ISNUMBER($H147))),"Ash correction is switched on but no ash fraction is given for this row. ","")&amp;IF($I147="","Sieve mesh not recorded — a fine-root figure cannot be interpreted without it. ","")&amp;IF(AND(ISNUMBER($H147),$H147&gt;0.5),"Ash fraction above 0.5 — over half this sample was mineral soil. Re-wash. ","")&amp;IF($F147="Not separated","Live and dead not separated. Fine for a stock, but "&amp;"note it in reporting. ",""))</f>
        <v/>
      </c>
      <c r="P147" s="6" t="n"/>
      <c r="Q147" s="9">
        <f>IF($B147="",0,IF(COUNTIFS($B$5:$B147,$B147)=1,1,0))</f>
        <v/>
      </c>
    </row>
    <row r="148">
      <c r="A148" s="6" t="n"/>
      <c r="B148" s="6" t="n"/>
      <c r="C148" s="6" t="n"/>
      <c r="D148" s="6" t="n"/>
      <c r="E148" s="6" t="n"/>
      <c r="F148" s="6" t="n"/>
      <c r="G148" s="7" t="n"/>
      <c r="H148" s="7" t="n"/>
      <c r="I148" s="6" t="n"/>
      <c r="J148" s="9">
        <f>IF(NOT(ISNUMBER($G148)),"",IF(AND(ASH_CORRECTED="Yes",ISNUMBER($H148)),$G148*(1-$H148),$G148))</f>
        <v/>
      </c>
      <c r="K148" s="9">
        <f>IF($B148="","",IFERROR(AVERAGEIFS('2. Soil Data'!$G$5:$G$604,'2. Soil Data'!$B$5:$B$604,$B148),""))</f>
        <v/>
      </c>
      <c r="L148" s="9">
        <f>IF(NOT(ISNUMBER($K148)),"",PI()*($K148/2)^2)</f>
        <v/>
      </c>
      <c r="M148" s="9">
        <f>IF(OR(NOT(ISNUMBER($J148)),NOT(ISNUMBER($L148)),$L148=0),"",$J148/$L148*10000)</f>
        <v/>
      </c>
      <c r="N148" s="9">
        <f>IF(NOT(ISNUMBER($M148)),"",$M148*CARBON_FRACTION_ROOT/1000)</f>
        <v/>
      </c>
      <c r="O148" s="11">
        <f>IF(AND($A148="",$B148="",$G148=""),"",IF(AND($B148&lt;&gt;"",COUNTIFS('2. Soil Data'!$B$5:$B$604,$B148)=0),"Core ID not found in Soil Data, so the corer diameter cannot be looked up. ","")&amp;IF(ASH_CORRECTED&lt;&gt;"Yes","Root mass is NOT ash-corrected, so it includes adhering mineral soil and is too high. Set ASH_CORRECTED once you have done it. ","")&amp;IF(AND(ASH_CORRECTED="Yes",NOT(ISNUMBER($H148))),"Ash correction is switched on but no ash fraction is given for this row. ","")&amp;IF($I148="","Sieve mesh not recorded — a fine-root figure cannot be interpreted without it. ","")&amp;IF(AND(ISNUMBER($H148),$H148&gt;0.5),"Ash fraction above 0.5 — over half this sample was mineral soil. Re-wash. ","")&amp;IF($F148="Not separated","Live and dead not separated. Fine for a stock, but "&amp;"note it in reporting. ",""))</f>
        <v/>
      </c>
      <c r="P148" s="6" t="n"/>
      <c r="Q148" s="9">
        <f>IF($B148="",0,IF(COUNTIFS($B$5:$B148,$B148)=1,1,0))</f>
        <v/>
      </c>
    </row>
    <row r="149">
      <c r="A149" s="6" t="n"/>
      <c r="B149" s="6" t="n"/>
      <c r="C149" s="6" t="n"/>
      <c r="D149" s="6" t="n"/>
      <c r="E149" s="6" t="n"/>
      <c r="F149" s="6" t="n"/>
      <c r="G149" s="7" t="n"/>
      <c r="H149" s="7" t="n"/>
      <c r="I149" s="6" t="n"/>
      <c r="J149" s="9">
        <f>IF(NOT(ISNUMBER($G149)),"",IF(AND(ASH_CORRECTED="Yes",ISNUMBER($H149)),$G149*(1-$H149),$G149))</f>
        <v/>
      </c>
      <c r="K149" s="9">
        <f>IF($B149="","",IFERROR(AVERAGEIFS('2. Soil Data'!$G$5:$G$604,'2. Soil Data'!$B$5:$B$604,$B149),""))</f>
        <v/>
      </c>
      <c r="L149" s="9">
        <f>IF(NOT(ISNUMBER($K149)),"",PI()*($K149/2)^2)</f>
        <v/>
      </c>
      <c r="M149" s="9">
        <f>IF(OR(NOT(ISNUMBER($J149)),NOT(ISNUMBER($L149)),$L149=0),"",$J149/$L149*10000)</f>
        <v/>
      </c>
      <c r="N149" s="9">
        <f>IF(NOT(ISNUMBER($M149)),"",$M149*CARBON_FRACTION_ROOT/1000)</f>
        <v/>
      </c>
      <c r="O149" s="11">
        <f>IF(AND($A149="",$B149="",$G149=""),"",IF(AND($B149&lt;&gt;"",COUNTIFS('2. Soil Data'!$B$5:$B$604,$B149)=0),"Core ID not found in Soil Data, so the corer diameter cannot be looked up. ","")&amp;IF(ASH_CORRECTED&lt;&gt;"Yes","Root mass is NOT ash-corrected, so it includes adhering mineral soil and is too high. Set ASH_CORRECTED once you have done it. ","")&amp;IF(AND(ASH_CORRECTED="Yes",NOT(ISNUMBER($H149))),"Ash correction is switched on but no ash fraction is given for this row. ","")&amp;IF($I149="","Sieve mesh not recorded — a fine-root figure cannot be interpreted without it. ","")&amp;IF(AND(ISNUMBER($H149),$H149&gt;0.5),"Ash fraction above 0.5 — over half this sample was mineral soil. Re-wash. ","")&amp;IF($F149="Not separated","Live and dead not separated. Fine for a stock, but "&amp;"note it in reporting. ",""))</f>
        <v/>
      </c>
      <c r="P149" s="6" t="n"/>
      <c r="Q149" s="9">
        <f>IF($B149="",0,IF(COUNTIFS($B$5:$B149,$B149)=1,1,0))</f>
        <v/>
      </c>
    </row>
    <row r="150">
      <c r="A150" s="6" t="n"/>
      <c r="B150" s="6" t="n"/>
      <c r="C150" s="6" t="n"/>
      <c r="D150" s="6" t="n"/>
      <c r="E150" s="6" t="n"/>
      <c r="F150" s="6" t="n"/>
      <c r="G150" s="7" t="n"/>
      <c r="H150" s="7" t="n"/>
      <c r="I150" s="6" t="n"/>
      <c r="J150" s="9">
        <f>IF(NOT(ISNUMBER($G150)),"",IF(AND(ASH_CORRECTED="Yes",ISNUMBER($H150)),$G150*(1-$H150),$G150))</f>
        <v/>
      </c>
      <c r="K150" s="9">
        <f>IF($B150="","",IFERROR(AVERAGEIFS('2. Soil Data'!$G$5:$G$604,'2. Soil Data'!$B$5:$B$604,$B150),""))</f>
        <v/>
      </c>
      <c r="L150" s="9">
        <f>IF(NOT(ISNUMBER($K150)),"",PI()*($K150/2)^2)</f>
        <v/>
      </c>
      <c r="M150" s="9">
        <f>IF(OR(NOT(ISNUMBER($J150)),NOT(ISNUMBER($L150)),$L150=0),"",$J150/$L150*10000)</f>
        <v/>
      </c>
      <c r="N150" s="9">
        <f>IF(NOT(ISNUMBER($M150)),"",$M150*CARBON_FRACTION_ROOT/1000)</f>
        <v/>
      </c>
      <c r="O150" s="11">
        <f>IF(AND($A150="",$B150="",$G150=""),"",IF(AND($B150&lt;&gt;"",COUNTIFS('2. Soil Data'!$B$5:$B$604,$B150)=0),"Core ID not found in Soil Data, so the corer diameter cannot be looked up. ","")&amp;IF(ASH_CORRECTED&lt;&gt;"Yes","Root mass is NOT ash-corrected, so it includes adhering mineral soil and is too high. Set ASH_CORRECTED once you have done it. ","")&amp;IF(AND(ASH_CORRECTED="Yes",NOT(ISNUMBER($H150))),"Ash correction is switched on but no ash fraction is given for this row. ","")&amp;IF($I150="","Sieve mesh not recorded — a fine-root figure cannot be interpreted without it. ","")&amp;IF(AND(ISNUMBER($H150),$H150&gt;0.5),"Ash fraction above 0.5 — over half this sample was mineral soil. Re-wash. ","")&amp;IF($F150="Not separated","Live and dead not separated. Fine for a stock, but "&amp;"note it in reporting. ",""))</f>
        <v/>
      </c>
      <c r="P150" s="6" t="n"/>
      <c r="Q150" s="9">
        <f>IF($B150="",0,IF(COUNTIFS($B$5:$B150,$B150)=1,1,0))</f>
        <v/>
      </c>
    </row>
    <row r="151">
      <c r="A151" s="6" t="n"/>
      <c r="B151" s="6" t="n"/>
      <c r="C151" s="6" t="n"/>
      <c r="D151" s="6" t="n"/>
      <c r="E151" s="6" t="n"/>
      <c r="F151" s="6" t="n"/>
      <c r="G151" s="7" t="n"/>
      <c r="H151" s="7" t="n"/>
      <c r="I151" s="6" t="n"/>
      <c r="J151" s="9">
        <f>IF(NOT(ISNUMBER($G151)),"",IF(AND(ASH_CORRECTED="Yes",ISNUMBER($H151)),$G151*(1-$H151),$G151))</f>
        <v/>
      </c>
      <c r="K151" s="9">
        <f>IF($B151="","",IFERROR(AVERAGEIFS('2. Soil Data'!$G$5:$G$604,'2. Soil Data'!$B$5:$B$604,$B151),""))</f>
        <v/>
      </c>
      <c r="L151" s="9">
        <f>IF(NOT(ISNUMBER($K151)),"",PI()*($K151/2)^2)</f>
        <v/>
      </c>
      <c r="M151" s="9">
        <f>IF(OR(NOT(ISNUMBER($J151)),NOT(ISNUMBER($L151)),$L151=0),"",$J151/$L151*10000)</f>
        <v/>
      </c>
      <c r="N151" s="9">
        <f>IF(NOT(ISNUMBER($M151)),"",$M151*CARBON_FRACTION_ROOT/1000)</f>
        <v/>
      </c>
      <c r="O151" s="11">
        <f>IF(AND($A151="",$B151="",$G151=""),"",IF(AND($B151&lt;&gt;"",COUNTIFS('2. Soil Data'!$B$5:$B$604,$B151)=0),"Core ID not found in Soil Data, so the corer diameter cannot be looked up. ","")&amp;IF(ASH_CORRECTED&lt;&gt;"Yes","Root mass is NOT ash-corrected, so it includes adhering mineral soil and is too high. Set ASH_CORRECTED once you have done it. ","")&amp;IF(AND(ASH_CORRECTED="Yes",NOT(ISNUMBER($H151))),"Ash correction is switched on but no ash fraction is given for this row. ","")&amp;IF($I151="","Sieve mesh not recorded — a fine-root figure cannot be interpreted without it. ","")&amp;IF(AND(ISNUMBER($H151),$H151&gt;0.5),"Ash fraction above 0.5 — over half this sample was mineral soil. Re-wash. ","")&amp;IF($F151="Not separated","Live and dead not separated. Fine for a stock, but "&amp;"note it in reporting. ",""))</f>
        <v/>
      </c>
      <c r="P151" s="6" t="n"/>
      <c r="Q151" s="9">
        <f>IF($B151="",0,IF(COUNTIFS($B$5:$B151,$B151)=1,1,0))</f>
        <v/>
      </c>
    </row>
    <row r="152">
      <c r="A152" s="6" t="n"/>
      <c r="B152" s="6" t="n"/>
      <c r="C152" s="6" t="n"/>
      <c r="D152" s="6" t="n"/>
      <c r="E152" s="6" t="n"/>
      <c r="F152" s="6" t="n"/>
      <c r="G152" s="7" t="n"/>
      <c r="H152" s="7" t="n"/>
      <c r="I152" s="6" t="n"/>
      <c r="J152" s="9">
        <f>IF(NOT(ISNUMBER($G152)),"",IF(AND(ASH_CORRECTED="Yes",ISNUMBER($H152)),$G152*(1-$H152),$G152))</f>
        <v/>
      </c>
      <c r="K152" s="9">
        <f>IF($B152="","",IFERROR(AVERAGEIFS('2. Soil Data'!$G$5:$G$604,'2. Soil Data'!$B$5:$B$604,$B152),""))</f>
        <v/>
      </c>
      <c r="L152" s="9">
        <f>IF(NOT(ISNUMBER($K152)),"",PI()*($K152/2)^2)</f>
        <v/>
      </c>
      <c r="M152" s="9">
        <f>IF(OR(NOT(ISNUMBER($J152)),NOT(ISNUMBER($L152)),$L152=0),"",$J152/$L152*10000)</f>
        <v/>
      </c>
      <c r="N152" s="9">
        <f>IF(NOT(ISNUMBER($M152)),"",$M152*CARBON_FRACTION_ROOT/1000)</f>
        <v/>
      </c>
      <c r="O152" s="11">
        <f>IF(AND($A152="",$B152="",$G152=""),"",IF(AND($B152&lt;&gt;"",COUNTIFS('2. Soil Data'!$B$5:$B$604,$B152)=0),"Core ID not found in Soil Data, so the corer diameter cannot be looked up. ","")&amp;IF(ASH_CORRECTED&lt;&gt;"Yes","Root mass is NOT ash-corrected, so it includes adhering mineral soil and is too high. Set ASH_CORRECTED once you have done it. ","")&amp;IF(AND(ASH_CORRECTED="Yes",NOT(ISNUMBER($H152))),"Ash correction is switched on but no ash fraction is given for this row. ","")&amp;IF($I152="","Sieve mesh not recorded — a fine-root figure cannot be interpreted without it. ","")&amp;IF(AND(ISNUMBER($H152),$H152&gt;0.5),"Ash fraction above 0.5 — over half this sample was mineral soil. Re-wash. ","")&amp;IF($F152="Not separated","Live and dead not separated. Fine for a stock, but "&amp;"note it in reporting. ",""))</f>
        <v/>
      </c>
      <c r="P152" s="6" t="n"/>
      <c r="Q152" s="9">
        <f>IF($B152="",0,IF(COUNTIFS($B$5:$B152,$B152)=1,1,0))</f>
        <v/>
      </c>
    </row>
    <row r="153">
      <c r="A153" s="6" t="n"/>
      <c r="B153" s="6" t="n"/>
      <c r="C153" s="6" t="n"/>
      <c r="D153" s="6" t="n"/>
      <c r="E153" s="6" t="n"/>
      <c r="F153" s="6" t="n"/>
      <c r="G153" s="7" t="n"/>
      <c r="H153" s="7" t="n"/>
      <c r="I153" s="6" t="n"/>
      <c r="J153" s="9">
        <f>IF(NOT(ISNUMBER($G153)),"",IF(AND(ASH_CORRECTED="Yes",ISNUMBER($H153)),$G153*(1-$H153),$G153))</f>
        <v/>
      </c>
      <c r="K153" s="9">
        <f>IF($B153="","",IFERROR(AVERAGEIFS('2. Soil Data'!$G$5:$G$604,'2. Soil Data'!$B$5:$B$604,$B153),""))</f>
        <v/>
      </c>
      <c r="L153" s="9">
        <f>IF(NOT(ISNUMBER($K153)),"",PI()*($K153/2)^2)</f>
        <v/>
      </c>
      <c r="M153" s="9">
        <f>IF(OR(NOT(ISNUMBER($J153)),NOT(ISNUMBER($L153)),$L153=0),"",$J153/$L153*10000)</f>
        <v/>
      </c>
      <c r="N153" s="9">
        <f>IF(NOT(ISNUMBER($M153)),"",$M153*CARBON_FRACTION_ROOT/1000)</f>
        <v/>
      </c>
      <c r="O153" s="11">
        <f>IF(AND($A153="",$B153="",$G153=""),"",IF(AND($B153&lt;&gt;"",COUNTIFS('2. Soil Data'!$B$5:$B$604,$B153)=0),"Core ID not found in Soil Data, so the corer diameter cannot be looked up. ","")&amp;IF(ASH_CORRECTED&lt;&gt;"Yes","Root mass is NOT ash-corrected, so it includes adhering mineral soil and is too high. Set ASH_CORRECTED once you have done it. ","")&amp;IF(AND(ASH_CORRECTED="Yes",NOT(ISNUMBER($H153))),"Ash correction is switched on but no ash fraction is given for this row. ","")&amp;IF($I153="","Sieve mesh not recorded — a fine-root figure cannot be interpreted without it. ","")&amp;IF(AND(ISNUMBER($H153),$H153&gt;0.5),"Ash fraction above 0.5 — over half this sample was mineral soil. Re-wash. ","")&amp;IF($F153="Not separated","Live and dead not separated. Fine for a stock, but "&amp;"note it in reporting. ",""))</f>
        <v/>
      </c>
      <c r="P153" s="6" t="n"/>
      <c r="Q153" s="9">
        <f>IF($B153="",0,IF(COUNTIFS($B$5:$B153,$B153)=1,1,0))</f>
        <v/>
      </c>
    </row>
    <row r="154">
      <c r="A154" s="6" t="n"/>
      <c r="B154" s="6" t="n"/>
      <c r="C154" s="6" t="n"/>
      <c r="D154" s="6" t="n"/>
      <c r="E154" s="6" t="n"/>
      <c r="F154" s="6" t="n"/>
      <c r="G154" s="7" t="n"/>
      <c r="H154" s="7" t="n"/>
      <c r="I154" s="6" t="n"/>
      <c r="J154" s="9">
        <f>IF(NOT(ISNUMBER($G154)),"",IF(AND(ASH_CORRECTED="Yes",ISNUMBER($H154)),$G154*(1-$H154),$G154))</f>
        <v/>
      </c>
      <c r="K154" s="9">
        <f>IF($B154="","",IFERROR(AVERAGEIFS('2. Soil Data'!$G$5:$G$604,'2. Soil Data'!$B$5:$B$604,$B154),""))</f>
        <v/>
      </c>
      <c r="L154" s="9">
        <f>IF(NOT(ISNUMBER($K154)),"",PI()*($K154/2)^2)</f>
        <v/>
      </c>
      <c r="M154" s="9">
        <f>IF(OR(NOT(ISNUMBER($J154)),NOT(ISNUMBER($L154)),$L154=0),"",$J154/$L154*10000)</f>
        <v/>
      </c>
      <c r="N154" s="9">
        <f>IF(NOT(ISNUMBER($M154)),"",$M154*CARBON_FRACTION_ROOT/1000)</f>
        <v/>
      </c>
      <c r="O154" s="11">
        <f>IF(AND($A154="",$B154="",$G154=""),"",IF(AND($B154&lt;&gt;"",COUNTIFS('2. Soil Data'!$B$5:$B$604,$B154)=0),"Core ID not found in Soil Data, so the corer diameter cannot be looked up. ","")&amp;IF(ASH_CORRECTED&lt;&gt;"Yes","Root mass is NOT ash-corrected, so it includes adhering mineral soil and is too high. Set ASH_CORRECTED once you have done it. ","")&amp;IF(AND(ASH_CORRECTED="Yes",NOT(ISNUMBER($H154))),"Ash correction is switched on but no ash fraction is given for this row. ","")&amp;IF($I154="","Sieve mesh not recorded — a fine-root figure cannot be interpreted without it. ","")&amp;IF(AND(ISNUMBER($H154),$H154&gt;0.5),"Ash fraction above 0.5 — over half this sample was mineral soil. Re-wash. ","")&amp;IF($F154="Not separated","Live and dead not separated. Fine for a stock, but "&amp;"note it in reporting. ",""))</f>
        <v/>
      </c>
      <c r="P154" s="6" t="n"/>
      <c r="Q154" s="9">
        <f>IF($B154="",0,IF(COUNTIFS($B$5:$B154,$B154)=1,1,0))</f>
        <v/>
      </c>
    </row>
    <row r="155">
      <c r="A155" s="6" t="n"/>
      <c r="B155" s="6" t="n"/>
      <c r="C155" s="6" t="n"/>
      <c r="D155" s="6" t="n"/>
      <c r="E155" s="6" t="n"/>
      <c r="F155" s="6" t="n"/>
      <c r="G155" s="7" t="n"/>
      <c r="H155" s="7" t="n"/>
      <c r="I155" s="6" t="n"/>
      <c r="J155" s="9">
        <f>IF(NOT(ISNUMBER($G155)),"",IF(AND(ASH_CORRECTED="Yes",ISNUMBER($H155)),$G155*(1-$H155),$G155))</f>
        <v/>
      </c>
      <c r="K155" s="9">
        <f>IF($B155="","",IFERROR(AVERAGEIFS('2. Soil Data'!$G$5:$G$604,'2. Soil Data'!$B$5:$B$604,$B155),""))</f>
        <v/>
      </c>
      <c r="L155" s="9">
        <f>IF(NOT(ISNUMBER($K155)),"",PI()*($K155/2)^2)</f>
        <v/>
      </c>
      <c r="M155" s="9">
        <f>IF(OR(NOT(ISNUMBER($J155)),NOT(ISNUMBER($L155)),$L155=0),"",$J155/$L155*10000)</f>
        <v/>
      </c>
      <c r="N155" s="9">
        <f>IF(NOT(ISNUMBER($M155)),"",$M155*CARBON_FRACTION_ROOT/1000)</f>
        <v/>
      </c>
      <c r="O155" s="11">
        <f>IF(AND($A155="",$B155="",$G155=""),"",IF(AND($B155&lt;&gt;"",COUNTIFS('2. Soil Data'!$B$5:$B$604,$B155)=0),"Core ID not found in Soil Data, so the corer diameter cannot be looked up. ","")&amp;IF(ASH_CORRECTED&lt;&gt;"Yes","Root mass is NOT ash-corrected, so it includes adhering mineral soil and is too high. Set ASH_CORRECTED once you have done it. ","")&amp;IF(AND(ASH_CORRECTED="Yes",NOT(ISNUMBER($H155))),"Ash correction is switched on but no ash fraction is given for this row. ","")&amp;IF($I155="","Sieve mesh not recorded — a fine-root figure cannot be interpreted without it. ","")&amp;IF(AND(ISNUMBER($H155),$H155&gt;0.5),"Ash fraction above 0.5 — over half this sample was mineral soil. Re-wash. ","")&amp;IF($F155="Not separated","Live and dead not separated. Fine for a stock, but "&amp;"note it in reporting. ",""))</f>
        <v/>
      </c>
      <c r="P155" s="6" t="n"/>
      <c r="Q155" s="9">
        <f>IF($B155="",0,IF(COUNTIFS($B$5:$B155,$B155)=1,1,0))</f>
        <v/>
      </c>
    </row>
    <row r="156">
      <c r="A156" s="6" t="n"/>
      <c r="B156" s="6" t="n"/>
      <c r="C156" s="6" t="n"/>
      <c r="D156" s="6" t="n"/>
      <c r="E156" s="6" t="n"/>
      <c r="F156" s="6" t="n"/>
      <c r="G156" s="7" t="n"/>
      <c r="H156" s="7" t="n"/>
      <c r="I156" s="6" t="n"/>
      <c r="J156" s="9">
        <f>IF(NOT(ISNUMBER($G156)),"",IF(AND(ASH_CORRECTED="Yes",ISNUMBER($H156)),$G156*(1-$H156),$G156))</f>
        <v/>
      </c>
      <c r="K156" s="9">
        <f>IF($B156="","",IFERROR(AVERAGEIFS('2. Soil Data'!$G$5:$G$604,'2. Soil Data'!$B$5:$B$604,$B156),""))</f>
        <v/>
      </c>
      <c r="L156" s="9">
        <f>IF(NOT(ISNUMBER($K156)),"",PI()*($K156/2)^2)</f>
        <v/>
      </c>
      <c r="M156" s="9">
        <f>IF(OR(NOT(ISNUMBER($J156)),NOT(ISNUMBER($L156)),$L156=0),"",$J156/$L156*10000)</f>
        <v/>
      </c>
      <c r="N156" s="9">
        <f>IF(NOT(ISNUMBER($M156)),"",$M156*CARBON_FRACTION_ROOT/1000)</f>
        <v/>
      </c>
      <c r="O156" s="11">
        <f>IF(AND($A156="",$B156="",$G156=""),"",IF(AND($B156&lt;&gt;"",COUNTIFS('2. Soil Data'!$B$5:$B$604,$B156)=0),"Core ID not found in Soil Data, so the corer diameter cannot be looked up. ","")&amp;IF(ASH_CORRECTED&lt;&gt;"Yes","Root mass is NOT ash-corrected, so it includes adhering mineral soil and is too high. Set ASH_CORRECTED once you have done it. ","")&amp;IF(AND(ASH_CORRECTED="Yes",NOT(ISNUMBER($H156))),"Ash correction is switched on but no ash fraction is given for this row. ","")&amp;IF($I156="","Sieve mesh not recorded — a fine-root figure cannot be interpreted without it. ","")&amp;IF(AND(ISNUMBER($H156),$H156&gt;0.5),"Ash fraction above 0.5 — over half this sample was mineral soil. Re-wash. ","")&amp;IF($F156="Not separated","Live and dead not separated. Fine for a stock, but "&amp;"note it in reporting. ",""))</f>
        <v/>
      </c>
      <c r="P156" s="6" t="n"/>
      <c r="Q156" s="9">
        <f>IF($B156="",0,IF(COUNTIFS($B$5:$B156,$B156)=1,1,0))</f>
        <v/>
      </c>
    </row>
    <row r="157">
      <c r="A157" s="6" t="n"/>
      <c r="B157" s="6" t="n"/>
      <c r="C157" s="6" t="n"/>
      <c r="D157" s="6" t="n"/>
      <c r="E157" s="6" t="n"/>
      <c r="F157" s="6" t="n"/>
      <c r="G157" s="7" t="n"/>
      <c r="H157" s="7" t="n"/>
      <c r="I157" s="6" t="n"/>
      <c r="J157" s="9">
        <f>IF(NOT(ISNUMBER($G157)),"",IF(AND(ASH_CORRECTED="Yes",ISNUMBER($H157)),$G157*(1-$H157),$G157))</f>
        <v/>
      </c>
      <c r="K157" s="9">
        <f>IF($B157="","",IFERROR(AVERAGEIFS('2. Soil Data'!$G$5:$G$604,'2. Soil Data'!$B$5:$B$604,$B157),""))</f>
        <v/>
      </c>
      <c r="L157" s="9">
        <f>IF(NOT(ISNUMBER($K157)),"",PI()*($K157/2)^2)</f>
        <v/>
      </c>
      <c r="M157" s="9">
        <f>IF(OR(NOT(ISNUMBER($J157)),NOT(ISNUMBER($L157)),$L157=0),"",$J157/$L157*10000)</f>
        <v/>
      </c>
      <c r="N157" s="9">
        <f>IF(NOT(ISNUMBER($M157)),"",$M157*CARBON_FRACTION_ROOT/1000)</f>
        <v/>
      </c>
      <c r="O157" s="11">
        <f>IF(AND($A157="",$B157="",$G157=""),"",IF(AND($B157&lt;&gt;"",COUNTIFS('2. Soil Data'!$B$5:$B$604,$B157)=0),"Core ID not found in Soil Data, so the corer diameter cannot be looked up. ","")&amp;IF(ASH_CORRECTED&lt;&gt;"Yes","Root mass is NOT ash-corrected, so it includes adhering mineral soil and is too high. Set ASH_CORRECTED once you have done it. ","")&amp;IF(AND(ASH_CORRECTED="Yes",NOT(ISNUMBER($H157))),"Ash correction is switched on but no ash fraction is given for this row. ","")&amp;IF($I157="","Sieve mesh not recorded — a fine-root figure cannot be interpreted without it. ","")&amp;IF(AND(ISNUMBER($H157),$H157&gt;0.5),"Ash fraction above 0.5 — over half this sample was mineral soil. Re-wash. ","")&amp;IF($F157="Not separated","Live and dead not separated. Fine for a stock, but "&amp;"note it in reporting. ",""))</f>
        <v/>
      </c>
      <c r="P157" s="6" t="n"/>
      <c r="Q157" s="9">
        <f>IF($B157="",0,IF(COUNTIFS($B$5:$B157,$B157)=1,1,0))</f>
        <v/>
      </c>
    </row>
    <row r="158">
      <c r="A158" s="6" t="n"/>
      <c r="B158" s="6" t="n"/>
      <c r="C158" s="6" t="n"/>
      <c r="D158" s="6" t="n"/>
      <c r="E158" s="6" t="n"/>
      <c r="F158" s="6" t="n"/>
      <c r="G158" s="7" t="n"/>
      <c r="H158" s="7" t="n"/>
      <c r="I158" s="6" t="n"/>
      <c r="J158" s="9">
        <f>IF(NOT(ISNUMBER($G158)),"",IF(AND(ASH_CORRECTED="Yes",ISNUMBER($H158)),$G158*(1-$H158),$G158))</f>
        <v/>
      </c>
      <c r="K158" s="9">
        <f>IF($B158="","",IFERROR(AVERAGEIFS('2. Soil Data'!$G$5:$G$604,'2. Soil Data'!$B$5:$B$604,$B158),""))</f>
        <v/>
      </c>
      <c r="L158" s="9">
        <f>IF(NOT(ISNUMBER($K158)),"",PI()*($K158/2)^2)</f>
        <v/>
      </c>
      <c r="M158" s="9">
        <f>IF(OR(NOT(ISNUMBER($J158)),NOT(ISNUMBER($L158)),$L158=0),"",$J158/$L158*10000)</f>
        <v/>
      </c>
      <c r="N158" s="9">
        <f>IF(NOT(ISNUMBER($M158)),"",$M158*CARBON_FRACTION_ROOT/1000)</f>
        <v/>
      </c>
      <c r="O158" s="11">
        <f>IF(AND($A158="",$B158="",$G158=""),"",IF(AND($B158&lt;&gt;"",COUNTIFS('2. Soil Data'!$B$5:$B$604,$B158)=0),"Core ID not found in Soil Data, so the corer diameter cannot be looked up. ","")&amp;IF(ASH_CORRECTED&lt;&gt;"Yes","Root mass is NOT ash-corrected, so it includes adhering mineral soil and is too high. Set ASH_CORRECTED once you have done it. ","")&amp;IF(AND(ASH_CORRECTED="Yes",NOT(ISNUMBER($H158))),"Ash correction is switched on but no ash fraction is given for this row. ","")&amp;IF($I158="","Sieve mesh not recorded — a fine-root figure cannot be interpreted without it. ","")&amp;IF(AND(ISNUMBER($H158),$H158&gt;0.5),"Ash fraction above 0.5 — over half this sample was mineral soil. Re-wash. ","")&amp;IF($F158="Not separated","Live and dead not separated. Fine for a stock, but "&amp;"note it in reporting. ",""))</f>
        <v/>
      </c>
      <c r="P158" s="6" t="n"/>
      <c r="Q158" s="9">
        <f>IF($B158="",0,IF(COUNTIFS($B$5:$B158,$B158)=1,1,0))</f>
        <v/>
      </c>
    </row>
    <row r="159">
      <c r="A159" s="6" t="n"/>
      <c r="B159" s="6" t="n"/>
      <c r="C159" s="6" t="n"/>
      <c r="D159" s="6" t="n"/>
      <c r="E159" s="6" t="n"/>
      <c r="F159" s="6" t="n"/>
      <c r="G159" s="7" t="n"/>
      <c r="H159" s="7" t="n"/>
      <c r="I159" s="6" t="n"/>
      <c r="J159" s="9">
        <f>IF(NOT(ISNUMBER($G159)),"",IF(AND(ASH_CORRECTED="Yes",ISNUMBER($H159)),$G159*(1-$H159),$G159))</f>
        <v/>
      </c>
      <c r="K159" s="9">
        <f>IF($B159="","",IFERROR(AVERAGEIFS('2. Soil Data'!$G$5:$G$604,'2. Soil Data'!$B$5:$B$604,$B159),""))</f>
        <v/>
      </c>
      <c r="L159" s="9">
        <f>IF(NOT(ISNUMBER($K159)),"",PI()*($K159/2)^2)</f>
        <v/>
      </c>
      <c r="M159" s="9">
        <f>IF(OR(NOT(ISNUMBER($J159)),NOT(ISNUMBER($L159)),$L159=0),"",$J159/$L159*10000)</f>
        <v/>
      </c>
      <c r="N159" s="9">
        <f>IF(NOT(ISNUMBER($M159)),"",$M159*CARBON_FRACTION_ROOT/1000)</f>
        <v/>
      </c>
      <c r="O159" s="11">
        <f>IF(AND($A159="",$B159="",$G159=""),"",IF(AND($B159&lt;&gt;"",COUNTIFS('2. Soil Data'!$B$5:$B$604,$B159)=0),"Core ID not found in Soil Data, so the corer diameter cannot be looked up. ","")&amp;IF(ASH_CORRECTED&lt;&gt;"Yes","Root mass is NOT ash-corrected, so it includes adhering mineral soil and is too high. Set ASH_CORRECTED once you have done it. ","")&amp;IF(AND(ASH_CORRECTED="Yes",NOT(ISNUMBER($H159))),"Ash correction is switched on but no ash fraction is given for this row. ","")&amp;IF($I159="","Sieve mesh not recorded — a fine-root figure cannot be interpreted without it. ","")&amp;IF(AND(ISNUMBER($H159),$H159&gt;0.5),"Ash fraction above 0.5 — over half this sample was mineral soil. Re-wash. ","")&amp;IF($F159="Not separated","Live and dead not separated. Fine for a stock, but "&amp;"note it in reporting. ",""))</f>
        <v/>
      </c>
      <c r="P159" s="6" t="n"/>
      <c r="Q159" s="9">
        <f>IF($B159="",0,IF(COUNTIFS($B$5:$B159,$B159)=1,1,0))</f>
        <v/>
      </c>
    </row>
    <row r="160">
      <c r="A160" s="6" t="n"/>
      <c r="B160" s="6" t="n"/>
      <c r="C160" s="6" t="n"/>
      <c r="D160" s="6" t="n"/>
      <c r="E160" s="6" t="n"/>
      <c r="F160" s="6" t="n"/>
      <c r="G160" s="7" t="n"/>
      <c r="H160" s="7" t="n"/>
      <c r="I160" s="6" t="n"/>
      <c r="J160" s="9">
        <f>IF(NOT(ISNUMBER($G160)),"",IF(AND(ASH_CORRECTED="Yes",ISNUMBER($H160)),$G160*(1-$H160),$G160))</f>
        <v/>
      </c>
      <c r="K160" s="9">
        <f>IF($B160="","",IFERROR(AVERAGEIFS('2. Soil Data'!$G$5:$G$604,'2. Soil Data'!$B$5:$B$604,$B160),""))</f>
        <v/>
      </c>
      <c r="L160" s="9">
        <f>IF(NOT(ISNUMBER($K160)),"",PI()*($K160/2)^2)</f>
        <v/>
      </c>
      <c r="M160" s="9">
        <f>IF(OR(NOT(ISNUMBER($J160)),NOT(ISNUMBER($L160)),$L160=0),"",$J160/$L160*10000)</f>
        <v/>
      </c>
      <c r="N160" s="9">
        <f>IF(NOT(ISNUMBER($M160)),"",$M160*CARBON_FRACTION_ROOT/1000)</f>
        <v/>
      </c>
      <c r="O160" s="11">
        <f>IF(AND($A160="",$B160="",$G160=""),"",IF(AND($B160&lt;&gt;"",COUNTIFS('2. Soil Data'!$B$5:$B$604,$B160)=0),"Core ID not found in Soil Data, so the corer diameter cannot be looked up. ","")&amp;IF(ASH_CORRECTED&lt;&gt;"Yes","Root mass is NOT ash-corrected, so it includes adhering mineral soil and is too high. Set ASH_CORRECTED once you have done it. ","")&amp;IF(AND(ASH_CORRECTED="Yes",NOT(ISNUMBER($H160))),"Ash correction is switched on but no ash fraction is given for this row. ","")&amp;IF($I160="","Sieve mesh not recorded — a fine-root figure cannot be interpreted without it. ","")&amp;IF(AND(ISNUMBER($H160),$H160&gt;0.5),"Ash fraction above 0.5 — over half this sample was mineral soil. Re-wash. ","")&amp;IF($F160="Not separated","Live and dead not separated. Fine for a stock, but "&amp;"note it in reporting. ",""))</f>
        <v/>
      </c>
      <c r="P160" s="6" t="n"/>
      <c r="Q160" s="9">
        <f>IF($B160="",0,IF(COUNTIFS($B$5:$B160,$B160)=1,1,0))</f>
        <v/>
      </c>
    </row>
    <row r="161">
      <c r="A161" s="6" t="n"/>
      <c r="B161" s="6" t="n"/>
      <c r="C161" s="6" t="n"/>
      <c r="D161" s="6" t="n"/>
      <c r="E161" s="6" t="n"/>
      <c r="F161" s="6" t="n"/>
      <c r="G161" s="7" t="n"/>
      <c r="H161" s="7" t="n"/>
      <c r="I161" s="6" t="n"/>
      <c r="J161" s="9">
        <f>IF(NOT(ISNUMBER($G161)),"",IF(AND(ASH_CORRECTED="Yes",ISNUMBER($H161)),$G161*(1-$H161),$G161))</f>
        <v/>
      </c>
      <c r="K161" s="9">
        <f>IF($B161="","",IFERROR(AVERAGEIFS('2. Soil Data'!$G$5:$G$604,'2. Soil Data'!$B$5:$B$604,$B161),""))</f>
        <v/>
      </c>
      <c r="L161" s="9">
        <f>IF(NOT(ISNUMBER($K161)),"",PI()*($K161/2)^2)</f>
        <v/>
      </c>
      <c r="M161" s="9">
        <f>IF(OR(NOT(ISNUMBER($J161)),NOT(ISNUMBER($L161)),$L161=0),"",$J161/$L161*10000)</f>
        <v/>
      </c>
      <c r="N161" s="9">
        <f>IF(NOT(ISNUMBER($M161)),"",$M161*CARBON_FRACTION_ROOT/1000)</f>
        <v/>
      </c>
      <c r="O161" s="11">
        <f>IF(AND($A161="",$B161="",$G161=""),"",IF(AND($B161&lt;&gt;"",COUNTIFS('2. Soil Data'!$B$5:$B$604,$B161)=0),"Core ID not found in Soil Data, so the corer diameter cannot be looked up. ","")&amp;IF(ASH_CORRECTED&lt;&gt;"Yes","Root mass is NOT ash-corrected, so it includes adhering mineral soil and is too high. Set ASH_CORRECTED once you have done it. ","")&amp;IF(AND(ASH_CORRECTED="Yes",NOT(ISNUMBER($H161))),"Ash correction is switched on but no ash fraction is given for this row. ","")&amp;IF($I161="","Sieve mesh not recorded — a fine-root figure cannot be interpreted without it. ","")&amp;IF(AND(ISNUMBER($H161),$H161&gt;0.5),"Ash fraction above 0.5 — over half this sample was mineral soil. Re-wash. ","")&amp;IF($F161="Not separated","Live and dead not separated. Fine for a stock, but "&amp;"note it in reporting. ",""))</f>
        <v/>
      </c>
      <c r="P161" s="6" t="n"/>
      <c r="Q161" s="9">
        <f>IF($B161="",0,IF(COUNTIFS($B$5:$B161,$B161)=1,1,0))</f>
        <v/>
      </c>
    </row>
    <row r="162">
      <c r="A162" s="6" t="n"/>
      <c r="B162" s="6" t="n"/>
      <c r="C162" s="6" t="n"/>
      <c r="D162" s="6" t="n"/>
      <c r="E162" s="6" t="n"/>
      <c r="F162" s="6" t="n"/>
      <c r="G162" s="7" t="n"/>
      <c r="H162" s="7" t="n"/>
      <c r="I162" s="6" t="n"/>
      <c r="J162" s="9">
        <f>IF(NOT(ISNUMBER($G162)),"",IF(AND(ASH_CORRECTED="Yes",ISNUMBER($H162)),$G162*(1-$H162),$G162))</f>
        <v/>
      </c>
      <c r="K162" s="9">
        <f>IF($B162="","",IFERROR(AVERAGEIFS('2. Soil Data'!$G$5:$G$604,'2. Soil Data'!$B$5:$B$604,$B162),""))</f>
        <v/>
      </c>
      <c r="L162" s="9">
        <f>IF(NOT(ISNUMBER($K162)),"",PI()*($K162/2)^2)</f>
        <v/>
      </c>
      <c r="M162" s="9">
        <f>IF(OR(NOT(ISNUMBER($J162)),NOT(ISNUMBER($L162)),$L162=0),"",$J162/$L162*10000)</f>
        <v/>
      </c>
      <c r="N162" s="9">
        <f>IF(NOT(ISNUMBER($M162)),"",$M162*CARBON_FRACTION_ROOT/1000)</f>
        <v/>
      </c>
      <c r="O162" s="11">
        <f>IF(AND($A162="",$B162="",$G162=""),"",IF(AND($B162&lt;&gt;"",COUNTIFS('2. Soil Data'!$B$5:$B$604,$B162)=0),"Core ID not found in Soil Data, so the corer diameter cannot be looked up. ","")&amp;IF(ASH_CORRECTED&lt;&gt;"Yes","Root mass is NOT ash-corrected, so it includes adhering mineral soil and is too high. Set ASH_CORRECTED once you have done it. ","")&amp;IF(AND(ASH_CORRECTED="Yes",NOT(ISNUMBER($H162))),"Ash correction is switched on but no ash fraction is given for this row. ","")&amp;IF($I162="","Sieve mesh not recorded — a fine-root figure cannot be interpreted without it. ","")&amp;IF(AND(ISNUMBER($H162),$H162&gt;0.5),"Ash fraction above 0.5 — over half this sample was mineral soil. Re-wash. ","")&amp;IF($F162="Not separated","Live and dead not separated. Fine for a stock, but "&amp;"note it in reporting. ",""))</f>
        <v/>
      </c>
      <c r="P162" s="6" t="n"/>
      <c r="Q162" s="9">
        <f>IF($B162="",0,IF(COUNTIFS($B$5:$B162,$B162)=1,1,0))</f>
        <v/>
      </c>
    </row>
    <row r="163">
      <c r="A163" s="6" t="n"/>
      <c r="B163" s="6" t="n"/>
      <c r="C163" s="6" t="n"/>
      <c r="D163" s="6" t="n"/>
      <c r="E163" s="6" t="n"/>
      <c r="F163" s="6" t="n"/>
      <c r="G163" s="7" t="n"/>
      <c r="H163" s="7" t="n"/>
      <c r="I163" s="6" t="n"/>
      <c r="J163" s="9">
        <f>IF(NOT(ISNUMBER($G163)),"",IF(AND(ASH_CORRECTED="Yes",ISNUMBER($H163)),$G163*(1-$H163),$G163))</f>
        <v/>
      </c>
      <c r="K163" s="9">
        <f>IF($B163="","",IFERROR(AVERAGEIFS('2. Soil Data'!$G$5:$G$604,'2. Soil Data'!$B$5:$B$604,$B163),""))</f>
        <v/>
      </c>
      <c r="L163" s="9">
        <f>IF(NOT(ISNUMBER($K163)),"",PI()*($K163/2)^2)</f>
        <v/>
      </c>
      <c r="M163" s="9">
        <f>IF(OR(NOT(ISNUMBER($J163)),NOT(ISNUMBER($L163)),$L163=0),"",$J163/$L163*10000)</f>
        <v/>
      </c>
      <c r="N163" s="9">
        <f>IF(NOT(ISNUMBER($M163)),"",$M163*CARBON_FRACTION_ROOT/1000)</f>
        <v/>
      </c>
      <c r="O163" s="11">
        <f>IF(AND($A163="",$B163="",$G163=""),"",IF(AND($B163&lt;&gt;"",COUNTIFS('2. Soil Data'!$B$5:$B$604,$B163)=0),"Core ID not found in Soil Data, so the corer diameter cannot be looked up. ","")&amp;IF(ASH_CORRECTED&lt;&gt;"Yes","Root mass is NOT ash-corrected, so it includes adhering mineral soil and is too high. Set ASH_CORRECTED once you have done it. ","")&amp;IF(AND(ASH_CORRECTED="Yes",NOT(ISNUMBER($H163))),"Ash correction is switched on but no ash fraction is given for this row. ","")&amp;IF($I163="","Sieve mesh not recorded — a fine-root figure cannot be interpreted without it. ","")&amp;IF(AND(ISNUMBER($H163),$H163&gt;0.5),"Ash fraction above 0.5 — over half this sample was mineral soil. Re-wash. ","")&amp;IF($F163="Not separated","Live and dead not separated. Fine for a stock, but "&amp;"note it in reporting. ",""))</f>
        <v/>
      </c>
      <c r="P163" s="6" t="n"/>
      <c r="Q163" s="9">
        <f>IF($B163="",0,IF(COUNTIFS($B$5:$B163,$B163)=1,1,0))</f>
        <v/>
      </c>
    </row>
    <row r="164">
      <c r="A164" s="6" t="n"/>
      <c r="B164" s="6" t="n"/>
      <c r="C164" s="6" t="n"/>
      <c r="D164" s="6" t="n"/>
      <c r="E164" s="6" t="n"/>
      <c r="F164" s="6" t="n"/>
      <c r="G164" s="7" t="n"/>
      <c r="H164" s="7" t="n"/>
      <c r="I164" s="6" t="n"/>
      <c r="J164" s="9">
        <f>IF(NOT(ISNUMBER($G164)),"",IF(AND(ASH_CORRECTED="Yes",ISNUMBER($H164)),$G164*(1-$H164),$G164))</f>
        <v/>
      </c>
      <c r="K164" s="9">
        <f>IF($B164="","",IFERROR(AVERAGEIFS('2. Soil Data'!$G$5:$G$604,'2. Soil Data'!$B$5:$B$604,$B164),""))</f>
        <v/>
      </c>
      <c r="L164" s="9">
        <f>IF(NOT(ISNUMBER($K164)),"",PI()*($K164/2)^2)</f>
        <v/>
      </c>
      <c r="M164" s="9">
        <f>IF(OR(NOT(ISNUMBER($J164)),NOT(ISNUMBER($L164)),$L164=0),"",$J164/$L164*10000)</f>
        <v/>
      </c>
      <c r="N164" s="9">
        <f>IF(NOT(ISNUMBER($M164)),"",$M164*CARBON_FRACTION_ROOT/1000)</f>
        <v/>
      </c>
      <c r="O164" s="11">
        <f>IF(AND($A164="",$B164="",$G164=""),"",IF(AND($B164&lt;&gt;"",COUNTIFS('2. Soil Data'!$B$5:$B$604,$B164)=0),"Core ID not found in Soil Data, so the corer diameter cannot be looked up. ","")&amp;IF(ASH_CORRECTED&lt;&gt;"Yes","Root mass is NOT ash-corrected, so it includes adhering mineral soil and is too high. Set ASH_CORRECTED once you have done it. ","")&amp;IF(AND(ASH_CORRECTED="Yes",NOT(ISNUMBER($H164))),"Ash correction is switched on but no ash fraction is given for this row. ","")&amp;IF($I164="","Sieve mesh not recorded — a fine-root figure cannot be interpreted without it. ","")&amp;IF(AND(ISNUMBER($H164),$H164&gt;0.5),"Ash fraction above 0.5 — over half this sample was mineral soil. Re-wash. ","")&amp;IF($F164="Not separated","Live and dead not separated. Fine for a stock, but "&amp;"note it in reporting. ",""))</f>
        <v/>
      </c>
      <c r="P164" s="6" t="n"/>
      <c r="Q164" s="9">
        <f>IF($B164="",0,IF(COUNTIFS($B$5:$B164,$B164)=1,1,0))</f>
        <v/>
      </c>
    </row>
    <row r="165">
      <c r="A165" s="6" t="n"/>
      <c r="B165" s="6" t="n"/>
      <c r="C165" s="6" t="n"/>
      <c r="D165" s="6" t="n"/>
      <c r="E165" s="6" t="n"/>
      <c r="F165" s="6" t="n"/>
      <c r="G165" s="7" t="n"/>
      <c r="H165" s="7" t="n"/>
      <c r="I165" s="6" t="n"/>
      <c r="J165" s="9">
        <f>IF(NOT(ISNUMBER($G165)),"",IF(AND(ASH_CORRECTED="Yes",ISNUMBER($H165)),$G165*(1-$H165),$G165))</f>
        <v/>
      </c>
      <c r="K165" s="9">
        <f>IF($B165="","",IFERROR(AVERAGEIFS('2. Soil Data'!$G$5:$G$604,'2. Soil Data'!$B$5:$B$604,$B165),""))</f>
        <v/>
      </c>
      <c r="L165" s="9">
        <f>IF(NOT(ISNUMBER($K165)),"",PI()*($K165/2)^2)</f>
        <v/>
      </c>
      <c r="M165" s="9">
        <f>IF(OR(NOT(ISNUMBER($J165)),NOT(ISNUMBER($L165)),$L165=0),"",$J165/$L165*10000)</f>
        <v/>
      </c>
      <c r="N165" s="9">
        <f>IF(NOT(ISNUMBER($M165)),"",$M165*CARBON_FRACTION_ROOT/1000)</f>
        <v/>
      </c>
      <c r="O165" s="11">
        <f>IF(AND($A165="",$B165="",$G165=""),"",IF(AND($B165&lt;&gt;"",COUNTIFS('2. Soil Data'!$B$5:$B$604,$B165)=0),"Core ID not found in Soil Data, so the corer diameter cannot be looked up. ","")&amp;IF(ASH_CORRECTED&lt;&gt;"Yes","Root mass is NOT ash-corrected, so it includes adhering mineral soil and is too high. Set ASH_CORRECTED once you have done it. ","")&amp;IF(AND(ASH_CORRECTED="Yes",NOT(ISNUMBER($H165))),"Ash correction is switched on but no ash fraction is given for this row. ","")&amp;IF($I165="","Sieve mesh not recorded — a fine-root figure cannot be interpreted without it. ","")&amp;IF(AND(ISNUMBER($H165),$H165&gt;0.5),"Ash fraction above 0.5 — over half this sample was mineral soil. Re-wash. ","")&amp;IF($F165="Not separated","Live and dead not separated. Fine for a stock, but "&amp;"note it in reporting. ",""))</f>
        <v/>
      </c>
      <c r="P165" s="6" t="n"/>
      <c r="Q165" s="9">
        <f>IF($B165="",0,IF(COUNTIFS($B$5:$B165,$B165)=1,1,0))</f>
        <v/>
      </c>
    </row>
    <row r="166">
      <c r="A166" s="6" t="n"/>
      <c r="B166" s="6" t="n"/>
      <c r="C166" s="6" t="n"/>
      <c r="D166" s="6" t="n"/>
      <c r="E166" s="6" t="n"/>
      <c r="F166" s="6" t="n"/>
      <c r="G166" s="7" t="n"/>
      <c r="H166" s="7" t="n"/>
      <c r="I166" s="6" t="n"/>
      <c r="J166" s="9">
        <f>IF(NOT(ISNUMBER($G166)),"",IF(AND(ASH_CORRECTED="Yes",ISNUMBER($H166)),$G166*(1-$H166),$G166))</f>
        <v/>
      </c>
      <c r="K166" s="9">
        <f>IF($B166="","",IFERROR(AVERAGEIFS('2. Soil Data'!$G$5:$G$604,'2. Soil Data'!$B$5:$B$604,$B166),""))</f>
        <v/>
      </c>
      <c r="L166" s="9">
        <f>IF(NOT(ISNUMBER($K166)),"",PI()*($K166/2)^2)</f>
        <v/>
      </c>
      <c r="M166" s="9">
        <f>IF(OR(NOT(ISNUMBER($J166)),NOT(ISNUMBER($L166)),$L166=0),"",$J166/$L166*10000)</f>
        <v/>
      </c>
      <c r="N166" s="9">
        <f>IF(NOT(ISNUMBER($M166)),"",$M166*CARBON_FRACTION_ROOT/1000)</f>
        <v/>
      </c>
      <c r="O166" s="11">
        <f>IF(AND($A166="",$B166="",$G166=""),"",IF(AND($B166&lt;&gt;"",COUNTIFS('2. Soil Data'!$B$5:$B$604,$B166)=0),"Core ID not found in Soil Data, so the corer diameter cannot be looked up. ","")&amp;IF(ASH_CORRECTED&lt;&gt;"Yes","Root mass is NOT ash-corrected, so it includes adhering mineral soil and is too high. Set ASH_CORRECTED once you have done it. ","")&amp;IF(AND(ASH_CORRECTED="Yes",NOT(ISNUMBER($H166))),"Ash correction is switched on but no ash fraction is given for this row. ","")&amp;IF($I166="","Sieve mesh not recorded — a fine-root figure cannot be interpreted without it. ","")&amp;IF(AND(ISNUMBER($H166),$H166&gt;0.5),"Ash fraction above 0.5 — over half this sample was mineral soil. Re-wash. ","")&amp;IF($F166="Not separated","Live and dead not separated. Fine for a stock, but "&amp;"note it in reporting. ",""))</f>
        <v/>
      </c>
      <c r="P166" s="6" t="n"/>
      <c r="Q166" s="9">
        <f>IF($B166="",0,IF(COUNTIFS($B$5:$B166,$B166)=1,1,0))</f>
        <v/>
      </c>
    </row>
    <row r="167">
      <c r="A167" s="6" t="n"/>
      <c r="B167" s="6" t="n"/>
      <c r="C167" s="6" t="n"/>
      <c r="D167" s="6" t="n"/>
      <c r="E167" s="6" t="n"/>
      <c r="F167" s="6" t="n"/>
      <c r="G167" s="7" t="n"/>
      <c r="H167" s="7" t="n"/>
      <c r="I167" s="6" t="n"/>
      <c r="J167" s="9">
        <f>IF(NOT(ISNUMBER($G167)),"",IF(AND(ASH_CORRECTED="Yes",ISNUMBER($H167)),$G167*(1-$H167),$G167))</f>
        <v/>
      </c>
      <c r="K167" s="9">
        <f>IF($B167="","",IFERROR(AVERAGEIFS('2. Soil Data'!$G$5:$G$604,'2. Soil Data'!$B$5:$B$604,$B167),""))</f>
        <v/>
      </c>
      <c r="L167" s="9">
        <f>IF(NOT(ISNUMBER($K167)),"",PI()*($K167/2)^2)</f>
        <v/>
      </c>
      <c r="M167" s="9">
        <f>IF(OR(NOT(ISNUMBER($J167)),NOT(ISNUMBER($L167)),$L167=0),"",$J167/$L167*10000)</f>
        <v/>
      </c>
      <c r="N167" s="9">
        <f>IF(NOT(ISNUMBER($M167)),"",$M167*CARBON_FRACTION_ROOT/1000)</f>
        <v/>
      </c>
      <c r="O167" s="11">
        <f>IF(AND($A167="",$B167="",$G167=""),"",IF(AND($B167&lt;&gt;"",COUNTIFS('2. Soil Data'!$B$5:$B$604,$B167)=0),"Core ID not found in Soil Data, so the corer diameter cannot be looked up. ","")&amp;IF(ASH_CORRECTED&lt;&gt;"Yes","Root mass is NOT ash-corrected, so it includes adhering mineral soil and is too high. Set ASH_CORRECTED once you have done it. ","")&amp;IF(AND(ASH_CORRECTED="Yes",NOT(ISNUMBER($H167))),"Ash correction is switched on but no ash fraction is given for this row. ","")&amp;IF($I167="","Sieve mesh not recorded — a fine-root figure cannot be interpreted without it. ","")&amp;IF(AND(ISNUMBER($H167),$H167&gt;0.5),"Ash fraction above 0.5 — over half this sample was mineral soil. Re-wash. ","")&amp;IF($F167="Not separated","Live and dead not separated. Fine for a stock, but "&amp;"note it in reporting. ",""))</f>
        <v/>
      </c>
      <c r="P167" s="6" t="n"/>
      <c r="Q167" s="9">
        <f>IF($B167="",0,IF(COUNTIFS($B$5:$B167,$B167)=1,1,0))</f>
        <v/>
      </c>
    </row>
    <row r="168">
      <c r="A168" s="6" t="n"/>
      <c r="B168" s="6" t="n"/>
      <c r="C168" s="6" t="n"/>
      <c r="D168" s="6" t="n"/>
      <c r="E168" s="6" t="n"/>
      <c r="F168" s="6" t="n"/>
      <c r="G168" s="7" t="n"/>
      <c r="H168" s="7" t="n"/>
      <c r="I168" s="6" t="n"/>
      <c r="J168" s="9">
        <f>IF(NOT(ISNUMBER($G168)),"",IF(AND(ASH_CORRECTED="Yes",ISNUMBER($H168)),$G168*(1-$H168),$G168))</f>
        <v/>
      </c>
      <c r="K168" s="9">
        <f>IF($B168="","",IFERROR(AVERAGEIFS('2. Soil Data'!$G$5:$G$604,'2. Soil Data'!$B$5:$B$604,$B168),""))</f>
        <v/>
      </c>
      <c r="L168" s="9">
        <f>IF(NOT(ISNUMBER($K168)),"",PI()*($K168/2)^2)</f>
        <v/>
      </c>
      <c r="M168" s="9">
        <f>IF(OR(NOT(ISNUMBER($J168)),NOT(ISNUMBER($L168)),$L168=0),"",$J168/$L168*10000)</f>
        <v/>
      </c>
      <c r="N168" s="9">
        <f>IF(NOT(ISNUMBER($M168)),"",$M168*CARBON_FRACTION_ROOT/1000)</f>
        <v/>
      </c>
      <c r="O168" s="11">
        <f>IF(AND($A168="",$B168="",$G168=""),"",IF(AND($B168&lt;&gt;"",COUNTIFS('2. Soil Data'!$B$5:$B$604,$B168)=0),"Core ID not found in Soil Data, so the corer diameter cannot be looked up. ","")&amp;IF(ASH_CORRECTED&lt;&gt;"Yes","Root mass is NOT ash-corrected, so it includes adhering mineral soil and is too high. Set ASH_CORRECTED once you have done it. ","")&amp;IF(AND(ASH_CORRECTED="Yes",NOT(ISNUMBER($H168))),"Ash correction is switched on but no ash fraction is given for this row. ","")&amp;IF($I168="","Sieve mesh not recorded — a fine-root figure cannot be interpreted without it. ","")&amp;IF(AND(ISNUMBER($H168),$H168&gt;0.5),"Ash fraction above 0.5 — over half this sample was mineral soil. Re-wash. ","")&amp;IF($F168="Not separated","Live and dead not separated. Fine for a stock, but "&amp;"note it in reporting. ",""))</f>
        <v/>
      </c>
      <c r="P168" s="6" t="n"/>
      <c r="Q168" s="9">
        <f>IF($B168="",0,IF(COUNTIFS($B$5:$B168,$B168)=1,1,0))</f>
        <v/>
      </c>
    </row>
    <row r="169">
      <c r="A169" s="6" t="n"/>
      <c r="B169" s="6" t="n"/>
      <c r="C169" s="6" t="n"/>
      <c r="D169" s="6" t="n"/>
      <c r="E169" s="6" t="n"/>
      <c r="F169" s="6" t="n"/>
      <c r="G169" s="7" t="n"/>
      <c r="H169" s="7" t="n"/>
      <c r="I169" s="6" t="n"/>
      <c r="J169" s="9">
        <f>IF(NOT(ISNUMBER($G169)),"",IF(AND(ASH_CORRECTED="Yes",ISNUMBER($H169)),$G169*(1-$H169),$G169))</f>
        <v/>
      </c>
      <c r="K169" s="9">
        <f>IF($B169="","",IFERROR(AVERAGEIFS('2. Soil Data'!$G$5:$G$604,'2. Soil Data'!$B$5:$B$604,$B169),""))</f>
        <v/>
      </c>
      <c r="L169" s="9">
        <f>IF(NOT(ISNUMBER($K169)),"",PI()*($K169/2)^2)</f>
        <v/>
      </c>
      <c r="M169" s="9">
        <f>IF(OR(NOT(ISNUMBER($J169)),NOT(ISNUMBER($L169)),$L169=0),"",$J169/$L169*10000)</f>
        <v/>
      </c>
      <c r="N169" s="9">
        <f>IF(NOT(ISNUMBER($M169)),"",$M169*CARBON_FRACTION_ROOT/1000)</f>
        <v/>
      </c>
      <c r="O169" s="11">
        <f>IF(AND($A169="",$B169="",$G169=""),"",IF(AND($B169&lt;&gt;"",COUNTIFS('2. Soil Data'!$B$5:$B$604,$B169)=0),"Core ID not found in Soil Data, so the corer diameter cannot be looked up. ","")&amp;IF(ASH_CORRECTED&lt;&gt;"Yes","Root mass is NOT ash-corrected, so it includes adhering mineral soil and is too high. Set ASH_CORRECTED once you have done it. ","")&amp;IF(AND(ASH_CORRECTED="Yes",NOT(ISNUMBER($H169))),"Ash correction is switched on but no ash fraction is given for this row. ","")&amp;IF($I169="","Sieve mesh not recorded — a fine-root figure cannot be interpreted without it. ","")&amp;IF(AND(ISNUMBER($H169),$H169&gt;0.5),"Ash fraction above 0.5 — over half this sample was mineral soil. Re-wash. ","")&amp;IF($F169="Not separated","Live and dead not separated. Fine for a stock, but "&amp;"note it in reporting. ",""))</f>
        <v/>
      </c>
      <c r="P169" s="6" t="n"/>
      <c r="Q169" s="9">
        <f>IF($B169="",0,IF(COUNTIFS($B$5:$B169,$B169)=1,1,0))</f>
        <v/>
      </c>
    </row>
    <row r="170">
      <c r="A170" s="6" t="n"/>
      <c r="B170" s="6" t="n"/>
      <c r="C170" s="6" t="n"/>
      <c r="D170" s="6" t="n"/>
      <c r="E170" s="6" t="n"/>
      <c r="F170" s="6" t="n"/>
      <c r="G170" s="7" t="n"/>
      <c r="H170" s="7" t="n"/>
      <c r="I170" s="6" t="n"/>
      <c r="J170" s="9">
        <f>IF(NOT(ISNUMBER($G170)),"",IF(AND(ASH_CORRECTED="Yes",ISNUMBER($H170)),$G170*(1-$H170),$G170))</f>
        <v/>
      </c>
      <c r="K170" s="9">
        <f>IF($B170="","",IFERROR(AVERAGEIFS('2. Soil Data'!$G$5:$G$604,'2. Soil Data'!$B$5:$B$604,$B170),""))</f>
        <v/>
      </c>
      <c r="L170" s="9">
        <f>IF(NOT(ISNUMBER($K170)),"",PI()*($K170/2)^2)</f>
        <v/>
      </c>
      <c r="M170" s="9">
        <f>IF(OR(NOT(ISNUMBER($J170)),NOT(ISNUMBER($L170)),$L170=0),"",$J170/$L170*10000)</f>
        <v/>
      </c>
      <c r="N170" s="9">
        <f>IF(NOT(ISNUMBER($M170)),"",$M170*CARBON_FRACTION_ROOT/1000)</f>
        <v/>
      </c>
      <c r="O170" s="11">
        <f>IF(AND($A170="",$B170="",$G170=""),"",IF(AND($B170&lt;&gt;"",COUNTIFS('2. Soil Data'!$B$5:$B$604,$B170)=0),"Core ID not found in Soil Data, so the corer diameter cannot be looked up. ","")&amp;IF(ASH_CORRECTED&lt;&gt;"Yes","Root mass is NOT ash-corrected, so it includes adhering mineral soil and is too high. Set ASH_CORRECTED once you have done it. ","")&amp;IF(AND(ASH_CORRECTED="Yes",NOT(ISNUMBER($H170))),"Ash correction is switched on but no ash fraction is given for this row. ","")&amp;IF($I170="","Sieve mesh not recorded — a fine-root figure cannot be interpreted without it. ","")&amp;IF(AND(ISNUMBER($H170),$H170&gt;0.5),"Ash fraction above 0.5 — over half this sample was mineral soil. Re-wash. ","")&amp;IF($F170="Not separated","Live and dead not separated. Fine for a stock, but "&amp;"note it in reporting. ",""))</f>
        <v/>
      </c>
      <c r="P170" s="6" t="n"/>
      <c r="Q170" s="9">
        <f>IF($B170="",0,IF(COUNTIFS($B$5:$B170,$B170)=1,1,0))</f>
        <v/>
      </c>
    </row>
    <row r="171">
      <c r="A171" s="6" t="n"/>
      <c r="B171" s="6" t="n"/>
      <c r="C171" s="6" t="n"/>
      <c r="D171" s="6" t="n"/>
      <c r="E171" s="6" t="n"/>
      <c r="F171" s="6" t="n"/>
      <c r="G171" s="7" t="n"/>
      <c r="H171" s="7" t="n"/>
      <c r="I171" s="6" t="n"/>
      <c r="J171" s="9">
        <f>IF(NOT(ISNUMBER($G171)),"",IF(AND(ASH_CORRECTED="Yes",ISNUMBER($H171)),$G171*(1-$H171),$G171))</f>
        <v/>
      </c>
      <c r="K171" s="9">
        <f>IF($B171="","",IFERROR(AVERAGEIFS('2. Soil Data'!$G$5:$G$604,'2. Soil Data'!$B$5:$B$604,$B171),""))</f>
        <v/>
      </c>
      <c r="L171" s="9">
        <f>IF(NOT(ISNUMBER($K171)),"",PI()*($K171/2)^2)</f>
        <v/>
      </c>
      <c r="M171" s="9">
        <f>IF(OR(NOT(ISNUMBER($J171)),NOT(ISNUMBER($L171)),$L171=0),"",$J171/$L171*10000)</f>
        <v/>
      </c>
      <c r="N171" s="9">
        <f>IF(NOT(ISNUMBER($M171)),"",$M171*CARBON_FRACTION_ROOT/1000)</f>
        <v/>
      </c>
      <c r="O171" s="11">
        <f>IF(AND($A171="",$B171="",$G171=""),"",IF(AND($B171&lt;&gt;"",COUNTIFS('2. Soil Data'!$B$5:$B$604,$B171)=0),"Core ID not found in Soil Data, so the corer diameter cannot be looked up. ","")&amp;IF(ASH_CORRECTED&lt;&gt;"Yes","Root mass is NOT ash-corrected, so it includes adhering mineral soil and is too high. Set ASH_CORRECTED once you have done it. ","")&amp;IF(AND(ASH_CORRECTED="Yes",NOT(ISNUMBER($H171))),"Ash correction is switched on but no ash fraction is given for this row. ","")&amp;IF($I171="","Sieve mesh not recorded — a fine-root figure cannot be interpreted without it. ","")&amp;IF(AND(ISNUMBER($H171),$H171&gt;0.5),"Ash fraction above 0.5 — over half this sample was mineral soil. Re-wash. ","")&amp;IF($F171="Not separated","Live and dead not separated. Fine for a stock, but "&amp;"note it in reporting. ",""))</f>
        <v/>
      </c>
      <c r="P171" s="6" t="n"/>
      <c r="Q171" s="9">
        <f>IF($B171="",0,IF(COUNTIFS($B$5:$B171,$B171)=1,1,0))</f>
        <v/>
      </c>
    </row>
    <row r="172">
      <c r="A172" s="6" t="n"/>
      <c r="B172" s="6" t="n"/>
      <c r="C172" s="6" t="n"/>
      <c r="D172" s="6" t="n"/>
      <c r="E172" s="6" t="n"/>
      <c r="F172" s="6" t="n"/>
      <c r="G172" s="7" t="n"/>
      <c r="H172" s="7" t="n"/>
      <c r="I172" s="6" t="n"/>
      <c r="J172" s="9">
        <f>IF(NOT(ISNUMBER($G172)),"",IF(AND(ASH_CORRECTED="Yes",ISNUMBER($H172)),$G172*(1-$H172),$G172))</f>
        <v/>
      </c>
      <c r="K172" s="9">
        <f>IF($B172="","",IFERROR(AVERAGEIFS('2. Soil Data'!$G$5:$G$604,'2. Soil Data'!$B$5:$B$604,$B172),""))</f>
        <v/>
      </c>
      <c r="L172" s="9">
        <f>IF(NOT(ISNUMBER($K172)),"",PI()*($K172/2)^2)</f>
        <v/>
      </c>
      <c r="M172" s="9">
        <f>IF(OR(NOT(ISNUMBER($J172)),NOT(ISNUMBER($L172)),$L172=0),"",$J172/$L172*10000)</f>
        <v/>
      </c>
      <c r="N172" s="9">
        <f>IF(NOT(ISNUMBER($M172)),"",$M172*CARBON_FRACTION_ROOT/1000)</f>
        <v/>
      </c>
      <c r="O172" s="11">
        <f>IF(AND($A172="",$B172="",$G172=""),"",IF(AND($B172&lt;&gt;"",COUNTIFS('2. Soil Data'!$B$5:$B$604,$B172)=0),"Core ID not found in Soil Data, so the corer diameter cannot be looked up. ","")&amp;IF(ASH_CORRECTED&lt;&gt;"Yes","Root mass is NOT ash-corrected, so it includes adhering mineral soil and is too high. Set ASH_CORRECTED once you have done it. ","")&amp;IF(AND(ASH_CORRECTED="Yes",NOT(ISNUMBER($H172))),"Ash correction is switched on but no ash fraction is given for this row. ","")&amp;IF($I172="","Sieve mesh not recorded — a fine-root figure cannot be interpreted without it. ","")&amp;IF(AND(ISNUMBER($H172),$H172&gt;0.5),"Ash fraction above 0.5 — over half this sample was mineral soil. Re-wash. ","")&amp;IF($F172="Not separated","Live and dead not separated. Fine for a stock, but "&amp;"note it in reporting. ",""))</f>
        <v/>
      </c>
      <c r="P172" s="6" t="n"/>
      <c r="Q172" s="9">
        <f>IF($B172="",0,IF(COUNTIFS($B$5:$B172,$B172)=1,1,0))</f>
        <v/>
      </c>
    </row>
    <row r="173">
      <c r="A173" s="6" t="n"/>
      <c r="B173" s="6" t="n"/>
      <c r="C173" s="6" t="n"/>
      <c r="D173" s="6" t="n"/>
      <c r="E173" s="6" t="n"/>
      <c r="F173" s="6" t="n"/>
      <c r="G173" s="7" t="n"/>
      <c r="H173" s="7" t="n"/>
      <c r="I173" s="6" t="n"/>
      <c r="J173" s="9">
        <f>IF(NOT(ISNUMBER($G173)),"",IF(AND(ASH_CORRECTED="Yes",ISNUMBER($H173)),$G173*(1-$H173),$G173))</f>
        <v/>
      </c>
      <c r="K173" s="9">
        <f>IF($B173="","",IFERROR(AVERAGEIFS('2. Soil Data'!$G$5:$G$604,'2. Soil Data'!$B$5:$B$604,$B173),""))</f>
        <v/>
      </c>
      <c r="L173" s="9">
        <f>IF(NOT(ISNUMBER($K173)),"",PI()*($K173/2)^2)</f>
        <v/>
      </c>
      <c r="M173" s="9">
        <f>IF(OR(NOT(ISNUMBER($J173)),NOT(ISNUMBER($L173)),$L173=0),"",$J173/$L173*10000)</f>
        <v/>
      </c>
      <c r="N173" s="9">
        <f>IF(NOT(ISNUMBER($M173)),"",$M173*CARBON_FRACTION_ROOT/1000)</f>
        <v/>
      </c>
      <c r="O173" s="11">
        <f>IF(AND($A173="",$B173="",$G173=""),"",IF(AND($B173&lt;&gt;"",COUNTIFS('2. Soil Data'!$B$5:$B$604,$B173)=0),"Core ID not found in Soil Data, so the corer diameter cannot be looked up. ","")&amp;IF(ASH_CORRECTED&lt;&gt;"Yes","Root mass is NOT ash-corrected, so it includes adhering mineral soil and is too high. Set ASH_CORRECTED once you have done it. ","")&amp;IF(AND(ASH_CORRECTED="Yes",NOT(ISNUMBER($H173))),"Ash correction is switched on but no ash fraction is given for this row. ","")&amp;IF($I173="","Sieve mesh not recorded — a fine-root figure cannot be interpreted without it. ","")&amp;IF(AND(ISNUMBER($H173),$H173&gt;0.5),"Ash fraction above 0.5 — over half this sample was mineral soil. Re-wash. ","")&amp;IF($F173="Not separated","Live and dead not separated. Fine for a stock, but "&amp;"note it in reporting. ",""))</f>
        <v/>
      </c>
      <c r="P173" s="6" t="n"/>
      <c r="Q173" s="9">
        <f>IF($B173="",0,IF(COUNTIFS($B$5:$B173,$B173)=1,1,0))</f>
        <v/>
      </c>
    </row>
    <row r="174">
      <c r="A174" s="6" t="n"/>
      <c r="B174" s="6" t="n"/>
      <c r="C174" s="6" t="n"/>
      <c r="D174" s="6" t="n"/>
      <c r="E174" s="6" t="n"/>
      <c r="F174" s="6" t="n"/>
      <c r="G174" s="7" t="n"/>
      <c r="H174" s="7" t="n"/>
      <c r="I174" s="6" t="n"/>
      <c r="J174" s="9">
        <f>IF(NOT(ISNUMBER($G174)),"",IF(AND(ASH_CORRECTED="Yes",ISNUMBER($H174)),$G174*(1-$H174),$G174))</f>
        <v/>
      </c>
      <c r="K174" s="9">
        <f>IF($B174="","",IFERROR(AVERAGEIFS('2. Soil Data'!$G$5:$G$604,'2. Soil Data'!$B$5:$B$604,$B174),""))</f>
        <v/>
      </c>
      <c r="L174" s="9">
        <f>IF(NOT(ISNUMBER($K174)),"",PI()*($K174/2)^2)</f>
        <v/>
      </c>
      <c r="M174" s="9">
        <f>IF(OR(NOT(ISNUMBER($J174)),NOT(ISNUMBER($L174)),$L174=0),"",$J174/$L174*10000)</f>
        <v/>
      </c>
      <c r="N174" s="9">
        <f>IF(NOT(ISNUMBER($M174)),"",$M174*CARBON_FRACTION_ROOT/1000)</f>
        <v/>
      </c>
      <c r="O174" s="11">
        <f>IF(AND($A174="",$B174="",$G174=""),"",IF(AND($B174&lt;&gt;"",COUNTIFS('2. Soil Data'!$B$5:$B$604,$B174)=0),"Core ID not found in Soil Data, so the corer diameter cannot be looked up. ","")&amp;IF(ASH_CORRECTED&lt;&gt;"Yes","Root mass is NOT ash-corrected, so it includes adhering mineral soil and is too high. Set ASH_CORRECTED once you have done it. ","")&amp;IF(AND(ASH_CORRECTED="Yes",NOT(ISNUMBER($H174))),"Ash correction is switched on but no ash fraction is given for this row. ","")&amp;IF($I174="","Sieve mesh not recorded — a fine-root figure cannot be interpreted without it. ","")&amp;IF(AND(ISNUMBER($H174),$H174&gt;0.5),"Ash fraction above 0.5 — over half this sample was mineral soil. Re-wash. ","")&amp;IF($F174="Not separated","Live and dead not separated. Fine for a stock, but "&amp;"note it in reporting. ",""))</f>
        <v/>
      </c>
      <c r="P174" s="6" t="n"/>
      <c r="Q174" s="9">
        <f>IF($B174="",0,IF(COUNTIFS($B$5:$B174,$B174)=1,1,0))</f>
        <v/>
      </c>
    </row>
    <row r="175">
      <c r="A175" s="6" t="n"/>
      <c r="B175" s="6" t="n"/>
      <c r="C175" s="6" t="n"/>
      <c r="D175" s="6" t="n"/>
      <c r="E175" s="6" t="n"/>
      <c r="F175" s="6" t="n"/>
      <c r="G175" s="7" t="n"/>
      <c r="H175" s="7" t="n"/>
      <c r="I175" s="6" t="n"/>
      <c r="J175" s="9">
        <f>IF(NOT(ISNUMBER($G175)),"",IF(AND(ASH_CORRECTED="Yes",ISNUMBER($H175)),$G175*(1-$H175),$G175))</f>
        <v/>
      </c>
      <c r="K175" s="9">
        <f>IF($B175="","",IFERROR(AVERAGEIFS('2. Soil Data'!$G$5:$G$604,'2. Soil Data'!$B$5:$B$604,$B175),""))</f>
        <v/>
      </c>
      <c r="L175" s="9">
        <f>IF(NOT(ISNUMBER($K175)),"",PI()*($K175/2)^2)</f>
        <v/>
      </c>
      <c r="M175" s="9">
        <f>IF(OR(NOT(ISNUMBER($J175)),NOT(ISNUMBER($L175)),$L175=0),"",$J175/$L175*10000)</f>
        <v/>
      </c>
      <c r="N175" s="9">
        <f>IF(NOT(ISNUMBER($M175)),"",$M175*CARBON_FRACTION_ROOT/1000)</f>
        <v/>
      </c>
      <c r="O175" s="11">
        <f>IF(AND($A175="",$B175="",$G175=""),"",IF(AND($B175&lt;&gt;"",COUNTIFS('2. Soil Data'!$B$5:$B$604,$B175)=0),"Core ID not found in Soil Data, so the corer diameter cannot be looked up. ","")&amp;IF(ASH_CORRECTED&lt;&gt;"Yes","Root mass is NOT ash-corrected, so it includes adhering mineral soil and is too high. Set ASH_CORRECTED once you have done it. ","")&amp;IF(AND(ASH_CORRECTED="Yes",NOT(ISNUMBER($H175))),"Ash correction is switched on but no ash fraction is given for this row. ","")&amp;IF($I175="","Sieve mesh not recorded — a fine-root figure cannot be interpreted without it. ","")&amp;IF(AND(ISNUMBER($H175),$H175&gt;0.5),"Ash fraction above 0.5 — over half this sample was mineral soil. Re-wash. ","")&amp;IF($F175="Not separated","Live and dead not separated. Fine for a stock, but "&amp;"note it in reporting. ",""))</f>
        <v/>
      </c>
      <c r="P175" s="6" t="n"/>
      <c r="Q175" s="9">
        <f>IF($B175="",0,IF(COUNTIFS($B$5:$B175,$B175)=1,1,0))</f>
        <v/>
      </c>
    </row>
    <row r="176">
      <c r="A176" s="6" t="n"/>
      <c r="B176" s="6" t="n"/>
      <c r="C176" s="6" t="n"/>
      <c r="D176" s="6" t="n"/>
      <c r="E176" s="6" t="n"/>
      <c r="F176" s="6" t="n"/>
      <c r="G176" s="7" t="n"/>
      <c r="H176" s="7" t="n"/>
      <c r="I176" s="6" t="n"/>
      <c r="J176" s="9">
        <f>IF(NOT(ISNUMBER($G176)),"",IF(AND(ASH_CORRECTED="Yes",ISNUMBER($H176)),$G176*(1-$H176),$G176))</f>
        <v/>
      </c>
      <c r="K176" s="9">
        <f>IF($B176="","",IFERROR(AVERAGEIFS('2. Soil Data'!$G$5:$G$604,'2. Soil Data'!$B$5:$B$604,$B176),""))</f>
        <v/>
      </c>
      <c r="L176" s="9">
        <f>IF(NOT(ISNUMBER($K176)),"",PI()*($K176/2)^2)</f>
        <v/>
      </c>
      <c r="M176" s="9">
        <f>IF(OR(NOT(ISNUMBER($J176)),NOT(ISNUMBER($L176)),$L176=0),"",$J176/$L176*10000)</f>
        <v/>
      </c>
      <c r="N176" s="9">
        <f>IF(NOT(ISNUMBER($M176)),"",$M176*CARBON_FRACTION_ROOT/1000)</f>
        <v/>
      </c>
      <c r="O176" s="11">
        <f>IF(AND($A176="",$B176="",$G176=""),"",IF(AND($B176&lt;&gt;"",COUNTIFS('2. Soil Data'!$B$5:$B$604,$B176)=0),"Core ID not found in Soil Data, so the corer diameter cannot be looked up. ","")&amp;IF(ASH_CORRECTED&lt;&gt;"Yes","Root mass is NOT ash-corrected, so it includes adhering mineral soil and is too high. Set ASH_CORRECTED once you have done it. ","")&amp;IF(AND(ASH_CORRECTED="Yes",NOT(ISNUMBER($H176))),"Ash correction is switched on but no ash fraction is given for this row. ","")&amp;IF($I176="","Sieve mesh not recorded — a fine-root figure cannot be interpreted without it. ","")&amp;IF(AND(ISNUMBER($H176),$H176&gt;0.5),"Ash fraction above 0.5 — over half this sample was mineral soil. Re-wash. ","")&amp;IF($F176="Not separated","Live and dead not separated. Fine for a stock, but "&amp;"note it in reporting. ",""))</f>
        <v/>
      </c>
      <c r="P176" s="6" t="n"/>
      <c r="Q176" s="9">
        <f>IF($B176="",0,IF(COUNTIFS($B$5:$B176,$B176)=1,1,0))</f>
        <v/>
      </c>
    </row>
    <row r="177">
      <c r="A177" s="6" t="n"/>
      <c r="B177" s="6" t="n"/>
      <c r="C177" s="6" t="n"/>
      <c r="D177" s="6" t="n"/>
      <c r="E177" s="6" t="n"/>
      <c r="F177" s="6" t="n"/>
      <c r="G177" s="7" t="n"/>
      <c r="H177" s="7" t="n"/>
      <c r="I177" s="6" t="n"/>
      <c r="J177" s="9">
        <f>IF(NOT(ISNUMBER($G177)),"",IF(AND(ASH_CORRECTED="Yes",ISNUMBER($H177)),$G177*(1-$H177),$G177))</f>
        <v/>
      </c>
      <c r="K177" s="9">
        <f>IF($B177="","",IFERROR(AVERAGEIFS('2. Soil Data'!$G$5:$G$604,'2. Soil Data'!$B$5:$B$604,$B177),""))</f>
        <v/>
      </c>
      <c r="L177" s="9">
        <f>IF(NOT(ISNUMBER($K177)),"",PI()*($K177/2)^2)</f>
        <v/>
      </c>
      <c r="M177" s="9">
        <f>IF(OR(NOT(ISNUMBER($J177)),NOT(ISNUMBER($L177)),$L177=0),"",$J177/$L177*10000)</f>
        <v/>
      </c>
      <c r="N177" s="9">
        <f>IF(NOT(ISNUMBER($M177)),"",$M177*CARBON_FRACTION_ROOT/1000)</f>
        <v/>
      </c>
      <c r="O177" s="11">
        <f>IF(AND($A177="",$B177="",$G177=""),"",IF(AND($B177&lt;&gt;"",COUNTIFS('2. Soil Data'!$B$5:$B$604,$B177)=0),"Core ID not found in Soil Data, so the corer diameter cannot be looked up. ","")&amp;IF(ASH_CORRECTED&lt;&gt;"Yes","Root mass is NOT ash-corrected, so it includes adhering mineral soil and is too high. Set ASH_CORRECTED once you have done it. ","")&amp;IF(AND(ASH_CORRECTED="Yes",NOT(ISNUMBER($H177))),"Ash correction is switched on but no ash fraction is given for this row. ","")&amp;IF($I177="","Sieve mesh not recorded — a fine-root figure cannot be interpreted without it. ","")&amp;IF(AND(ISNUMBER($H177),$H177&gt;0.5),"Ash fraction above 0.5 — over half this sample was mineral soil. Re-wash. ","")&amp;IF($F177="Not separated","Live and dead not separated. Fine for a stock, but "&amp;"note it in reporting. ",""))</f>
        <v/>
      </c>
      <c r="P177" s="6" t="n"/>
      <c r="Q177" s="9">
        <f>IF($B177="",0,IF(COUNTIFS($B$5:$B177,$B177)=1,1,0))</f>
        <v/>
      </c>
    </row>
    <row r="178">
      <c r="A178" s="6" t="n"/>
      <c r="B178" s="6" t="n"/>
      <c r="C178" s="6" t="n"/>
      <c r="D178" s="6" t="n"/>
      <c r="E178" s="6" t="n"/>
      <c r="F178" s="6" t="n"/>
      <c r="G178" s="7" t="n"/>
      <c r="H178" s="7" t="n"/>
      <c r="I178" s="6" t="n"/>
      <c r="J178" s="9">
        <f>IF(NOT(ISNUMBER($G178)),"",IF(AND(ASH_CORRECTED="Yes",ISNUMBER($H178)),$G178*(1-$H178),$G178))</f>
        <v/>
      </c>
      <c r="K178" s="9">
        <f>IF($B178="","",IFERROR(AVERAGEIFS('2. Soil Data'!$G$5:$G$604,'2. Soil Data'!$B$5:$B$604,$B178),""))</f>
        <v/>
      </c>
      <c r="L178" s="9">
        <f>IF(NOT(ISNUMBER($K178)),"",PI()*($K178/2)^2)</f>
        <v/>
      </c>
      <c r="M178" s="9">
        <f>IF(OR(NOT(ISNUMBER($J178)),NOT(ISNUMBER($L178)),$L178=0),"",$J178/$L178*10000)</f>
        <v/>
      </c>
      <c r="N178" s="9">
        <f>IF(NOT(ISNUMBER($M178)),"",$M178*CARBON_FRACTION_ROOT/1000)</f>
        <v/>
      </c>
      <c r="O178" s="11">
        <f>IF(AND($A178="",$B178="",$G178=""),"",IF(AND($B178&lt;&gt;"",COUNTIFS('2. Soil Data'!$B$5:$B$604,$B178)=0),"Core ID not found in Soil Data, so the corer diameter cannot be looked up. ","")&amp;IF(ASH_CORRECTED&lt;&gt;"Yes","Root mass is NOT ash-corrected, so it includes adhering mineral soil and is too high. Set ASH_CORRECTED once you have done it. ","")&amp;IF(AND(ASH_CORRECTED="Yes",NOT(ISNUMBER($H178))),"Ash correction is switched on but no ash fraction is given for this row. ","")&amp;IF($I178="","Sieve mesh not recorded — a fine-root figure cannot be interpreted without it. ","")&amp;IF(AND(ISNUMBER($H178),$H178&gt;0.5),"Ash fraction above 0.5 — over half this sample was mineral soil. Re-wash. ","")&amp;IF($F178="Not separated","Live and dead not separated. Fine for a stock, but "&amp;"note it in reporting. ",""))</f>
        <v/>
      </c>
      <c r="P178" s="6" t="n"/>
      <c r="Q178" s="9">
        <f>IF($B178="",0,IF(COUNTIFS($B$5:$B178,$B178)=1,1,0))</f>
        <v/>
      </c>
    </row>
    <row r="179">
      <c r="A179" s="6" t="n"/>
      <c r="B179" s="6" t="n"/>
      <c r="C179" s="6" t="n"/>
      <c r="D179" s="6" t="n"/>
      <c r="E179" s="6" t="n"/>
      <c r="F179" s="6" t="n"/>
      <c r="G179" s="7" t="n"/>
      <c r="H179" s="7" t="n"/>
      <c r="I179" s="6" t="n"/>
      <c r="J179" s="9">
        <f>IF(NOT(ISNUMBER($G179)),"",IF(AND(ASH_CORRECTED="Yes",ISNUMBER($H179)),$G179*(1-$H179),$G179))</f>
        <v/>
      </c>
      <c r="K179" s="9">
        <f>IF($B179="","",IFERROR(AVERAGEIFS('2. Soil Data'!$G$5:$G$604,'2. Soil Data'!$B$5:$B$604,$B179),""))</f>
        <v/>
      </c>
      <c r="L179" s="9">
        <f>IF(NOT(ISNUMBER($K179)),"",PI()*($K179/2)^2)</f>
        <v/>
      </c>
      <c r="M179" s="9">
        <f>IF(OR(NOT(ISNUMBER($J179)),NOT(ISNUMBER($L179)),$L179=0),"",$J179/$L179*10000)</f>
        <v/>
      </c>
      <c r="N179" s="9">
        <f>IF(NOT(ISNUMBER($M179)),"",$M179*CARBON_FRACTION_ROOT/1000)</f>
        <v/>
      </c>
      <c r="O179" s="11">
        <f>IF(AND($A179="",$B179="",$G179=""),"",IF(AND($B179&lt;&gt;"",COUNTIFS('2. Soil Data'!$B$5:$B$604,$B179)=0),"Core ID not found in Soil Data, so the corer diameter cannot be looked up. ","")&amp;IF(ASH_CORRECTED&lt;&gt;"Yes","Root mass is NOT ash-corrected, so it includes adhering mineral soil and is too high. Set ASH_CORRECTED once you have done it. ","")&amp;IF(AND(ASH_CORRECTED="Yes",NOT(ISNUMBER($H179))),"Ash correction is switched on but no ash fraction is given for this row. ","")&amp;IF($I179="","Sieve mesh not recorded — a fine-root figure cannot be interpreted without it. ","")&amp;IF(AND(ISNUMBER($H179),$H179&gt;0.5),"Ash fraction above 0.5 — over half this sample was mineral soil. Re-wash. ","")&amp;IF($F179="Not separated","Live and dead not separated. Fine for a stock, but "&amp;"note it in reporting. ",""))</f>
        <v/>
      </c>
      <c r="P179" s="6" t="n"/>
      <c r="Q179" s="9">
        <f>IF($B179="",0,IF(COUNTIFS($B$5:$B179,$B179)=1,1,0))</f>
        <v/>
      </c>
    </row>
    <row r="180">
      <c r="A180" s="6" t="n"/>
      <c r="B180" s="6" t="n"/>
      <c r="C180" s="6" t="n"/>
      <c r="D180" s="6" t="n"/>
      <c r="E180" s="6" t="n"/>
      <c r="F180" s="6" t="n"/>
      <c r="G180" s="7" t="n"/>
      <c r="H180" s="7" t="n"/>
      <c r="I180" s="6" t="n"/>
      <c r="J180" s="9">
        <f>IF(NOT(ISNUMBER($G180)),"",IF(AND(ASH_CORRECTED="Yes",ISNUMBER($H180)),$G180*(1-$H180),$G180))</f>
        <v/>
      </c>
      <c r="K180" s="9">
        <f>IF($B180="","",IFERROR(AVERAGEIFS('2. Soil Data'!$G$5:$G$604,'2. Soil Data'!$B$5:$B$604,$B180),""))</f>
        <v/>
      </c>
      <c r="L180" s="9">
        <f>IF(NOT(ISNUMBER($K180)),"",PI()*($K180/2)^2)</f>
        <v/>
      </c>
      <c r="M180" s="9">
        <f>IF(OR(NOT(ISNUMBER($J180)),NOT(ISNUMBER($L180)),$L180=0),"",$J180/$L180*10000)</f>
        <v/>
      </c>
      <c r="N180" s="9">
        <f>IF(NOT(ISNUMBER($M180)),"",$M180*CARBON_FRACTION_ROOT/1000)</f>
        <v/>
      </c>
      <c r="O180" s="11">
        <f>IF(AND($A180="",$B180="",$G180=""),"",IF(AND($B180&lt;&gt;"",COUNTIFS('2. Soil Data'!$B$5:$B$604,$B180)=0),"Core ID not found in Soil Data, so the corer diameter cannot be looked up. ","")&amp;IF(ASH_CORRECTED&lt;&gt;"Yes","Root mass is NOT ash-corrected, so it includes adhering mineral soil and is too high. Set ASH_CORRECTED once you have done it. ","")&amp;IF(AND(ASH_CORRECTED="Yes",NOT(ISNUMBER($H180))),"Ash correction is switched on but no ash fraction is given for this row. ","")&amp;IF($I180="","Sieve mesh not recorded — a fine-root figure cannot be interpreted without it. ","")&amp;IF(AND(ISNUMBER($H180),$H180&gt;0.5),"Ash fraction above 0.5 — over half this sample was mineral soil. Re-wash. ","")&amp;IF($F180="Not separated","Live and dead not separated. Fine for a stock, but "&amp;"note it in reporting. ",""))</f>
        <v/>
      </c>
      <c r="P180" s="6" t="n"/>
      <c r="Q180" s="9">
        <f>IF($B180="",0,IF(COUNTIFS($B$5:$B180,$B180)=1,1,0))</f>
        <v/>
      </c>
    </row>
    <row r="181">
      <c r="A181" s="6" t="n"/>
      <c r="B181" s="6" t="n"/>
      <c r="C181" s="6" t="n"/>
      <c r="D181" s="6" t="n"/>
      <c r="E181" s="6" t="n"/>
      <c r="F181" s="6" t="n"/>
      <c r="G181" s="7" t="n"/>
      <c r="H181" s="7" t="n"/>
      <c r="I181" s="6" t="n"/>
      <c r="J181" s="9">
        <f>IF(NOT(ISNUMBER($G181)),"",IF(AND(ASH_CORRECTED="Yes",ISNUMBER($H181)),$G181*(1-$H181),$G181))</f>
        <v/>
      </c>
      <c r="K181" s="9">
        <f>IF($B181="","",IFERROR(AVERAGEIFS('2. Soil Data'!$G$5:$G$604,'2. Soil Data'!$B$5:$B$604,$B181),""))</f>
        <v/>
      </c>
      <c r="L181" s="9">
        <f>IF(NOT(ISNUMBER($K181)),"",PI()*($K181/2)^2)</f>
        <v/>
      </c>
      <c r="M181" s="9">
        <f>IF(OR(NOT(ISNUMBER($J181)),NOT(ISNUMBER($L181)),$L181=0),"",$J181/$L181*10000)</f>
        <v/>
      </c>
      <c r="N181" s="9">
        <f>IF(NOT(ISNUMBER($M181)),"",$M181*CARBON_FRACTION_ROOT/1000)</f>
        <v/>
      </c>
      <c r="O181" s="11">
        <f>IF(AND($A181="",$B181="",$G181=""),"",IF(AND($B181&lt;&gt;"",COUNTIFS('2. Soil Data'!$B$5:$B$604,$B181)=0),"Core ID not found in Soil Data, so the corer diameter cannot be looked up. ","")&amp;IF(ASH_CORRECTED&lt;&gt;"Yes","Root mass is NOT ash-corrected, so it includes adhering mineral soil and is too high. Set ASH_CORRECTED once you have done it. ","")&amp;IF(AND(ASH_CORRECTED="Yes",NOT(ISNUMBER($H181))),"Ash correction is switched on but no ash fraction is given for this row. ","")&amp;IF($I181="","Sieve mesh not recorded — a fine-root figure cannot be interpreted without it. ","")&amp;IF(AND(ISNUMBER($H181),$H181&gt;0.5),"Ash fraction above 0.5 — over half this sample was mineral soil. Re-wash. ","")&amp;IF($F181="Not separated","Live and dead not separated. Fine for a stock, but "&amp;"note it in reporting. ",""))</f>
        <v/>
      </c>
      <c r="P181" s="6" t="n"/>
      <c r="Q181" s="9">
        <f>IF($B181="",0,IF(COUNTIFS($B$5:$B181,$B181)=1,1,0))</f>
        <v/>
      </c>
    </row>
    <row r="182">
      <c r="A182" s="6" t="n"/>
      <c r="B182" s="6" t="n"/>
      <c r="C182" s="6" t="n"/>
      <c r="D182" s="6" t="n"/>
      <c r="E182" s="6" t="n"/>
      <c r="F182" s="6" t="n"/>
      <c r="G182" s="7" t="n"/>
      <c r="H182" s="7" t="n"/>
      <c r="I182" s="6" t="n"/>
      <c r="J182" s="9">
        <f>IF(NOT(ISNUMBER($G182)),"",IF(AND(ASH_CORRECTED="Yes",ISNUMBER($H182)),$G182*(1-$H182),$G182))</f>
        <v/>
      </c>
      <c r="K182" s="9">
        <f>IF($B182="","",IFERROR(AVERAGEIFS('2. Soil Data'!$G$5:$G$604,'2. Soil Data'!$B$5:$B$604,$B182),""))</f>
        <v/>
      </c>
      <c r="L182" s="9">
        <f>IF(NOT(ISNUMBER($K182)),"",PI()*($K182/2)^2)</f>
        <v/>
      </c>
      <c r="M182" s="9">
        <f>IF(OR(NOT(ISNUMBER($J182)),NOT(ISNUMBER($L182)),$L182=0),"",$J182/$L182*10000)</f>
        <v/>
      </c>
      <c r="N182" s="9">
        <f>IF(NOT(ISNUMBER($M182)),"",$M182*CARBON_FRACTION_ROOT/1000)</f>
        <v/>
      </c>
      <c r="O182" s="11">
        <f>IF(AND($A182="",$B182="",$G182=""),"",IF(AND($B182&lt;&gt;"",COUNTIFS('2. Soil Data'!$B$5:$B$604,$B182)=0),"Core ID not found in Soil Data, so the corer diameter cannot be looked up. ","")&amp;IF(ASH_CORRECTED&lt;&gt;"Yes","Root mass is NOT ash-corrected, so it includes adhering mineral soil and is too high. Set ASH_CORRECTED once you have done it. ","")&amp;IF(AND(ASH_CORRECTED="Yes",NOT(ISNUMBER($H182))),"Ash correction is switched on but no ash fraction is given for this row. ","")&amp;IF($I182="","Sieve mesh not recorded — a fine-root figure cannot be interpreted without it. ","")&amp;IF(AND(ISNUMBER($H182),$H182&gt;0.5),"Ash fraction above 0.5 — over half this sample was mineral soil. Re-wash. ","")&amp;IF($F182="Not separated","Live and dead not separated. Fine for a stock, but "&amp;"note it in reporting. ",""))</f>
        <v/>
      </c>
      <c r="P182" s="6" t="n"/>
      <c r="Q182" s="9">
        <f>IF($B182="",0,IF(COUNTIFS($B$5:$B182,$B182)=1,1,0))</f>
        <v/>
      </c>
    </row>
    <row r="183">
      <c r="A183" s="6" t="n"/>
      <c r="B183" s="6" t="n"/>
      <c r="C183" s="6" t="n"/>
      <c r="D183" s="6" t="n"/>
      <c r="E183" s="6" t="n"/>
      <c r="F183" s="6" t="n"/>
      <c r="G183" s="7" t="n"/>
      <c r="H183" s="7" t="n"/>
      <c r="I183" s="6" t="n"/>
      <c r="J183" s="9">
        <f>IF(NOT(ISNUMBER($G183)),"",IF(AND(ASH_CORRECTED="Yes",ISNUMBER($H183)),$G183*(1-$H183),$G183))</f>
        <v/>
      </c>
      <c r="K183" s="9">
        <f>IF($B183="","",IFERROR(AVERAGEIFS('2. Soil Data'!$G$5:$G$604,'2. Soil Data'!$B$5:$B$604,$B183),""))</f>
        <v/>
      </c>
      <c r="L183" s="9">
        <f>IF(NOT(ISNUMBER($K183)),"",PI()*($K183/2)^2)</f>
        <v/>
      </c>
      <c r="M183" s="9">
        <f>IF(OR(NOT(ISNUMBER($J183)),NOT(ISNUMBER($L183)),$L183=0),"",$J183/$L183*10000)</f>
        <v/>
      </c>
      <c r="N183" s="9">
        <f>IF(NOT(ISNUMBER($M183)),"",$M183*CARBON_FRACTION_ROOT/1000)</f>
        <v/>
      </c>
      <c r="O183" s="11">
        <f>IF(AND($A183="",$B183="",$G183=""),"",IF(AND($B183&lt;&gt;"",COUNTIFS('2. Soil Data'!$B$5:$B$604,$B183)=0),"Core ID not found in Soil Data, so the corer diameter cannot be looked up. ","")&amp;IF(ASH_CORRECTED&lt;&gt;"Yes","Root mass is NOT ash-corrected, so it includes adhering mineral soil and is too high. Set ASH_CORRECTED once you have done it. ","")&amp;IF(AND(ASH_CORRECTED="Yes",NOT(ISNUMBER($H183))),"Ash correction is switched on but no ash fraction is given for this row. ","")&amp;IF($I183="","Sieve mesh not recorded — a fine-root figure cannot be interpreted without it. ","")&amp;IF(AND(ISNUMBER($H183),$H183&gt;0.5),"Ash fraction above 0.5 — over half this sample was mineral soil. Re-wash. ","")&amp;IF($F183="Not separated","Live and dead not separated. Fine for a stock, but "&amp;"note it in reporting. ",""))</f>
        <v/>
      </c>
      <c r="P183" s="6" t="n"/>
      <c r="Q183" s="9">
        <f>IF($B183="",0,IF(COUNTIFS($B$5:$B183,$B183)=1,1,0))</f>
        <v/>
      </c>
    </row>
    <row r="184">
      <c r="A184" s="6" t="n"/>
      <c r="B184" s="6" t="n"/>
      <c r="C184" s="6" t="n"/>
      <c r="D184" s="6" t="n"/>
      <c r="E184" s="6" t="n"/>
      <c r="F184" s="6" t="n"/>
      <c r="G184" s="7" t="n"/>
      <c r="H184" s="7" t="n"/>
      <c r="I184" s="6" t="n"/>
      <c r="J184" s="9">
        <f>IF(NOT(ISNUMBER($G184)),"",IF(AND(ASH_CORRECTED="Yes",ISNUMBER($H184)),$G184*(1-$H184),$G184))</f>
        <v/>
      </c>
      <c r="K184" s="9">
        <f>IF($B184="","",IFERROR(AVERAGEIFS('2. Soil Data'!$G$5:$G$604,'2. Soil Data'!$B$5:$B$604,$B184),""))</f>
        <v/>
      </c>
      <c r="L184" s="9">
        <f>IF(NOT(ISNUMBER($K184)),"",PI()*($K184/2)^2)</f>
        <v/>
      </c>
      <c r="M184" s="9">
        <f>IF(OR(NOT(ISNUMBER($J184)),NOT(ISNUMBER($L184)),$L184=0),"",$J184/$L184*10000)</f>
        <v/>
      </c>
      <c r="N184" s="9">
        <f>IF(NOT(ISNUMBER($M184)),"",$M184*CARBON_FRACTION_ROOT/1000)</f>
        <v/>
      </c>
      <c r="O184" s="11">
        <f>IF(AND($A184="",$B184="",$G184=""),"",IF(AND($B184&lt;&gt;"",COUNTIFS('2. Soil Data'!$B$5:$B$604,$B184)=0),"Core ID not found in Soil Data, so the corer diameter cannot be looked up. ","")&amp;IF(ASH_CORRECTED&lt;&gt;"Yes","Root mass is NOT ash-corrected, so it includes adhering mineral soil and is too high. Set ASH_CORRECTED once you have done it. ","")&amp;IF(AND(ASH_CORRECTED="Yes",NOT(ISNUMBER($H184))),"Ash correction is switched on but no ash fraction is given for this row. ","")&amp;IF($I184="","Sieve mesh not recorded — a fine-root figure cannot be interpreted without it. ","")&amp;IF(AND(ISNUMBER($H184),$H184&gt;0.5),"Ash fraction above 0.5 — over half this sample was mineral soil. Re-wash. ","")&amp;IF($F184="Not separated","Live and dead not separated. Fine for a stock, but "&amp;"note it in reporting. ",""))</f>
        <v/>
      </c>
      <c r="P184" s="6" t="n"/>
      <c r="Q184" s="9">
        <f>IF($B184="",0,IF(COUNTIFS($B$5:$B184,$B184)=1,1,0))</f>
        <v/>
      </c>
    </row>
    <row r="185">
      <c r="A185" s="6" t="n"/>
      <c r="B185" s="6" t="n"/>
      <c r="C185" s="6" t="n"/>
      <c r="D185" s="6" t="n"/>
      <c r="E185" s="6" t="n"/>
      <c r="F185" s="6" t="n"/>
      <c r="G185" s="7" t="n"/>
      <c r="H185" s="7" t="n"/>
      <c r="I185" s="6" t="n"/>
      <c r="J185" s="9">
        <f>IF(NOT(ISNUMBER($G185)),"",IF(AND(ASH_CORRECTED="Yes",ISNUMBER($H185)),$G185*(1-$H185),$G185))</f>
        <v/>
      </c>
      <c r="K185" s="9">
        <f>IF($B185="","",IFERROR(AVERAGEIFS('2. Soil Data'!$G$5:$G$604,'2. Soil Data'!$B$5:$B$604,$B185),""))</f>
        <v/>
      </c>
      <c r="L185" s="9">
        <f>IF(NOT(ISNUMBER($K185)),"",PI()*($K185/2)^2)</f>
        <v/>
      </c>
      <c r="M185" s="9">
        <f>IF(OR(NOT(ISNUMBER($J185)),NOT(ISNUMBER($L185)),$L185=0),"",$J185/$L185*10000)</f>
        <v/>
      </c>
      <c r="N185" s="9">
        <f>IF(NOT(ISNUMBER($M185)),"",$M185*CARBON_FRACTION_ROOT/1000)</f>
        <v/>
      </c>
      <c r="O185" s="11">
        <f>IF(AND($A185="",$B185="",$G185=""),"",IF(AND($B185&lt;&gt;"",COUNTIFS('2. Soil Data'!$B$5:$B$604,$B185)=0),"Core ID not found in Soil Data, so the corer diameter cannot be looked up. ","")&amp;IF(ASH_CORRECTED&lt;&gt;"Yes","Root mass is NOT ash-corrected, so it includes adhering mineral soil and is too high. Set ASH_CORRECTED once you have done it. ","")&amp;IF(AND(ASH_CORRECTED="Yes",NOT(ISNUMBER($H185))),"Ash correction is switched on but no ash fraction is given for this row. ","")&amp;IF($I185="","Sieve mesh not recorded — a fine-root figure cannot be interpreted without it. ","")&amp;IF(AND(ISNUMBER($H185),$H185&gt;0.5),"Ash fraction above 0.5 — over half this sample was mineral soil. Re-wash. ","")&amp;IF($F185="Not separated","Live and dead not separated. Fine for a stock, but "&amp;"note it in reporting. ",""))</f>
        <v/>
      </c>
      <c r="P185" s="6" t="n"/>
      <c r="Q185" s="9">
        <f>IF($B185="",0,IF(COUNTIFS($B$5:$B185,$B185)=1,1,0))</f>
        <v/>
      </c>
    </row>
    <row r="186">
      <c r="A186" s="6" t="n"/>
      <c r="B186" s="6" t="n"/>
      <c r="C186" s="6" t="n"/>
      <c r="D186" s="6" t="n"/>
      <c r="E186" s="6" t="n"/>
      <c r="F186" s="6" t="n"/>
      <c r="G186" s="7" t="n"/>
      <c r="H186" s="7" t="n"/>
      <c r="I186" s="6" t="n"/>
      <c r="J186" s="9">
        <f>IF(NOT(ISNUMBER($G186)),"",IF(AND(ASH_CORRECTED="Yes",ISNUMBER($H186)),$G186*(1-$H186),$G186))</f>
        <v/>
      </c>
      <c r="K186" s="9">
        <f>IF($B186="","",IFERROR(AVERAGEIFS('2. Soil Data'!$G$5:$G$604,'2. Soil Data'!$B$5:$B$604,$B186),""))</f>
        <v/>
      </c>
      <c r="L186" s="9">
        <f>IF(NOT(ISNUMBER($K186)),"",PI()*($K186/2)^2)</f>
        <v/>
      </c>
      <c r="M186" s="9">
        <f>IF(OR(NOT(ISNUMBER($J186)),NOT(ISNUMBER($L186)),$L186=0),"",$J186/$L186*10000)</f>
        <v/>
      </c>
      <c r="N186" s="9">
        <f>IF(NOT(ISNUMBER($M186)),"",$M186*CARBON_FRACTION_ROOT/1000)</f>
        <v/>
      </c>
      <c r="O186" s="11">
        <f>IF(AND($A186="",$B186="",$G186=""),"",IF(AND($B186&lt;&gt;"",COUNTIFS('2. Soil Data'!$B$5:$B$604,$B186)=0),"Core ID not found in Soil Data, so the corer diameter cannot be looked up. ","")&amp;IF(ASH_CORRECTED&lt;&gt;"Yes","Root mass is NOT ash-corrected, so it includes adhering mineral soil and is too high. Set ASH_CORRECTED once you have done it. ","")&amp;IF(AND(ASH_CORRECTED="Yes",NOT(ISNUMBER($H186))),"Ash correction is switched on but no ash fraction is given for this row. ","")&amp;IF($I186="","Sieve mesh not recorded — a fine-root figure cannot be interpreted without it. ","")&amp;IF(AND(ISNUMBER($H186),$H186&gt;0.5),"Ash fraction above 0.5 — over half this sample was mineral soil. Re-wash. ","")&amp;IF($F186="Not separated","Live and dead not separated. Fine for a stock, but "&amp;"note it in reporting. ",""))</f>
        <v/>
      </c>
      <c r="P186" s="6" t="n"/>
      <c r="Q186" s="9">
        <f>IF($B186="",0,IF(COUNTIFS($B$5:$B186,$B186)=1,1,0))</f>
        <v/>
      </c>
    </row>
    <row r="187">
      <c r="A187" s="6" t="n"/>
      <c r="B187" s="6" t="n"/>
      <c r="C187" s="6" t="n"/>
      <c r="D187" s="6" t="n"/>
      <c r="E187" s="6" t="n"/>
      <c r="F187" s="6" t="n"/>
      <c r="G187" s="7" t="n"/>
      <c r="H187" s="7" t="n"/>
      <c r="I187" s="6" t="n"/>
      <c r="J187" s="9">
        <f>IF(NOT(ISNUMBER($G187)),"",IF(AND(ASH_CORRECTED="Yes",ISNUMBER($H187)),$G187*(1-$H187),$G187))</f>
        <v/>
      </c>
      <c r="K187" s="9">
        <f>IF($B187="","",IFERROR(AVERAGEIFS('2. Soil Data'!$G$5:$G$604,'2. Soil Data'!$B$5:$B$604,$B187),""))</f>
        <v/>
      </c>
      <c r="L187" s="9">
        <f>IF(NOT(ISNUMBER($K187)),"",PI()*($K187/2)^2)</f>
        <v/>
      </c>
      <c r="M187" s="9">
        <f>IF(OR(NOT(ISNUMBER($J187)),NOT(ISNUMBER($L187)),$L187=0),"",$J187/$L187*10000)</f>
        <v/>
      </c>
      <c r="N187" s="9">
        <f>IF(NOT(ISNUMBER($M187)),"",$M187*CARBON_FRACTION_ROOT/1000)</f>
        <v/>
      </c>
      <c r="O187" s="11">
        <f>IF(AND($A187="",$B187="",$G187=""),"",IF(AND($B187&lt;&gt;"",COUNTIFS('2. Soil Data'!$B$5:$B$604,$B187)=0),"Core ID not found in Soil Data, so the corer diameter cannot be looked up. ","")&amp;IF(ASH_CORRECTED&lt;&gt;"Yes","Root mass is NOT ash-corrected, so it includes adhering mineral soil and is too high. Set ASH_CORRECTED once you have done it. ","")&amp;IF(AND(ASH_CORRECTED="Yes",NOT(ISNUMBER($H187))),"Ash correction is switched on but no ash fraction is given for this row. ","")&amp;IF($I187="","Sieve mesh not recorded — a fine-root figure cannot be interpreted without it. ","")&amp;IF(AND(ISNUMBER($H187),$H187&gt;0.5),"Ash fraction above 0.5 — over half this sample was mineral soil. Re-wash. ","")&amp;IF($F187="Not separated","Live and dead not separated. Fine for a stock, but "&amp;"note it in reporting. ",""))</f>
        <v/>
      </c>
      <c r="P187" s="6" t="n"/>
      <c r="Q187" s="9">
        <f>IF($B187="",0,IF(COUNTIFS($B$5:$B187,$B187)=1,1,0))</f>
        <v/>
      </c>
    </row>
    <row r="188">
      <c r="A188" s="6" t="n"/>
      <c r="B188" s="6" t="n"/>
      <c r="C188" s="6" t="n"/>
      <c r="D188" s="6" t="n"/>
      <c r="E188" s="6" t="n"/>
      <c r="F188" s="6" t="n"/>
      <c r="G188" s="7" t="n"/>
      <c r="H188" s="7" t="n"/>
      <c r="I188" s="6" t="n"/>
      <c r="J188" s="9">
        <f>IF(NOT(ISNUMBER($G188)),"",IF(AND(ASH_CORRECTED="Yes",ISNUMBER($H188)),$G188*(1-$H188),$G188))</f>
        <v/>
      </c>
      <c r="K188" s="9">
        <f>IF($B188="","",IFERROR(AVERAGEIFS('2. Soil Data'!$G$5:$G$604,'2. Soil Data'!$B$5:$B$604,$B188),""))</f>
        <v/>
      </c>
      <c r="L188" s="9">
        <f>IF(NOT(ISNUMBER($K188)),"",PI()*($K188/2)^2)</f>
        <v/>
      </c>
      <c r="M188" s="9">
        <f>IF(OR(NOT(ISNUMBER($J188)),NOT(ISNUMBER($L188)),$L188=0),"",$J188/$L188*10000)</f>
        <v/>
      </c>
      <c r="N188" s="9">
        <f>IF(NOT(ISNUMBER($M188)),"",$M188*CARBON_FRACTION_ROOT/1000)</f>
        <v/>
      </c>
      <c r="O188" s="11">
        <f>IF(AND($A188="",$B188="",$G188=""),"",IF(AND($B188&lt;&gt;"",COUNTIFS('2. Soil Data'!$B$5:$B$604,$B188)=0),"Core ID not found in Soil Data, so the corer diameter cannot be looked up. ","")&amp;IF(ASH_CORRECTED&lt;&gt;"Yes","Root mass is NOT ash-corrected, so it includes adhering mineral soil and is too high. Set ASH_CORRECTED once you have done it. ","")&amp;IF(AND(ASH_CORRECTED="Yes",NOT(ISNUMBER($H188))),"Ash correction is switched on but no ash fraction is given for this row. ","")&amp;IF($I188="","Sieve mesh not recorded — a fine-root figure cannot be interpreted without it. ","")&amp;IF(AND(ISNUMBER($H188),$H188&gt;0.5),"Ash fraction above 0.5 — over half this sample was mineral soil. Re-wash. ","")&amp;IF($F188="Not separated","Live and dead not separated. Fine for a stock, but "&amp;"note it in reporting. ",""))</f>
        <v/>
      </c>
      <c r="P188" s="6" t="n"/>
      <c r="Q188" s="9">
        <f>IF($B188="",0,IF(COUNTIFS($B$5:$B188,$B188)=1,1,0))</f>
        <v/>
      </c>
    </row>
    <row r="189">
      <c r="A189" s="6" t="n"/>
      <c r="B189" s="6" t="n"/>
      <c r="C189" s="6" t="n"/>
      <c r="D189" s="6" t="n"/>
      <c r="E189" s="6" t="n"/>
      <c r="F189" s="6" t="n"/>
      <c r="G189" s="7" t="n"/>
      <c r="H189" s="7" t="n"/>
      <c r="I189" s="6" t="n"/>
      <c r="J189" s="9">
        <f>IF(NOT(ISNUMBER($G189)),"",IF(AND(ASH_CORRECTED="Yes",ISNUMBER($H189)),$G189*(1-$H189),$G189))</f>
        <v/>
      </c>
      <c r="K189" s="9">
        <f>IF($B189="","",IFERROR(AVERAGEIFS('2. Soil Data'!$G$5:$G$604,'2. Soil Data'!$B$5:$B$604,$B189),""))</f>
        <v/>
      </c>
      <c r="L189" s="9">
        <f>IF(NOT(ISNUMBER($K189)),"",PI()*($K189/2)^2)</f>
        <v/>
      </c>
      <c r="M189" s="9">
        <f>IF(OR(NOT(ISNUMBER($J189)),NOT(ISNUMBER($L189)),$L189=0),"",$J189/$L189*10000)</f>
        <v/>
      </c>
      <c r="N189" s="9">
        <f>IF(NOT(ISNUMBER($M189)),"",$M189*CARBON_FRACTION_ROOT/1000)</f>
        <v/>
      </c>
      <c r="O189" s="11">
        <f>IF(AND($A189="",$B189="",$G189=""),"",IF(AND($B189&lt;&gt;"",COUNTIFS('2. Soil Data'!$B$5:$B$604,$B189)=0),"Core ID not found in Soil Data, so the corer diameter cannot be looked up. ","")&amp;IF(ASH_CORRECTED&lt;&gt;"Yes","Root mass is NOT ash-corrected, so it includes adhering mineral soil and is too high. Set ASH_CORRECTED once you have done it. ","")&amp;IF(AND(ASH_CORRECTED="Yes",NOT(ISNUMBER($H189))),"Ash correction is switched on but no ash fraction is given for this row. ","")&amp;IF($I189="","Sieve mesh not recorded — a fine-root figure cannot be interpreted without it. ","")&amp;IF(AND(ISNUMBER($H189),$H189&gt;0.5),"Ash fraction above 0.5 — over half this sample was mineral soil. Re-wash. ","")&amp;IF($F189="Not separated","Live and dead not separated. Fine for a stock, but "&amp;"note it in reporting. ",""))</f>
        <v/>
      </c>
      <c r="P189" s="6" t="n"/>
      <c r="Q189" s="9">
        <f>IF($B189="",0,IF(COUNTIFS($B$5:$B189,$B189)=1,1,0))</f>
        <v/>
      </c>
    </row>
    <row r="190">
      <c r="A190" s="6" t="n"/>
      <c r="B190" s="6" t="n"/>
      <c r="C190" s="6" t="n"/>
      <c r="D190" s="6" t="n"/>
      <c r="E190" s="6" t="n"/>
      <c r="F190" s="6" t="n"/>
      <c r="G190" s="7" t="n"/>
      <c r="H190" s="7" t="n"/>
      <c r="I190" s="6" t="n"/>
      <c r="J190" s="9">
        <f>IF(NOT(ISNUMBER($G190)),"",IF(AND(ASH_CORRECTED="Yes",ISNUMBER($H190)),$G190*(1-$H190),$G190))</f>
        <v/>
      </c>
      <c r="K190" s="9">
        <f>IF($B190="","",IFERROR(AVERAGEIFS('2. Soil Data'!$G$5:$G$604,'2. Soil Data'!$B$5:$B$604,$B190),""))</f>
        <v/>
      </c>
      <c r="L190" s="9">
        <f>IF(NOT(ISNUMBER($K190)),"",PI()*($K190/2)^2)</f>
        <v/>
      </c>
      <c r="M190" s="9">
        <f>IF(OR(NOT(ISNUMBER($J190)),NOT(ISNUMBER($L190)),$L190=0),"",$J190/$L190*10000)</f>
        <v/>
      </c>
      <c r="N190" s="9">
        <f>IF(NOT(ISNUMBER($M190)),"",$M190*CARBON_FRACTION_ROOT/1000)</f>
        <v/>
      </c>
      <c r="O190" s="11">
        <f>IF(AND($A190="",$B190="",$G190=""),"",IF(AND($B190&lt;&gt;"",COUNTIFS('2. Soil Data'!$B$5:$B$604,$B190)=0),"Core ID not found in Soil Data, so the corer diameter cannot be looked up. ","")&amp;IF(ASH_CORRECTED&lt;&gt;"Yes","Root mass is NOT ash-corrected, so it includes adhering mineral soil and is too high. Set ASH_CORRECTED once you have done it. ","")&amp;IF(AND(ASH_CORRECTED="Yes",NOT(ISNUMBER($H190))),"Ash correction is switched on but no ash fraction is given for this row. ","")&amp;IF($I190="","Sieve mesh not recorded — a fine-root figure cannot be interpreted without it. ","")&amp;IF(AND(ISNUMBER($H190),$H190&gt;0.5),"Ash fraction above 0.5 — over half this sample was mineral soil. Re-wash. ","")&amp;IF($F190="Not separated","Live and dead not separated. Fine for a stock, but "&amp;"note it in reporting. ",""))</f>
        <v/>
      </c>
      <c r="P190" s="6" t="n"/>
      <c r="Q190" s="9">
        <f>IF($B190="",0,IF(COUNTIFS($B$5:$B190,$B190)=1,1,0))</f>
        <v/>
      </c>
    </row>
    <row r="191">
      <c r="A191" s="6" t="n"/>
      <c r="B191" s="6" t="n"/>
      <c r="C191" s="6" t="n"/>
      <c r="D191" s="6" t="n"/>
      <c r="E191" s="6" t="n"/>
      <c r="F191" s="6" t="n"/>
      <c r="G191" s="7" t="n"/>
      <c r="H191" s="7" t="n"/>
      <c r="I191" s="6" t="n"/>
      <c r="J191" s="9">
        <f>IF(NOT(ISNUMBER($G191)),"",IF(AND(ASH_CORRECTED="Yes",ISNUMBER($H191)),$G191*(1-$H191),$G191))</f>
        <v/>
      </c>
      <c r="K191" s="9">
        <f>IF($B191="","",IFERROR(AVERAGEIFS('2. Soil Data'!$G$5:$G$604,'2. Soil Data'!$B$5:$B$604,$B191),""))</f>
        <v/>
      </c>
      <c r="L191" s="9">
        <f>IF(NOT(ISNUMBER($K191)),"",PI()*($K191/2)^2)</f>
        <v/>
      </c>
      <c r="M191" s="9">
        <f>IF(OR(NOT(ISNUMBER($J191)),NOT(ISNUMBER($L191)),$L191=0),"",$J191/$L191*10000)</f>
        <v/>
      </c>
      <c r="N191" s="9">
        <f>IF(NOT(ISNUMBER($M191)),"",$M191*CARBON_FRACTION_ROOT/1000)</f>
        <v/>
      </c>
      <c r="O191" s="11">
        <f>IF(AND($A191="",$B191="",$G191=""),"",IF(AND($B191&lt;&gt;"",COUNTIFS('2. Soil Data'!$B$5:$B$604,$B191)=0),"Core ID not found in Soil Data, so the corer diameter cannot be looked up. ","")&amp;IF(ASH_CORRECTED&lt;&gt;"Yes","Root mass is NOT ash-corrected, so it includes adhering mineral soil and is too high. Set ASH_CORRECTED once you have done it. ","")&amp;IF(AND(ASH_CORRECTED="Yes",NOT(ISNUMBER($H191))),"Ash correction is switched on but no ash fraction is given for this row. ","")&amp;IF($I191="","Sieve mesh not recorded — a fine-root figure cannot be interpreted without it. ","")&amp;IF(AND(ISNUMBER($H191),$H191&gt;0.5),"Ash fraction above 0.5 — over half this sample was mineral soil. Re-wash. ","")&amp;IF($F191="Not separated","Live and dead not separated. Fine for a stock, but "&amp;"note it in reporting. ",""))</f>
        <v/>
      </c>
      <c r="P191" s="6" t="n"/>
      <c r="Q191" s="9">
        <f>IF($B191="",0,IF(COUNTIFS($B$5:$B191,$B191)=1,1,0))</f>
        <v/>
      </c>
    </row>
    <row r="192">
      <c r="A192" s="6" t="n"/>
      <c r="B192" s="6" t="n"/>
      <c r="C192" s="6" t="n"/>
      <c r="D192" s="6" t="n"/>
      <c r="E192" s="6" t="n"/>
      <c r="F192" s="6" t="n"/>
      <c r="G192" s="7" t="n"/>
      <c r="H192" s="7" t="n"/>
      <c r="I192" s="6" t="n"/>
      <c r="J192" s="9">
        <f>IF(NOT(ISNUMBER($G192)),"",IF(AND(ASH_CORRECTED="Yes",ISNUMBER($H192)),$G192*(1-$H192),$G192))</f>
        <v/>
      </c>
      <c r="K192" s="9">
        <f>IF($B192="","",IFERROR(AVERAGEIFS('2. Soil Data'!$G$5:$G$604,'2. Soil Data'!$B$5:$B$604,$B192),""))</f>
        <v/>
      </c>
      <c r="L192" s="9">
        <f>IF(NOT(ISNUMBER($K192)),"",PI()*($K192/2)^2)</f>
        <v/>
      </c>
      <c r="M192" s="9">
        <f>IF(OR(NOT(ISNUMBER($J192)),NOT(ISNUMBER($L192)),$L192=0),"",$J192/$L192*10000)</f>
        <v/>
      </c>
      <c r="N192" s="9">
        <f>IF(NOT(ISNUMBER($M192)),"",$M192*CARBON_FRACTION_ROOT/1000)</f>
        <v/>
      </c>
      <c r="O192" s="11">
        <f>IF(AND($A192="",$B192="",$G192=""),"",IF(AND($B192&lt;&gt;"",COUNTIFS('2. Soil Data'!$B$5:$B$604,$B192)=0),"Core ID not found in Soil Data, so the corer diameter cannot be looked up. ","")&amp;IF(ASH_CORRECTED&lt;&gt;"Yes","Root mass is NOT ash-corrected, so it includes adhering mineral soil and is too high. Set ASH_CORRECTED once you have done it. ","")&amp;IF(AND(ASH_CORRECTED="Yes",NOT(ISNUMBER($H192))),"Ash correction is switched on but no ash fraction is given for this row. ","")&amp;IF($I192="","Sieve mesh not recorded — a fine-root figure cannot be interpreted without it. ","")&amp;IF(AND(ISNUMBER($H192),$H192&gt;0.5),"Ash fraction above 0.5 — over half this sample was mineral soil. Re-wash. ","")&amp;IF($F192="Not separated","Live and dead not separated. Fine for a stock, but "&amp;"note it in reporting. ",""))</f>
        <v/>
      </c>
      <c r="P192" s="6" t="n"/>
      <c r="Q192" s="9">
        <f>IF($B192="",0,IF(COUNTIFS($B$5:$B192,$B192)=1,1,0))</f>
        <v/>
      </c>
    </row>
    <row r="193">
      <c r="A193" s="6" t="n"/>
      <c r="B193" s="6" t="n"/>
      <c r="C193" s="6" t="n"/>
      <c r="D193" s="6" t="n"/>
      <c r="E193" s="6" t="n"/>
      <c r="F193" s="6" t="n"/>
      <c r="G193" s="7" t="n"/>
      <c r="H193" s="7" t="n"/>
      <c r="I193" s="6" t="n"/>
      <c r="J193" s="9">
        <f>IF(NOT(ISNUMBER($G193)),"",IF(AND(ASH_CORRECTED="Yes",ISNUMBER($H193)),$G193*(1-$H193),$G193))</f>
        <v/>
      </c>
      <c r="K193" s="9">
        <f>IF($B193="","",IFERROR(AVERAGEIFS('2. Soil Data'!$G$5:$G$604,'2. Soil Data'!$B$5:$B$604,$B193),""))</f>
        <v/>
      </c>
      <c r="L193" s="9">
        <f>IF(NOT(ISNUMBER($K193)),"",PI()*($K193/2)^2)</f>
        <v/>
      </c>
      <c r="M193" s="9">
        <f>IF(OR(NOT(ISNUMBER($J193)),NOT(ISNUMBER($L193)),$L193=0),"",$J193/$L193*10000)</f>
        <v/>
      </c>
      <c r="N193" s="9">
        <f>IF(NOT(ISNUMBER($M193)),"",$M193*CARBON_FRACTION_ROOT/1000)</f>
        <v/>
      </c>
      <c r="O193" s="11">
        <f>IF(AND($A193="",$B193="",$G193=""),"",IF(AND($B193&lt;&gt;"",COUNTIFS('2. Soil Data'!$B$5:$B$604,$B193)=0),"Core ID not found in Soil Data, so the corer diameter cannot be looked up. ","")&amp;IF(ASH_CORRECTED&lt;&gt;"Yes","Root mass is NOT ash-corrected, so it includes adhering mineral soil and is too high. Set ASH_CORRECTED once you have done it. ","")&amp;IF(AND(ASH_CORRECTED="Yes",NOT(ISNUMBER($H193))),"Ash correction is switched on but no ash fraction is given for this row. ","")&amp;IF($I193="","Sieve mesh not recorded — a fine-root figure cannot be interpreted without it. ","")&amp;IF(AND(ISNUMBER($H193),$H193&gt;0.5),"Ash fraction above 0.5 — over half this sample was mineral soil. Re-wash. ","")&amp;IF($F193="Not separated","Live and dead not separated. Fine for a stock, but "&amp;"note it in reporting. ",""))</f>
        <v/>
      </c>
      <c r="P193" s="6" t="n"/>
      <c r="Q193" s="9">
        <f>IF($B193="",0,IF(COUNTIFS($B$5:$B193,$B193)=1,1,0))</f>
        <v/>
      </c>
    </row>
    <row r="194">
      <c r="A194" s="6" t="n"/>
      <c r="B194" s="6" t="n"/>
      <c r="C194" s="6" t="n"/>
      <c r="D194" s="6" t="n"/>
      <c r="E194" s="6" t="n"/>
      <c r="F194" s="6" t="n"/>
      <c r="G194" s="7" t="n"/>
      <c r="H194" s="7" t="n"/>
      <c r="I194" s="6" t="n"/>
      <c r="J194" s="9">
        <f>IF(NOT(ISNUMBER($G194)),"",IF(AND(ASH_CORRECTED="Yes",ISNUMBER($H194)),$G194*(1-$H194),$G194))</f>
        <v/>
      </c>
      <c r="K194" s="9">
        <f>IF($B194="","",IFERROR(AVERAGEIFS('2. Soil Data'!$G$5:$G$604,'2. Soil Data'!$B$5:$B$604,$B194),""))</f>
        <v/>
      </c>
      <c r="L194" s="9">
        <f>IF(NOT(ISNUMBER($K194)),"",PI()*($K194/2)^2)</f>
        <v/>
      </c>
      <c r="M194" s="9">
        <f>IF(OR(NOT(ISNUMBER($J194)),NOT(ISNUMBER($L194)),$L194=0),"",$J194/$L194*10000)</f>
        <v/>
      </c>
      <c r="N194" s="9">
        <f>IF(NOT(ISNUMBER($M194)),"",$M194*CARBON_FRACTION_ROOT/1000)</f>
        <v/>
      </c>
      <c r="O194" s="11">
        <f>IF(AND($A194="",$B194="",$G194=""),"",IF(AND($B194&lt;&gt;"",COUNTIFS('2. Soil Data'!$B$5:$B$604,$B194)=0),"Core ID not found in Soil Data, so the corer diameter cannot be looked up. ","")&amp;IF(ASH_CORRECTED&lt;&gt;"Yes","Root mass is NOT ash-corrected, so it includes adhering mineral soil and is too high. Set ASH_CORRECTED once you have done it. ","")&amp;IF(AND(ASH_CORRECTED="Yes",NOT(ISNUMBER($H194))),"Ash correction is switched on but no ash fraction is given for this row. ","")&amp;IF($I194="","Sieve mesh not recorded — a fine-root figure cannot be interpreted without it. ","")&amp;IF(AND(ISNUMBER($H194),$H194&gt;0.5),"Ash fraction above 0.5 — over half this sample was mineral soil. Re-wash. ","")&amp;IF($F194="Not separated","Live and dead not separated. Fine for a stock, but "&amp;"note it in reporting. ",""))</f>
        <v/>
      </c>
      <c r="P194" s="6" t="n"/>
      <c r="Q194" s="9">
        <f>IF($B194="",0,IF(COUNTIFS($B$5:$B194,$B194)=1,1,0))</f>
        <v/>
      </c>
    </row>
    <row r="195">
      <c r="A195" s="6" t="n"/>
      <c r="B195" s="6" t="n"/>
      <c r="C195" s="6" t="n"/>
      <c r="D195" s="6" t="n"/>
      <c r="E195" s="6" t="n"/>
      <c r="F195" s="6" t="n"/>
      <c r="G195" s="7" t="n"/>
      <c r="H195" s="7" t="n"/>
      <c r="I195" s="6" t="n"/>
      <c r="J195" s="9">
        <f>IF(NOT(ISNUMBER($G195)),"",IF(AND(ASH_CORRECTED="Yes",ISNUMBER($H195)),$G195*(1-$H195),$G195))</f>
        <v/>
      </c>
      <c r="K195" s="9">
        <f>IF($B195="","",IFERROR(AVERAGEIFS('2. Soil Data'!$G$5:$G$604,'2. Soil Data'!$B$5:$B$604,$B195),""))</f>
        <v/>
      </c>
      <c r="L195" s="9">
        <f>IF(NOT(ISNUMBER($K195)),"",PI()*($K195/2)^2)</f>
        <v/>
      </c>
      <c r="M195" s="9">
        <f>IF(OR(NOT(ISNUMBER($J195)),NOT(ISNUMBER($L195)),$L195=0),"",$J195/$L195*10000)</f>
        <v/>
      </c>
      <c r="N195" s="9">
        <f>IF(NOT(ISNUMBER($M195)),"",$M195*CARBON_FRACTION_ROOT/1000)</f>
        <v/>
      </c>
      <c r="O195" s="11">
        <f>IF(AND($A195="",$B195="",$G195=""),"",IF(AND($B195&lt;&gt;"",COUNTIFS('2. Soil Data'!$B$5:$B$604,$B195)=0),"Core ID not found in Soil Data, so the corer diameter cannot be looked up. ","")&amp;IF(ASH_CORRECTED&lt;&gt;"Yes","Root mass is NOT ash-corrected, so it includes adhering mineral soil and is too high. Set ASH_CORRECTED once you have done it. ","")&amp;IF(AND(ASH_CORRECTED="Yes",NOT(ISNUMBER($H195))),"Ash correction is switched on but no ash fraction is given for this row. ","")&amp;IF($I195="","Sieve mesh not recorded — a fine-root figure cannot be interpreted without it. ","")&amp;IF(AND(ISNUMBER($H195),$H195&gt;0.5),"Ash fraction above 0.5 — over half this sample was mineral soil. Re-wash. ","")&amp;IF($F195="Not separated","Live and dead not separated. Fine for a stock, but "&amp;"note it in reporting. ",""))</f>
        <v/>
      </c>
      <c r="P195" s="6" t="n"/>
      <c r="Q195" s="9">
        <f>IF($B195="",0,IF(COUNTIFS($B$5:$B195,$B195)=1,1,0))</f>
        <v/>
      </c>
    </row>
    <row r="196">
      <c r="A196" s="6" t="n"/>
      <c r="B196" s="6" t="n"/>
      <c r="C196" s="6" t="n"/>
      <c r="D196" s="6" t="n"/>
      <c r="E196" s="6" t="n"/>
      <c r="F196" s="6" t="n"/>
      <c r="G196" s="7" t="n"/>
      <c r="H196" s="7" t="n"/>
      <c r="I196" s="6" t="n"/>
      <c r="J196" s="9">
        <f>IF(NOT(ISNUMBER($G196)),"",IF(AND(ASH_CORRECTED="Yes",ISNUMBER($H196)),$G196*(1-$H196),$G196))</f>
        <v/>
      </c>
      <c r="K196" s="9">
        <f>IF($B196="","",IFERROR(AVERAGEIFS('2. Soil Data'!$G$5:$G$604,'2. Soil Data'!$B$5:$B$604,$B196),""))</f>
        <v/>
      </c>
      <c r="L196" s="9">
        <f>IF(NOT(ISNUMBER($K196)),"",PI()*($K196/2)^2)</f>
        <v/>
      </c>
      <c r="M196" s="9">
        <f>IF(OR(NOT(ISNUMBER($J196)),NOT(ISNUMBER($L196)),$L196=0),"",$J196/$L196*10000)</f>
        <v/>
      </c>
      <c r="N196" s="9">
        <f>IF(NOT(ISNUMBER($M196)),"",$M196*CARBON_FRACTION_ROOT/1000)</f>
        <v/>
      </c>
      <c r="O196" s="11">
        <f>IF(AND($A196="",$B196="",$G196=""),"",IF(AND($B196&lt;&gt;"",COUNTIFS('2. Soil Data'!$B$5:$B$604,$B196)=0),"Core ID not found in Soil Data, so the corer diameter cannot be looked up. ","")&amp;IF(ASH_CORRECTED&lt;&gt;"Yes","Root mass is NOT ash-corrected, so it includes adhering mineral soil and is too high. Set ASH_CORRECTED once you have done it. ","")&amp;IF(AND(ASH_CORRECTED="Yes",NOT(ISNUMBER($H196))),"Ash correction is switched on but no ash fraction is given for this row. ","")&amp;IF($I196="","Sieve mesh not recorded — a fine-root figure cannot be interpreted without it. ","")&amp;IF(AND(ISNUMBER($H196),$H196&gt;0.5),"Ash fraction above 0.5 — over half this sample was mineral soil. Re-wash. ","")&amp;IF($F196="Not separated","Live and dead not separated. Fine for a stock, but "&amp;"note it in reporting. ",""))</f>
        <v/>
      </c>
      <c r="P196" s="6" t="n"/>
      <c r="Q196" s="9">
        <f>IF($B196="",0,IF(COUNTIFS($B$5:$B196,$B196)=1,1,0))</f>
        <v/>
      </c>
    </row>
    <row r="197">
      <c r="A197" s="6" t="n"/>
      <c r="B197" s="6" t="n"/>
      <c r="C197" s="6" t="n"/>
      <c r="D197" s="6" t="n"/>
      <c r="E197" s="6" t="n"/>
      <c r="F197" s="6" t="n"/>
      <c r="G197" s="7" t="n"/>
      <c r="H197" s="7" t="n"/>
      <c r="I197" s="6" t="n"/>
      <c r="J197" s="9">
        <f>IF(NOT(ISNUMBER($G197)),"",IF(AND(ASH_CORRECTED="Yes",ISNUMBER($H197)),$G197*(1-$H197),$G197))</f>
        <v/>
      </c>
      <c r="K197" s="9">
        <f>IF($B197="","",IFERROR(AVERAGEIFS('2. Soil Data'!$G$5:$G$604,'2. Soil Data'!$B$5:$B$604,$B197),""))</f>
        <v/>
      </c>
      <c r="L197" s="9">
        <f>IF(NOT(ISNUMBER($K197)),"",PI()*($K197/2)^2)</f>
        <v/>
      </c>
      <c r="M197" s="9">
        <f>IF(OR(NOT(ISNUMBER($J197)),NOT(ISNUMBER($L197)),$L197=0),"",$J197/$L197*10000)</f>
        <v/>
      </c>
      <c r="N197" s="9">
        <f>IF(NOT(ISNUMBER($M197)),"",$M197*CARBON_FRACTION_ROOT/1000)</f>
        <v/>
      </c>
      <c r="O197" s="11">
        <f>IF(AND($A197="",$B197="",$G197=""),"",IF(AND($B197&lt;&gt;"",COUNTIFS('2. Soil Data'!$B$5:$B$604,$B197)=0),"Core ID not found in Soil Data, so the corer diameter cannot be looked up. ","")&amp;IF(ASH_CORRECTED&lt;&gt;"Yes","Root mass is NOT ash-corrected, so it includes adhering mineral soil and is too high. Set ASH_CORRECTED once you have done it. ","")&amp;IF(AND(ASH_CORRECTED="Yes",NOT(ISNUMBER($H197))),"Ash correction is switched on but no ash fraction is given for this row. ","")&amp;IF($I197="","Sieve mesh not recorded — a fine-root figure cannot be interpreted without it. ","")&amp;IF(AND(ISNUMBER($H197),$H197&gt;0.5),"Ash fraction above 0.5 — over half this sample was mineral soil. Re-wash. ","")&amp;IF($F197="Not separated","Live and dead not separated. Fine for a stock, but "&amp;"note it in reporting. ",""))</f>
        <v/>
      </c>
      <c r="P197" s="6" t="n"/>
      <c r="Q197" s="9">
        <f>IF($B197="",0,IF(COUNTIFS($B$5:$B197,$B197)=1,1,0))</f>
        <v/>
      </c>
    </row>
    <row r="198">
      <c r="A198" s="6" t="n"/>
      <c r="B198" s="6" t="n"/>
      <c r="C198" s="6" t="n"/>
      <c r="D198" s="6" t="n"/>
      <c r="E198" s="6" t="n"/>
      <c r="F198" s="6" t="n"/>
      <c r="G198" s="7" t="n"/>
      <c r="H198" s="7" t="n"/>
      <c r="I198" s="6" t="n"/>
      <c r="J198" s="9">
        <f>IF(NOT(ISNUMBER($G198)),"",IF(AND(ASH_CORRECTED="Yes",ISNUMBER($H198)),$G198*(1-$H198),$G198))</f>
        <v/>
      </c>
      <c r="K198" s="9">
        <f>IF($B198="","",IFERROR(AVERAGEIFS('2. Soil Data'!$G$5:$G$604,'2. Soil Data'!$B$5:$B$604,$B198),""))</f>
        <v/>
      </c>
      <c r="L198" s="9">
        <f>IF(NOT(ISNUMBER($K198)),"",PI()*($K198/2)^2)</f>
        <v/>
      </c>
      <c r="M198" s="9">
        <f>IF(OR(NOT(ISNUMBER($J198)),NOT(ISNUMBER($L198)),$L198=0),"",$J198/$L198*10000)</f>
        <v/>
      </c>
      <c r="N198" s="9">
        <f>IF(NOT(ISNUMBER($M198)),"",$M198*CARBON_FRACTION_ROOT/1000)</f>
        <v/>
      </c>
      <c r="O198" s="11">
        <f>IF(AND($A198="",$B198="",$G198=""),"",IF(AND($B198&lt;&gt;"",COUNTIFS('2. Soil Data'!$B$5:$B$604,$B198)=0),"Core ID not found in Soil Data, so the corer diameter cannot be looked up. ","")&amp;IF(ASH_CORRECTED&lt;&gt;"Yes","Root mass is NOT ash-corrected, so it includes adhering mineral soil and is too high. Set ASH_CORRECTED once you have done it. ","")&amp;IF(AND(ASH_CORRECTED="Yes",NOT(ISNUMBER($H198))),"Ash correction is switched on but no ash fraction is given for this row. ","")&amp;IF($I198="","Sieve mesh not recorded — a fine-root figure cannot be interpreted without it. ","")&amp;IF(AND(ISNUMBER($H198),$H198&gt;0.5),"Ash fraction above 0.5 — over half this sample was mineral soil. Re-wash. ","")&amp;IF($F198="Not separated","Live and dead not separated. Fine for a stock, but "&amp;"note it in reporting. ",""))</f>
        <v/>
      </c>
      <c r="P198" s="6" t="n"/>
      <c r="Q198" s="9">
        <f>IF($B198="",0,IF(COUNTIFS($B$5:$B198,$B198)=1,1,0))</f>
        <v/>
      </c>
    </row>
    <row r="199">
      <c r="A199" s="6" t="n"/>
      <c r="B199" s="6" t="n"/>
      <c r="C199" s="6" t="n"/>
      <c r="D199" s="6" t="n"/>
      <c r="E199" s="6" t="n"/>
      <c r="F199" s="6" t="n"/>
      <c r="G199" s="7" t="n"/>
      <c r="H199" s="7" t="n"/>
      <c r="I199" s="6" t="n"/>
      <c r="J199" s="9">
        <f>IF(NOT(ISNUMBER($G199)),"",IF(AND(ASH_CORRECTED="Yes",ISNUMBER($H199)),$G199*(1-$H199),$G199))</f>
        <v/>
      </c>
      <c r="K199" s="9">
        <f>IF($B199="","",IFERROR(AVERAGEIFS('2. Soil Data'!$G$5:$G$604,'2. Soil Data'!$B$5:$B$604,$B199),""))</f>
        <v/>
      </c>
      <c r="L199" s="9">
        <f>IF(NOT(ISNUMBER($K199)),"",PI()*($K199/2)^2)</f>
        <v/>
      </c>
      <c r="M199" s="9">
        <f>IF(OR(NOT(ISNUMBER($J199)),NOT(ISNUMBER($L199)),$L199=0),"",$J199/$L199*10000)</f>
        <v/>
      </c>
      <c r="N199" s="9">
        <f>IF(NOT(ISNUMBER($M199)),"",$M199*CARBON_FRACTION_ROOT/1000)</f>
        <v/>
      </c>
      <c r="O199" s="11">
        <f>IF(AND($A199="",$B199="",$G199=""),"",IF(AND($B199&lt;&gt;"",COUNTIFS('2. Soil Data'!$B$5:$B$604,$B199)=0),"Core ID not found in Soil Data, so the corer diameter cannot be looked up. ","")&amp;IF(ASH_CORRECTED&lt;&gt;"Yes","Root mass is NOT ash-corrected, so it includes adhering mineral soil and is too high. Set ASH_CORRECTED once you have done it. ","")&amp;IF(AND(ASH_CORRECTED="Yes",NOT(ISNUMBER($H199))),"Ash correction is switched on but no ash fraction is given for this row. ","")&amp;IF($I199="","Sieve mesh not recorded — a fine-root figure cannot be interpreted without it. ","")&amp;IF(AND(ISNUMBER($H199),$H199&gt;0.5),"Ash fraction above 0.5 — over half this sample was mineral soil. Re-wash. ","")&amp;IF($F199="Not separated","Live and dead not separated. Fine for a stock, but "&amp;"note it in reporting. ",""))</f>
        <v/>
      </c>
      <c r="P199" s="6" t="n"/>
      <c r="Q199" s="9">
        <f>IF($B199="",0,IF(COUNTIFS($B$5:$B199,$B199)=1,1,0))</f>
        <v/>
      </c>
    </row>
    <row r="200">
      <c r="A200" s="6" t="n"/>
      <c r="B200" s="6" t="n"/>
      <c r="C200" s="6" t="n"/>
      <c r="D200" s="6" t="n"/>
      <c r="E200" s="6" t="n"/>
      <c r="F200" s="6" t="n"/>
      <c r="G200" s="7" t="n"/>
      <c r="H200" s="7" t="n"/>
      <c r="I200" s="6" t="n"/>
      <c r="J200" s="9">
        <f>IF(NOT(ISNUMBER($G200)),"",IF(AND(ASH_CORRECTED="Yes",ISNUMBER($H200)),$G200*(1-$H200),$G200))</f>
        <v/>
      </c>
      <c r="K200" s="9">
        <f>IF($B200="","",IFERROR(AVERAGEIFS('2. Soil Data'!$G$5:$G$604,'2. Soil Data'!$B$5:$B$604,$B200),""))</f>
        <v/>
      </c>
      <c r="L200" s="9">
        <f>IF(NOT(ISNUMBER($K200)),"",PI()*($K200/2)^2)</f>
        <v/>
      </c>
      <c r="M200" s="9">
        <f>IF(OR(NOT(ISNUMBER($J200)),NOT(ISNUMBER($L200)),$L200=0),"",$J200/$L200*10000)</f>
        <v/>
      </c>
      <c r="N200" s="9">
        <f>IF(NOT(ISNUMBER($M200)),"",$M200*CARBON_FRACTION_ROOT/1000)</f>
        <v/>
      </c>
      <c r="O200" s="11">
        <f>IF(AND($A200="",$B200="",$G200=""),"",IF(AND($B200&lt;&gt;"",COUNTIFS('2. Soil Data'!$B$5:$B$604,$B200)=0),"Core ID not found in Soil Data, so the corer diameter cannot be looked up. ","")&amp;IF(ASH_CORRECTED&lt;&gt;"Yes","Root mass is NOT ash-corrected, so it includes adhering mineral soil and is too high. Set ASH_CORRECTED once you have done it. ","")&amp;IF(AND(ASH_CORRECTED="Yes",NOT(ISNUMBER($H200))),"Ash correction is switched on but no ash fraction is given for this row. ","")&amp;IF($I200="","Sieve mesh not recorded — a fine-root figure cannot be interpreted without it. ","")&amp;IF(AND(ISNUMBER($H200),$H200&gt;0.5),"Ash fraction above 0.5 — over half this sample was mineral soil. Re-wash. ","")&amp;IF($F200="Not separated","Live and dead not separated. Fine for a stock, but "&amp;"note it in reporting. ",""))</f>
        <v/>
      </c>
      <c r="P200" s="6" t="n"/>
      <c r="Q200" s="9">
        <f>IF($B200="",0,IF(COUNTIFS($B$5:$B200,$B200)=1,1,0))</f>
        <v/>
      </c>
    </row>
    <row r="201">
      <c r="A201" s="6" t="n"/>
      <c r="B201" s="6" t="n"/>
      <c r="C201" s="6" t="n"/>
      <c r="D201" s="6" t="n"/>
      <c r="E201" s="6" t="n"/>
      <c r="F201" s="6" t="n"/>
      <c r="G201" s="7" t="n"/>
      <c r="H201" s="7" t="n"/>
      <c r="I201" s="6" t="n"/>
      <c r="J201" s="9">
        <f>IF(NOT(ISNUMBER($G201)),"",IF(AND(ASH_CORRECTED="Yes",ISNUMBER($H201)),$G201*(1-$H201),$G201))</f>
        <v/>
      </c>
      <c r="K201" s="9">
        <f>IF($B201="","",IFERROR(AVERAGEIFS('2. Soil Data'!$G$5:$G$604,'2. Soil Data'!$B$5:$B$604,$B201),""))</f>
        <v/>
      </c>
      <c r="L201" s="9">
        <f>IF(NOT(ISNUMBER($K201)),"",PI()*($K201/2)^2)</f>
        <v/>
      </c>
      <c r="M201" s="9">
        <f>IF(OR(NOT(ISNUMBER($J201)),NOT(ISNUMBER($L201)),$L201=0),"",$J201/$L201*10000)</f>
        <v/>
      </c>
      <c r="N201" s="9">
        <f>IF(NOT(ISNUMBER($M201)),"",$M201*CARBON_FRACTION_ROOT/1000)</f>
        <v/>
      </c>
      <c r="O201" s="11">
        <f>IF(AND($A201="",$B201="",$G201=""),"",IF(AND($B201&lt;&gt;"",COUNTIFS('2. Soil Data'!$B$5:$B$604,$B201)=0),"Core ID not found in Soil Data, so the corer diameter cannot be looked up. ","")&amp;IF(ASH_CORRECTED&lt;&gt;"Yes","Root mass is NOT ash-corrected, so it includes adhering mineral soil and is too high. Set ASH_CORRECTED once you have done it. ","")&amp;IF(AND(ASH_CORRECTED="Yes",NOT(ISNUMBER($H201))),"Ash correction is switched on but no ash fraction is given for this row. ","")&amp;IF($I201="","Sieve mesh not recorded — a fine-root figure cannot be interpreted without it. ","")&amp;IF(AND(ISNUMBER($H201),$H201&gt;0.5),"Ash fraction above 0.5 — over half this sample was mineral soil. Re-wash. ","")&amp;IF($F201="Not separated","Live and dead not separated. Fine for a stock, but "&amp;"note it in reporting. ",""))</f>
        <v/>
      </c>
      <c r="P201" s="6" t="n"/>
      <c r="Q201" s="9">
        <f>IF($B201="",0,IF(COUNTIFS($B$5:$B201,$B201)=1,1,0))</f>
        <v/>
      </c>
    </row>
    <row r="202">
      <c r="A202" s="6" t="n"/>
      <c r="B202" s="6" t="n"/>
      <c r="C202" s="6" t="n"/>
      <c r="D202" s="6" t="n"/>
      <c r="E202" s="6" t="n"/>
      <c r="F202" s="6" t="n"/>
      <c r="G202" s="7" t="n"/>
      <c r="H202" s="7" t="n"/>
      <c r="I202" s="6" t="n"/>
      <c r="J202" s="9">
        <f>IF(NOT(ISNUMBER($G202)),"",IF(AND(ASH_CORRECTED="Yes",ISNUMBER($H202)),$G202*(1-$H202),$G202))</f>
        <v/>
      </c>
      <c r="K202" s="9">
        <f>IF($B202="","",IFERROR(AVERAGEIFS('2. Soil Data'!$G$5:$G$604,'2. Soil Data'!$B$5:$B$604,$B202),""))</f>
        <v/>
      </c>
      <c r="L202" s="9">
        <f>IF(NOT(ISNUMBER($K202)),"",PI()*($K202/2)^2)</f>
        <v/>
      </c>
      <c r="M202" s="9">
        <f>IF(OR(NOT(ISNUMBER($J202)),NOT(ISNUMBER($L202)),$L202=0),"",$J202/$L202*10000)</f>
        <v/>
      </c>
      <c r="N202" s="9">
        <f>IF(NOT(ISNUMBER($M202)),"",$M202*CARBON_FRACTION_ROOT/1000)</f>
        <v/>
      </c>
      <c r="O202" s="11">
        <f>IF(AND($A202="",$B202="",$G202=""),"",IF(AND($B202&lt;&gt;"",COUNTIFS('2. Soil Data'!$B$5:$B$604,$B202)=0),"Core ID not found in Soil Data, so the corer diameter cannot be looked up. ","")&amp;IF(ASH_CORRECTED&lt;&gt;"Yes","Root mass is NOT ash-corrected, so it includes adhering mineral soil and is too high. Set ASH_CORRECTED once you have done it. ","")&amp;IF(AND(ASH_CORRECTED="Yes",NOT(ISNUMBER($H202))),"Ash correction is switched on but no ash fraction is given for this row. ","")&amp;IF($I202="","Sieve mesh not recorded — a fine-root figure cannot be interpreted without it. ","")&amp;IF(AND(ISNUMBER($H202),$H202&gt;0.5),"Ash fraction above 0.5 — over half this sample was mineral soil. Re-wash. ","")&amp;IF($F202="Not separated","Live and dead not separated. Fine for a stock, but "&amp;"note it in reporting. ",""))</f>
        <v/>
      </c>
      <c r="P202" s="6" t="n"/>
      <c r="Q202" s="9">
        <f>IF($B202="",0,IF(COUNTIFS($B$5:$B202,$B202)=1,1,0))</f>
        <v/>
      </c>
    </row>
    <row r="203">
      <c r="A203" s="6" t="n"/>
      <c r="B203" s="6" t="n"/>
      <c r="C203" s="6" t="n"/>
      <c r="D203" s="6" t="n"/>
      <c r="E203" s="6" t="n"/>
      <c r="F203" s="6" t="n"/>
      <c r="G203" s="7" t="n"/>
      <c r="H203" s="7" t="n"/>
      <c r="I203" s="6" t="n"/>
      <c r="J203" s="9">
        <f>IF(NOT(ISNUMBER($G203)),"",IF(AND(ASH_CORRECTED="Yes",ISNUMBER($H203)),$G203*(1-$H203),$G203))</f>
        <v/>
      </c>
      <c r="K203" s="9">
        <f>IF($B203="","",IFERROR(AVERAGEIFS('2. Soil Data'!$G$5:$G$604,'2. Soil Data'!$B$5:$B$604,$B203),""))</f>
        <v/>
      </c>
      <c r="L203" s="9">
        <f>IF(NOT(ISNUMBER($K203)),"",PI()*($K203/2)^2)</f>
        <v/>
      </c>
      <c r="M203" s="9">
        <f>IF(OR(NOT(ISNUMBER($J203)),NOT(ISNUMBER($L203)),$L203=0),"",$J203/$L203*10000)</f>
        <v/>
      </c>
      <c r="N203" s="9">
        <f>IF(NOT(ISNUMBER($M203)),"",$M203*CARBON_FRACTION_ROOT/1000)</f>
        <v/>
      </c>
      <c r="O203" s="11">
        <f>IF(AND($A203="",$B203="",$G203=""),"",IF(AND($B203&lt;&gt;"",COUNTIFS('2. Soil Data'!$B$5:$B$604,$B203)=0),"Core ID not found in Soil Data, so the corer diameter cannot be looked up. ","")&amp;IF(ASH_CORRECTED&lt;&gt;"Yes","Root mass is NOT ash-corrected, so it includes adhering mineral soil and is too high. Set ASH_CORRECTED once you have done it. ","")&amp;IF(AND(ASH_CORRECTED="Yes",NOT(ISNUMBER($H203))),"Ash correction is switched on but no ash fraction is given for this row. ","")&amp;IF($I203="","Sieve mesh not recorded — a fine-root figure cannot be interpreted without it. ","")&amp;IF(AND(ISNUMBER($H203),$H203&gt;0.5),"Ash fraction above 0.5 — over half this sample was mineral soil. Re-wash. ","")&amp;IF($F203="Not separated","Live and dead not separated. Fine for a stock, but "&amp;"note it in reporting. ",""))</f>
        <v/>
      </c>
      <c r="P203" s="6" t="n"/>
      <c r="Q203" s="9">
        <f>IF($B203="",0,IF(COUNTIFS($B$5:$B203,$B203)=1,1,0))</f>
        <v/>
      </c>
    </row>
    <row r="204">
      <c r="A204" s="6" t="n"/>
      <c r="B204" s="6" t="n"/>
      <c r="C204" s="6" t="n"/>
      <c r="D204" s="6" t="n"/>
      <c r="E204" s="6" t="n"/>
      <c r="F204" s="6" t="n"/>
      <c r="G204" s="7" t="n"/>
      <c r="H204" s="7" t="n"/>
      <c r="I204" s="6" t="n"/>
      <c r="J204" s="9">
        <f>IF(NOT(ISNUMBER($G204)),"",IF(AND(ASH_CORRECTED="Yes",ISNUMBER($H204)),$G204*(1-$H204),$G204))</f>
        <v/>
      </c>
      <c r="K204" s="9">
        <f>IF($B204="","",IFERROR(AVERAGEIFS('2. Soil Data'!$G$5:$G$604,'2. Soil Data'!$B$5:$B$604,$B204),""))</f>
        <v/>
      </c>
      <c r="L204" s="9">
        <f>IF(NOT(ISNUMBER($K204)),"",PI()*($K204/2)^2)</f>
        <v/>
      </c>
      <c r="M204" s="9">
        <f>IF(OR(NOT(ISNUMBER($J204)),NOT(ISNUMBER($L204)),$L204=0),"",$J204/$L204*10000)</f>
        <v/>
      </c>
      <c r="N204" s="9">
        <f>IF(NOT(ISNUMBER($M204)),"",$M204*CARBON_FRACTION_ROOT/1000)</f>
        <v/>
      </c>
      <c r="O204" s="11">
        <f>IF(AND($A204="",$B204="",$G204=""),"",IF(AND($B204&lt;&gt;"",COUNTIFS('2. Soil Data'!$B$5:$B$604,$B204)=0),"Core ID not found in Soil Data, so the corer diameter cannot be looked up. ","")&amp;IF(ASH_CORRECTED&lt;&gt;"Yes","Root mass is NOT ash-corrected, so it includes adhering mineral soil and is too high. Set ASH_CORRECTED once you have done it. ","")&amp;IF(AND(ASH_CORRECTED="Yes",NOT(ISNUMBER($H204))),"Ash correction is switched on but no ash fraction is given for this row. ","")&amp;IF($I204="","Sieve mesh not recorded — a fine-root figure cannot be interpreted without it. ","")&amp;IF(AND(ISNUMBER($H204),$H204&gt;0.5),"Ash fraction above 0.5 — over half this sample was mineral soil. Re-wash. ","")&amp;IF($F204="Not separated","Live and dead not separated. Fine for a stock, but "&amp;"note it in reporting. ",""))</f>
        <v/>
      </c>
      <c r="P204" s="6" t="n"/>
      <c r="Q204" s="9">
        <f>IF($B204="",0,IF(COUNTIFS($B$5:$B204,$B204)=1,1,0))</f>
        <v/>
      </c>
    </row>
    <row r="205">
      <c r="A205" s="6" t="n"/>
      <c r="B205" s="6" t="n"/>
      <c r="C205" s="6" t="n"/>
      <c r="D205" s="6" t="n"/>
      <c r="E205" s="6" t="n"/>
      <c r="F205" s="6" t="n"/>
      <c r="G205" s="7" t="n"/>
      <c r="H205" s="7" t="n"/>
      <c r="I205" s="6" t="n"/>
      <c r="J205" s="9">
        <f>IF(NOT(ISNUMBER($G205)),"",IF(AND(ASH_CORRECTED="Yes",ISNUMBER($H205)),$G205*(1-$H205),$G205))</f>
        <v/>
      </c>
      <c r="K205" s="9">
        <f>IF($B205="","",IFERROR(AVERAGEIFS('2. Soil Data'!$G$5:$G$604,'2. Soil Data'!$B$5:$B$604,$B205),""))</f>
        <v/>
      </c>
      <c r="L205" s="9">
        <f>IF(NOT(ISNUMBER($K205)),"",PI()*($K205/2)^2)</f>
        <v/>
      </c>
      <c r="M205" s="9">
        <f>IF(OR(NOT(ISNUMBER($J205)),NOT(ISNUMBER($L205)),$L205=0),"",$J205/$L205*10000)</f>
        <v/>
      </c>
      <c r="N205" s="9">
        <f>IF(NOT(ISNUMBER($M205)),"",$M205*CARBON_FRACTION_ROOT/1000)</f>
        <v/>
      </c>
      <c r="O205" s="11">
        <f>IF(AND($A205="",$B205="",$G205=""),"",IF(AND($B205&lt;&gt;"",COUNTIFS('2. Soil Data'!$B$5:$B$604,$B205)=0),"Core ID not found in Soil Data, so the corer diameter cannot be looked up. ","")&amp;IF(ASH_CORRECTED&lt;&gt;"Yes","Root mass is NOT ash-corrected, so it includes adhering mineral soil and is too high. Set ASH_CORRECTED once you have done it. ","")&amp;IF(AND(ASH_CORRECTED="Yes",NOT(ISNUMBER($H205))),"Ash correction is switched on but no ash fraction is given for this row. ","")&amp;IF($I205="","Sieve mesh not recorded — a fine-root figure cannot be interpreted without it. ","")&amp;IF(AND(ISNUMBER($H205),$H205&gt;0.5),"Ash fraction above 0.5 — over half this sample was mineral soil. Re-wash. ","")&amp;IF($F205="Not separated","Live and dead not separated. Fine for a stock, but "&amp;"note it in reporting. ",""))</f>
        <v/>
      </c>
      <c r="P205" s="6" t="n"/>
      <c r="Q205" s="9">
        <f>IF($B205="",0,IF(COUNTIFS($B$5:$B205,$B205)=1,1,0))</f>
        <v/>
      </c>
    </row>
    <row r="206">
      <c r="A206" s="6" t="n"/>
      <c r="B206" s="6" t="n"/>
      <c r="C206" s="6" t="n"/>
      <c r="D206" s="6" t="n"/>
      <c r="E206" s="6" t="n"/>
      <c r="F206" s="6" t="n"/>
      <c r="G206" s="7" t="n"/>
      <c r="H206" s="7" t="n"/>
      <c r="I206" s="6" t="n"/>
      <c r="J206" s="9">
        <f>IF(NOT(ISNUMBER($G206)),"",IF(AND(ASH_CORRECTED="Yes",ISNUMBER($H206)),$G206*(1-$H206),$G206))</f>
        <v/>
      </c>
      <c r="K206" s="9">
        <f>IF($B206="","",IFERROR(AVERAGEIFS('2. Soil Data'!$G$5:$G$604,'2. Soil Data'!$B$5:$B$604,$B206),""))</f>
        <v/>
      </c>
      <c r="L206" s="9">
        <f>IF(NOT(ISNUMBER($K206)),"",PI()*($K206/2)^2)</f>
        <v/>
      </c>
      <c r="M206" s="9">
        <f>IF(OR(NOT(ISNUMBER($J206)),NOT(ISNUMBER($L206)),$L206=0),"",$J206/$L206*10000)</f>
        <v/>
      </c>
      <c r="N206" s="9">
        <f>IF(NOT(ISNUMBER($M206)),"",$M206*CARBON_FRACTION_ROOT/1000)</f>
        <v/>
      </c>
      <c r="O206" s="11">
        <f>IF(AND($A206="",$B206="",$G206=""),"",IF(AND($B206&lt;&gt;"",COUNTIFS('2. Soil Data'!$B$5:$B$604,$B206)=0),"Core ID not found in Soil Data, so the corer diameter cannot be looked up. ","")&amp;IF(ASH_CORRECTED&lt;&gt;"Yes","Root mass is NOT ash-corrected, so it includes adhering mineral soil and is too high. Set ASH_CORRECTED once you have done it. ","")&amp;IF(AND(ASH_CORRECTED="Yes",NOT(ISNUMBER($H206))),"Ash correction is switched on but no ash fraction is given for this row. ","")&amp;IF($I206="","Sieve mesh not recorded — a fine-root figure cannot be interpreted without it. ","")&amp;IF(AND(ISNUMBER($H206),$H206&gt;0.5),"Ash fraction above 0.5 — over half this sample was mineral soil. Re-wash. ","")&amp;IF($F206="Not separated","Live and dead not separated. Fine for a stock, but "&amp;"note it in reporting. ",""))</f>
        <v/>
      </c>
      <c r="P206" s="6" t="n"/>
      <c r="Q206" s="9">
        <f>IF($B206="",0,IF(COUNTIFS($B$5:$B206,$B206)=1,1,0))</f>
        <v/>
      </c>
    </row>
    <row r="207">
      <c r="A207" s="6" t="n"/>
      <c r="B207" s="6" t="n"/>
      <c r="C207" s="6" t="n"/>
      <c r="D207" s="6" t="n"/>
      <c r="E207" s="6" t="n"/>
      <c r="F207" s="6" t="n"/>
      <c r="G207" s="7" t="n"/>
      <c r="H207" s="7" t="n"/>
      <c r="I207" s="6" t="n"/>
      <c r="J207" s="9">
        <f>IF(NOT(ISNUMBER($G207)),"",IF(AND(ASH_CORRECTED="Yes",ISNUMBER($H207)),$G207*(1-$H207),$G207))</f>
        <v/>
      </c>
      <c r="K207" s="9">
        <f>IF($B207="","",IFERROR(AVERAGEIFS('2. Soil Data'!$G$5:$G$604,'2. Soil Data'!$B$5:$B$604,$B207),""))</f>
        <v/>
      </c>
      <c r="L207" s="9">
        <f>IF(NOT(ISNUMBER($K207)),"",PI()*($K207/2)^2)</f>
        <v/>
      </c>
      <c r="M207" s="9">
        <f>IF(OR(NOT(ISNUMBER($J207)),NOT(ISNUMBER($L207)),$L207=0),"",$J207/$L207*10000)</f>
        <v/>
      </c>
      <c r="N207" s="9">
        <f>IF(NOT(ISNUMBER($M207)),"",$M207*CARBON_FRACTION_ROOT/1000)</f>
        <v/>
      </c>
      <c r="O207" s="11">
        <f>IF(AND($A207="",$B207="",$G207=""),"",IF(AND($B207&lt;&gt;"",COUNTIFS('2. Soil Data'!$B$5:$B$604,$B207)=0),"Core ID not found in Soil Data, so the corer diameter cannot be looked up. ","")&amp;IF(ASH_CORRECTED&lt;&gt;"Yes","Root mass is NOT ash-corrected, so it includes adhering mineral soil and is too high. Set ASH_CORRECTED once you have done it. ","")&amp;IF(AND(ASH_CORRECTED="Yes",NOT(ISNUMBER($H207))),"Ash correction is switched on but no ash fraction is given for this row. ","")&amp;IF($I207="","Sieve mesh not recorded — a fine-root figure cannot be interpreted without it. ","")&amp;IF(AND(ISNUMBER($H207),$H207&gt;0.5),"Ash fraction above 0.5 — over half this sample was mineral soil. Re-wash. ","")&amp;IF($F207="Not separated","Live and dead not separated. Fine for a stock, but "&amp;"note it in reporting. ",""))</f>
        <v/>
      </c>
      <c r="P207" s="6" t="n"/>
      <c r="Q207" s="9">
        <f>IF($B207="",0,IF(COUNTIFS($B$5:$B207,$B207)=1,1,0))</f>
        <v/>
      </c>
    </row>
    <row r="208">
      <c r="A208" s="6" t="n"/>
      <c r="B208" s="6" t="n"/>
      <c r="C208" s="6" t="n"/>
      <c r="D208" s="6" t="n"/>
      <c r="E208" s="6" t="n"/>
      <c r="F208" s="6" t="n"/>
      <c r="G208" s="7" t="n"/>
      <c r="H208" s="7" t="n"/>
      <c r="I208" s="6" t="n"/>
      <c r="J208" s="9">
        <f>IF(NOT(ISNUMBER($G208)),"",IF(AND(ASH_CORRECTED="Yes",ISNUMBER($H208)),$G208*(1-$H208),$G208))</f>
        <v/>
      </c>
      <c r="K208" s="9">
        <f>IF($B208="","",IFERROR(AVERAGEIFS('2. Soil Data'!$G$5:$G$604,'2. Soil Data'!$B$5:$B$604,$B208),""))</f>
        <v/>
      </c>
      <c r="L208" s="9">
        <f>IF(NOT(ISNUMBER($K208)),"",PI()*($K208/2)^2)</f>
        <v/>
      </c>
      <c r="M208" s="9">
        <f>IF(OR(NOT(ISNUMBER($J208)),NOT(ISNUMBER($L208)),$L208=0),"",$J208/$L208*10000)</f>
        <v/>
      </c>
      <c r="N208" s="9">
        <f>IF(NOT(ISNUMBER($M208)),"",$M208*CARBON_FRACTION_ROOT/1000)</f>
        <v/>
      </c>
      <c r="O208" s="11">
        <f>IF(AND($A208="",$B208="",$G208=""),"",IF(AND($B208&lt;&gt;"",COUNTIFS('2. Soil Data'!$B$5:$B$604,$B208)=0),"Core ID not found in Soil Data, so the corer diameter cannot be looked up. ","")&amp;IF(ASH_CORRECTED&lt;&gt;"Yes","Root mass is NOT ash-corrected, so it includes adhering mineral soil and is too high. Set ASH_CORRECTED once you have done it. ","")&amp;IF(AND(ASH_CORRECTED="Yes",NOT(ISNUMBER($H208))),"Ash correction is switched on but no ash fraction is given for this row. ","")&amp;IF($I208="","Sieve mesh not recorded — a fine-root figure cannot be interpreted without it. ","")&amp;IF(AND(ISNUMBER($H208),$H208&gt;0.5),"Ash fraction above 0.5 — over half this sample was mineral soil. Re-wash. ","")&amp;IF($F208="Not separated","Live and dead not separated. Fine for a stock, but "&amp;"note it in reporting. ",""))</f>
        <v/>
      </c>
      <c r="P208" s="6" t="n"/>
      <c r="Q208" s="9">
        <f>IF($B208="",0,IF(COUNTIFS($B$5:$B208,$B208)=1,1,0))</f>
        <v/>
      </c>
    </row>
    <row r="209">
      <c r="A209" s="6" t="n"/>
      <c r="B209" s="6" t="n"/>
      <c r="C209" s="6" t="n"/>
      <c r="D209" s="6" t="n"/>
      <c r="E209" s="6" t="n"/>
      <c r="F209" s="6" t="n"/>
      <c r="G209" s="7" t="n"/>
      <c r="H209" s="7" t="n"/>
      <c r="I209" s="6" t="n"/>
      <c r="J209" s="9">
        <f>IF(NOT(ISNUMBER($G209)),"",IF(AND(ASH_CORRECTED="Yes",ISNUMBER($H209)),$G209*(1-$H209),$G209))</f>
        <v/>
      </c>
      <c r="K209" s="9">
        <f>IF($B209="","",IFERROR(AVERAGEIFS('2. Soil Data'!$G$5:$G$604,'2. Soil Data'!$B$5:$B$604,$B209),""))</f>
        <v/>
      </c>
      <c r="L209" s="9">
        <f>IF(NOT(ISNUMBER($K209)),"",PI()*($K209/2)^2)</f>
        <v/>
      </c>
      <c r="M209" s="9">
        <f>IF(OR(NOT(ISNUMBER($J209)),NOT(ISNUMBER($L209)),$L209=0),"",$J209/$L209*10000)</f>
        <v/>
      </c>
      <c r="N209" s="9">
        <f>IF(NOT(ISNUMBER($M209)),"",$M209*CARBON_FRACTION_ROOT/1000)</f>
        <v/>
      </c>
      <c r="O209" s="11">
        <f>IF(AND($A209="",$B209="",$G209=""),"",IF(AND($B209&lt;&gt;"",COUNTIFS('2. Soil Data'!$B$5:$B$604,$B209)=0),"Core ID not found in Soil Data, so the corer diameter cannot be looked up. ","")&amp;IF(ASH_CORRECTED&lt;&gt;"Yes","Root mass is NOT ash-corrected, so it includes adhering mineral soil and is too high. Set ASH_CORRECTED once you have done it. ","")&amp;IF(AND(ASH_CORRECTED="Yes",NOT(ISNUMBER($H209))),"Ash correction is switched on but no ash fraction is given for this row. ","")&amp;IF($I209="","Sieve mesh not recorded — a fine-root figure cannot be interpreted without it. ","")&amp;IF(AND(ISNUMBER($H209),$H209&gt;0.5),"Ash fraction above 0.5 — over half this sample was mineral soil. Re-wash. ","")&amp;IF($F209="Not separated","Live and dead not separated. Fine for a stock, but "&amp;"note it in reporting. ",""))</f>
        <v/>
      </c>
      <c r="P209" s="6" t="n"/>
      <c r="Q209" s="9">
        <f>IF($B209="",0,IF(COUNTIFS($B$5:$B209,$B209)=1,1,0))</f>
        <v/>
      </c>
    </row>
    <row r="210">
      <c r="A210" s="6" t="n"/>
      <c r="B210" s="6" t="n"/>
      <c r="C210" s="6" t="n"/>
      <c r="D210" s="6" t="n"/>
      <c r="E210" s="6" t="n"/>
      <c r="F210" s="6" t="n"/>
      <c r="G210" s="7" t="n"/>
      <c r="H210" s="7" t="n"/>
      <c r="I210" s="6" t="n"/>
      <c r="J210" s="9">
        <f>IF(NOT(ISNUMBER($G210)),"",IF(AND(ASH_CORRECTED="Yes",ISNUMBER($H210)),$G210*(1-$H210),$G210))</f>
        <v/>
      </c>
      <c r="K210" s="9">
        <f>IF($B210="","",IFERROR(AVERAGEIFS('2. Soil Data'!$G$5:$G$604,'2. Soil Data'!$B$5:$B$604,$B210),""))</f>
        <v/>
      </c>
      <c r="L210" s="9">
        <f>IF(NOT(ISNUMBER($K210)),"",PI()*($K210/2)^2)</f>
        <v/>
      </c>
      <c r="M210" s="9">
        <f>IF(OR(NOT(ISNUMBER($J210)),NOT(ISNUMBER($L210)),$L210=0),"",$J210/$L210*10000)</f>
        <v/>
      </c>
      <c r="N210" s="9">
        <f>IF(NOT(ISNUMBER($M210)),"",$M210*CARBON_FRACTION_ROOT/1000)</f>
        <v/>
      </c>
      <c r="O210" s="11">
        <f>IF(AND($A210="",$B210="",$G210=""),"",IF(AND($B210&lt;&gt;"",COUNTIFS('2. Soil Data'!$B$5:$B$604,$B210)=0),"Core ID not found in Soil Data, so the corer diameter cannot be looked up. ","")&amp;IF(ASH_CORRECTED&lt;&gt;"Yes","Root mass is NOT ash-corrected, so it includes adhering mineral soil and is too high. Set ASH_CORRECTED once you have done it. ","")&amp;IF(AND(ASH_CORRECTED="Yes",NOT(ISNUMBER($H210))),"Ash correction is switched on but no ash fraction is given for this row. ","")&amp;IF($I210="","Sieve mesh not recorded — a fine-root figure cannot be interpreted without it. ","")&amp;IF(AND(ISNUMBER($H210),$H210&gt;0.5),"Ash fraction above 0.5 — over half this sample was mineral soil. Re-wash. ","")&amp;IF($F210="Not separated","Live and dead not separated. Fine for a stock, but "&amp;"note it in reporting. ",""))</f>
        <v/>
      </c>
      <c r="P210" s="6" t="n"/>
      <c r="Q210" s="9">
        <f>IF($B210="",0,IF(COUNTIFS($B$5:$B210,$B210)=1,1,0))</f>
        <v/>
      </c>
    </row>
    <row r="211">
      <c r="A211" s="6" t="n"/>
      <c r="B211" s="6" t="n"/>
      <c r="C211" s="6" t="n"/>
      <c r="D211" s="6" t="n"/>
      <c r="E211" s="6" t="n"/>
      <c r="F211" s="6" t="n"/>
      <c r="G211" s="7" t="n"/>
      <c r="H211" s="7" t="n"/>
      <c r="I211" s="6" t="n"/>
      <c r="J211" s="9">
        <f>IF(NOT(ISNUMBER($G211)),"",IF(AND(ASH_CORRECTED="Yes",ISNUMBER($H211)),$G211*(1-$H211),$G211))</f>
        <v/>
      </c>
      <c r="K211" s="9">
        <f>IF($B211="","",IFERROR(AVERAGEIFS('2. Soil Data'!$G$5:$G$604,'2. Soil Data'!$B$5:$B$604,$B211),""))</f>
        <v/>
      </c>
      <c r="L211" s="9">
        <f>IF(NOT(ISNUMBER($K211)),"",PI()*($K211/2)^2)</f>
        <v/>
      </c>
      <c r="M211" s="9">
        <f>IF(OR(NOT(ISNUMBER($J211)),NOT(ISNUMBER($L211)),$L211=0),"",$J211/$L211*10000)</f>
        <v/>
      </c>
      <c r="N211" s="9">
        <f>IF(NOT(ISNUMBER($M211)),"",$M211*CARBON_FRACTION_ROOT/1000)</f>
        <v/>
      </c>
      <c r="O211" s="11">
        <f>IF(AND($A211="",$B211="",$G211=""),"",IF(AND($B211&lt;&gt;"",COUNTIFS('2. Soil Data'!$B$5:$B$604,$B211)=0),"Core ID not found in Soil Data, so the corer diameter cannot be looked up. ","")&amp;IF(ASH_CORRECTED&lt;&gt;"Yes","Root mass is NOT ash-corrected, so it includes adhering mineral soil and is too high. Set ASH_CORRECTED once you have done it. ","")&amp;IF(AND(ASH_CORRECTED="Yes",NOT(ISNUMBER($H211))),"Ash correction is switched on but no ash fraction is given for this row. ","")&amp;IF($I211="","Sieve mesh not recorded — a fine-root figure cannot be interpreted without it. ","")&amp;IF(AND(ISNUMBER($H211),$H211&gt;0.5),"Ash fraction above 0.5 — over half this sample was mineral soil. Re-wash. ","")&amp;IF($F211="Not separated","Live and dead not separated. Fine for a stock, but "&amp;"note it in reporting. ",""))</f>
        <v/>
      </c>
      <c r="P211" s="6" t="n"/>
      <c r="Q211" s="9">
        <f>IF($B211="",0,IF(COUNTIFS($B$5:$B211,$B211)=1,1,0))</f>
        <v/>
      </c>
    </row>
    <row r="212">
      <c r="A212" s="6" t="n"/>
      <c r="B212" s="6" t="n"/>
      <c r="C212" s="6" t="n"/>
      <c r="D212" s="6" t="n"/>
      <c r="E212" s="6" t="n"/>
      <c r="F212" s="6" t="n"/>
      <c r="G212" s="7" t="n"/>
      <c r="H212" s="7" t="n"/>
      <c r="I212" s="6" t="n"/>
      <c r="J212" s="9">
        <f>IF(NOT(ISNUMBER($G212)),"",IF(AND(ASH_CORRECTED="Yes",ISNUMBER($H212)),$G212*(1-$H212),$G212))</f>
        <v/>
      </c>
      <c r="K212" s="9">
        <f>IF($B212="","",IFERROR(AVERAGEIFS('2. Soil Data'!$G$5:$G$604,'2. Soil Data'!$B$5:$B$604,$B212),""))</f>
        <v/>
      </c>
      <c r="L212" s="9">
        <f>IF(NOT(ISNUMBER($K212)),"",PI()*($K212/2)^2)</f>
        <v/>
      </c>
      <c r="M212" s="9">
        <f>IF(OR(NOT(ISNUMBER($J212)),NOT(ISNUMBER($L212)),$L212=0),"",$J212/$L212*10000)</f>
        <v/>
      </c>
      <c r="N212" s="9">
        <f>IF(NOT(ISNUMBER($M212)),"",$M212*CARBON_FRACTION_ROOT/1000)</f>
        <v/>
      </c>
      <c r="O212" s="11">
        <f>IF(AND($A212="",$B212="",$G212=""),"",IF(AND($B212&lt;&gt;"",COUNTIFS('2. Soil Data'!$B$5:$B$604,$B212)=0),"Core ID not found in Soil Data, so the corer diameter cannot be looked up. ","")&amp;IF(ASH_CORRECTED&lt;&gt;"Yes","Root mass is NOT ash-corrected, so it includes adhering mineral soil and is too high. Set ASH_CORRECTED once you have done it. ","")&amp;IF(AND(ASH_CORRECTED="Yes",NOT(ISNUMBER($H212))),"Ash correction is switched on but no ash fraction is given for this row. ","")&amp;IF($I212="","Sieve mesh not recorded — a fine-root figure cannot be interpreted without it. ","")&amp;IF(AND(ISNUMBER($H212),$H212&gt;0.5),"Ash fraction above 0.5 — over half this sample was mineral soil. Re-wash. ","")&amp;IF($F212="Not separated","Live and dead not separated. Fine for a stock, but "&amp;"note it in reporting. ",""))</f>
        <v/>
      </c>
      <c r="P212" s="6" t="n"/>
      <c r="Q212" s="9">
        <f>IF($B212="",0,IF(COUNTIFS($B$5:$B212,$B212)=1,1,0))</f>
        <v/>
      </c>
    </row>
    <row r="213">
      <c r="A213" s="6" t="n"/>
      <c r="B213" s="6" t="n"/>
      <c r="C213" s="6" t="n"/>
      <c r="D213" s="6" t="n"/>
      <c r="E213" s="6" t="n"/>
      <c r="F213" s="6" t="n"/>
      <c r="G213" s="7" t="n"/>
      <c r="H213" s="7" t="n"/>
      <c r="I213" s="6" t="n"/>
      <c r="J213" s="9">
        <f>IF(NOT(ISNUMBER($G213)),"",IF(AND(ASH_CORRECTED="Yes",ISNUMBER($H213)),$G213*(1-$H213),$G213))</f>
        <v/>
      </c>
      <c r="K213" s="9">
        <f>IF($B213="","",IFERROR(AVERAGEIFS('2. Soil Data'!$G$5:$G$604,'2. Soil Data'!$B$5:$B$604,$B213),""))</f>
        <v/>
      </c>
      <c r="L213" s="9">
        <f>IF(NOT(ISNUMBER($K213)),"",PI()*($K213/2)^2)</f>
        <v/>
      </c>
      <c r="M213" s="9">
        <f>IF(OR(NOT(ISNUMBER($J213)),NOT(ISNUMBER($L213)),$L213=0),"",$J213/$L213*10000)</f>
        <v/>
      </c>
      <c r="N213" s="9">
        <f>IF(NOT(ISNUMBER($M213)),"",$M213*CARBON_FRACTION_ROOT/1000)</f>
        <v/>
      </c>
      <c r="O213" s="11">
        <f>IF(AND($A213="",$B213="",$G213=""),"",IF(AND($B213&lt;&gt;"",COUNTIFS('2. Soil Data'!$B$5:$B$604,$B213)=0),"Core ID not found in Soil Data, so the corer diameter cannot be looked up. ","")&amp;IF(ASH_CORRECTED&lt;&gt;"Yes","Root mass is NOT ash-corrected, so it includes adhering mineral soil and is too high. Set ASH_CORRECTED once you have done it. ","")&amp;IF(AND(ASH_CORRECTED="Yes",NOT(ISNUMBER($H213))),"Ash correction is switched on but no ash fraction is given for this row. ","")&amp;IF($I213="","Sieve mesh not recorded — a fine-root figure cannot be interpreted without it. ","")&amp;IF(AND(ISNUMBER($H213),$H213&gt;0.5),"Ash fraction above 0.5 — over half this sample was mineral soil. Re-wash. ","")&amp;IF($F213="Not separated","Live and dead not separated. Fine for a stock, but "&amp;"note it in reporting. ",""))</f>
        <v/>
      </c>
      <c r="P213" s="6" t="n"/>
      <c r="Q213" s="9">
        <f>IF($B213="",0,IF(COUNTIFS($B$5:$B213,$B213)=1,1,0))</f>
        <v/>
      </c>
    </row>
    <row r="214">
      <c r="A214" s="6" t="n"/>
      <c r="B214" s="6" t="n"/>
      <c r="C214" s="6" t="n"/>
      <c r="D214" s="6" t="n"/>
      <c r="E214" s="6" t="n"/>
      <c r="F214" s="6" t="n"/>
      <c r="G214" s="7" t="n"/>
      <c r="H214" s="7" t="n"/>
      <c r="I214" s="6" t="n"/>
      <c r="J214" s="9">
        <f>IF(NOT(ISNUMBER($G214)),"",IF(AND(ASH_CORRECTED="Yes",ISNUMBER($H214)),$G214*(1-$H214),$G214))</f>
        <v/>
      </c>
      <c r="K214" s="9">
        <f>IF($B214="","",IFERROR(AVERAGEIFS('2. Soil Data'!$G$5:$G$604,'2. Soil Data'!$B$5:$B$604,$B214),""))</f>
        <v/>
      </c>
      <c r="L214" s="9">
        <f>IF(NOT(ISNUMBER($K214)),"",PI()*($K214/2)^2)</f>
        <v/>
      </c>
      <c r="M214" s="9">
        <f>IF(OR(NOT(ISNUMBER($J214)),NOT(ISNUMBER($L214)),$L214=0),"",$J214/$L214*10000)</f>
        <v/>
      </c>
      <c r="N214" s="9">
        <f>IF(NOT(ISNUMBER($M214)),"",$M214*CARBON_FRACTION_ROOT/1000)</f>
        <v/>
      </c>
      <c r="O214" s="11">
        <f>IF(AND($A214="",$B214="",$G214=""),"",IF(AND($B214&lt;&gt;"",COUNTIFS('2. Soil Data'!$B$5:$B$604,$B214)=0),"Core ID not found in Soil Data, so the corer diameter cannot be looked up. ","")&amp;IF(ASH_CORRECTED&lt;&gt;"Yes","Root mass is NOT ash-corrected, so it includes adhering mineral soil and is too high. Set ASH_CORRECTED once you have done it. ","")&amp;IF(AND(ASH_CORRECTED="Yes",NOT(ISNUMBER($H214))),"Ash correction is switched on but no ash fraction is given for this row. ","")&amp;IF($I214="","Sieve mesh not recorded — a fine-root figure cannot be interpreted without it. ","")&amp;IF(AND(ISNUMBER($H214),$H214&gt;0.5),"Ash fraction above 0.5 — over half this sample was mineral soil. Re-wash. ","")&amp;IF($F214="Not separated","Live and dead not separated. Fine for a stock, but "&amp;"note it in reporting. ",""))</f>
        <v/>
      </c>
      <c r="P214" s="6" t="n"/>
      <c r="Q214" s="9">
        <f>IF($B214="",0,IF(COUNTIFS($B$5:$B214,$B214)=1,1,0))</f>
        <v/>
      </c>
    </row>
    <row r="215">
      <c r="A215" s="6" t="n"/>
      <c r="B215" s="6" t="n"/>
      <c r="C215" s="6" t="n"/>
      <c r="D215" s="6" t="n"/>
      <c r="E215" s="6" t="n"/>
      <c r="F215" s="6" t="n"/>
      <c r="G215" s="7" t="n"/>
      <c r="H215" s="7" t="n"/>
      <c r="I215" s="6" t="n"/>
      <c r="J215" s="9">
        <f>IF(NOT(ISNUMBER($G215)),"",IF(AND(ASH_CORRECTED="Yes",ISNUMBER($H215)),$G215*(1-$H215),$G215))</f>
        <v/>
      </c>
      <c r="K215" s="9">
        <f>IF($B215="","",IFERROR(AVERAGEIFS('2. Soil Data'!$G$5:$G$604,'2. Soil Data'!$B$5:$B$604,$B215),""))</f>
        <v/>
      </c>
      <c r="L215" s="9">
        <f>IF(NOT(ISNUMBER($K215)),"",PI()*($K215/2)^2)</f>
        <v/>
      </c>
      <c r="M215" s="9">
        <f>IF(OR(NOT(ISNUMBER($J215)),NOT(ISNUMBER($L215)),$L215=0),"",$J215/$L215*10000)</f>
        <v/>
      </c>
      <c r="N215" s="9">
        <f>IF(NOT(ISNUMBER($M215)),"",$M215*CARBON_FRACTION_ROOT/1000)</f>
        <v/>
      </c>
      <c r="O215" s="11">
        <f>IF(AND($A215="",$B215="",$G215=""),"",IF(AND($B215&lt;&gt;"",COUNTIFS('2. Soil Data'!$B$5:$B$604,$B215)=0),"Core ID not found in Soil Data, so the corer diameter cannot be looked up. ","")&amp;IF(ASH_CORRECTED&lt;&gt;"Yes","Root mass is NOT ash-corrected, so it includes adhering mineral soil and is too high. Set ASH_CORRECTED once you have done it. ","")&amp;IF(AND(ASH_CORRECTED="Yes",NOT(ISNUMBER($H215))),"Ash correction is switched on but no ash fraction is given for this row. ","")&amp;IF($I215="","Sieve mesh not recorded — a fine-root figure cannot be interpreted without it. ","")&amp;IF(AND(ISNUMBER($H215),$H215&gt;0.5),"Ash fraction above 0.5 — over half this sample was mineral soil. Re-wash. ","")&amp;IF($F215="Not separated","Live and dead not separated. Fine for a stock, but "&amp;"note it in reporting. ",""))</f>
        <v/>
      </c>
      <c r="P215" s="6" t="n"/>
      <c r="Q215" s="9">
        <f>IF($B215="",0,IF(COUNTIFS($B$5:$B215,$B215)=1,1,0))</f>
        <v/>
      </c>
    </row>
    <row r="216">
      <c r="A216" s="6" t="n"/>
      <c r="B216" s="6" t="n"/>
      <c r="C216" s="6" t="n"/>
      <c r="D216" s="6" t="n"/>
      <c r="E216" s="6" t="n"/>
      <c r="F216" s="6" t="n"/>
      <c r="G216" s="7" t="n"/>
      <c r="H216" s="7" t="n"/>
      <c r="I216" s="6" t="n"/>
      <c r="J216" s="9">
        <f>IF(NOT(ISNUMBER($G216)),"",IF(AND(ASH_CORRECTED="Yes",ISNUMBER($H216)),$G216*(1-$H216),$G216))</f>
        <v/>
      </c>
      <c r="K216" s="9">
        <f>IF($B216="","",IFERROR(AVERAGEIFS('2. Soil Data'!$G$5:$G$604,'2. Soil Data'!$B$5:$B$604,$B216),""))</f>
        <v/>
      </c>
      <c r="L216" s="9">
        <f>IF(NOT(ISNUMBER($K216)),"",PI()*($K216/2)^2)</f>
        <v/>
      </c>
      <c r="M216" s="9">
        <f>IF(OR(NOT(ISNUMBER($J216)),NOT(ISNUMBER($L216)),$L216=0),"",$J216/$L216*10000)</f>
        <v/>
      </c>
      <c r="N216" s="9">
        <f>IF(NOT(ISNUMBER($M216)),"",$M216*CARBON_FRACTION_ROOT/1000)</f>
        <v/>
      </c>
      <c r="O216" s="11">
        <f>IF(AND($A216="",$B216="",$G216=""),"",IF(AND($B216&lt;&gt;"",COUNTIFS('2. Soil Data'!$B$5:$B$604,$B216)=0),"Core ID not found in Soil Data, so the corer diameter cannot be looked up. ","")&amp;IF(ASH_CORRECTED&lt;&gt;"Yes","Root mass is NOT ash-corrected, so it includes adhering mineral soil and is too high. Set ASH_CORRECTED once you have done it. ","")&amp;IF(AND(ASH_CORRECTED="Yes",NOT(ISNUMBER($H216))),"Ash correction is switched on but no ash fraction is given for this row. ","")&amp;IF($I216="","Sieve mesh not recorded — a fine-root figure cannot be interpreted without it. ","")&amp;IF(AND(ISNUMBER($H216),$H216&gt;0.5),"Ash fraction above 0.5 — over half this sample was mineral soil. Re-wash. ","")&amp;IF($F216="Not separated","Live and dead not separated. Fine for a stock, but "&amp;"note it in reporting. ",""))</f>
        <v/>
      </c>
      <c r="P216" s="6" t="n"/>
      <c r="Q216" s="9">
        <f>IF($B216="",0,IF(COUNTIFS($B$5:$B216,$B216)=1,1,0))</f>
        <v/>
      </c>
    </row>
    <row r="217">
      <c r="A217" s="6" t="n"/>
      <c r="B217" s="6" t="n"/>
      <c r="C217" s="6" t="n"/>
      <c r="D217" s="6" t="n"/>
      <c r="E217" s="6" t="n"/>
      <c r="F217" s="6" t="n"/>
      <c r="G217" s="7" t="n"/>
      <c r="H217" s="7" t="n"/>
      <c r="I217" s="6" t="n"/>
      <c r="J217" s="9">
        <f>IF(NOT(ISNUMBER($G217)),"",IF(AND(ASH_CORRECTED="Yes",ISNUMBER($H217)),$G217*(1-$H217),$G217))</f>
        <v/>
      </c>
      <c r="K217" s="9">
        <f>IF($B217="","",IFERROR(AVERAGEIFS('2. Soil Data'!$G$5:$G$604,'2. Soil Data'!$B$5:$B$604,$B217),""))</f>
        <v/>
      </c>
      <c r="L217" s="9">
        <f>IF(NOT(ISNUMBER($K217)),"",PI()*($K217/2)^2)</f>
        <v/>
      </c>
      <c r="M217" s="9">
        <f>IF(OR(NOT(ISNUMBER($J217)),NOT(ISNUMBER($L217)),$L217=0),"",$J217/$L217*10000)</f>
        <v/>
      </c>
      <c r="N217" s="9">
        <f>IF(NOT(ISNUMBER($M217)),"",$M217*CARBON_FRACTION_ROOT/1000)</f>
        <v/>
      </c>
      <c r="O217" s="11">
        <f>IF(AND($A217="",$B217="",$G217=""),"",IF(AND($B217&lt;&gt;"",COUNTIFS('2. Soil Data'!$B$5:$B$604,$B217)=0),"Core ID not found in Soil Data, so the corer diameter cannot be looked up. ","")&amp;IF(ASH_CORRECTED&lt;&gt;"Yes","Root mass is NOT ash-corrected, so it includes adhering mineral soil and is too high. Set ASH_CORRECTED once you have done it. ","")&amp;IF(AND(ASH_CORRECTED="Yes",NOT(ISNUMBER($H217))),"Ash correction is switched on but no ash fraction is given for this row. ","")&amp;IF($I217="","Sieve mesh not recorded — a fine-root figure cannot be interpreted without it. ","")&amp;IF(AND(ISNUMBER($H217),$H217&gt;0.5),"Ash fraction above 0.5 — over half this sample was mineral soil. Re-wash. ","")&amp;IF($F217="Not separated","Live and dead not separated. Fine for a stock, but "&amp;"note it in reporting. ",""))</f>
        <v/>
      </c>
      <c r="P217" s="6" t="n"/>
      <c r="Q217" s="9">
        <f>IF($B217="",0,IF(COUNTIFS($B$5:$B217,$B217)=1,1,0))</f>
        <v/>
      </c>
    </row>
    <row r="218">
      <c r="A218" s="6" t="n"/>
      <c r="B218" s="6" t="n"/>
      <c r="C218" s="6" t="n"/>
      <c r="D218" s="6" t="n"/>
      <c r="E218" s="6" t="n"/>
      <c r="F218" s="6" t="n"/>
      <c r="G218" s="7" t="n"/>
      <c r="H218" s="7" t="n"/>
      <c r="I218" s="6" t="n"/>
      <c r="J218" s="9">
        <f>IF(NOT(ISNUMBER($G218)),"",IF(AND(ASH_CORRECTED="Yes",ISNUMBER($H218)),$G218*(1-$H218),$G218))</f>
        <v/>
      </c>
      <c r="K218" s="9">
        <f>IF($B218="","",IFERROR(AVERAGEIFS('2. Soil Data'!$G$5:$G$604,'2. Soil Data'!$B$5:$B$604,$B218),""))</f>
        <v/>
      </c>
      <c r="L218" s="9">
        <f>IF(NOT(ISNUMBER($K218)),"",PI()*($K218/2)^2)</f>
        <v/>
      </c>
      <c r="M218" s="9">
        <f>IF(OR(NOT(ISNUMBER($J218)),NOT(ISNUMBER($L218)),$L218=0),"",$J218/$L218*10000)</f>
        <v/>
      </c>
      <c r="N218" s="9">
        <f>IF(NOT(ISNUMBER($M218)),"",$M218*CARBON_FRACTION_ROOT/1000)</f>
        <v/>
      </c>
      <c r="O218" s="11">
        <f>IF(AND($A218="",$B218="",$G218=""),"",IF(AND($B218&lt;&gt;"",COUNTIFS('2. Soil Data'!$B$5:$B$604,$B218)=0),"Core ID not found in Soil Data, so the corer diameter cannot be looked up. ","")&amp;IF(ASH_CORRECTED&lt;&gt;"Yes","Root mass is NOT ash-corrected, so it includes adhering mineral soil and is too high. Set ASH_CORRECTED once you have done it. ","")&amp;IF(AND(ASH_CORRECTED="Yes",NOT(ISNUMBER($H218))),"Ash correction is switched on but no ash fraction is given for this row. ","")&amp;IF($I218="","Sieve mesh not recorded — a fine-root figure cannot be interpreted without it. ","")&amp;IF(AND(ISNUMBER($H218),$H218&gt;0.5),"Ash fraction above 0.5 — over half this sample was mineral soil. Re-wash. ","")&amp;IF($F218="Not separated","Live and dead not separated. Fine for a stock, but "&amp;"note it in reporting. ",""))</f>
        <v/>
      </c>
      <c r="P218" s="6" t="n"/>
      <c r="Q218" s="9">
        <f>IF($B218="",0,IF(COUNTIFS($B$5:$B218,$B218)=1,1,0))</f>
        <v/>
      </c>
    </row>
    <row r="219">
      <c r="A219" s="6" t="n"/>
      <c r="B219" s="6" t="n"/>
      <c r="C219" s="6" t="n"/>
      <c r="D219" s="6" t="n"/>
      <c r="E219" s="6" t="n"/>
      <c r="F219" s="6" t="n"/>
      <c r="G219" s="7" t="n"/>
      <c r="H219" s="7" t="n"/>
      <c r="I219" s="6" t="n"/>
      <c r="J219" s="9">
        <f>IF(NOT(ISNUMBER($G219)),"",IF(AND(ASH_CORRECTED="Yes",ISNUMBER($H219)),$G219*(1-$H219),$G219))</f>
        <v/>
      </c>
      <c r="K219" s="9">
        <f>IF($B219="","",IFERROR(AVERAGEIFS('2. Soil Data'!$G$5:$G$604,'2. Soil Data'!$B$5:$B$604,$B219),""))</f>
        <v/>
      </c>
      <c r="L219" s="9">
        <f>IF(NOT(ISNUMBER($K219)),"",PI()*($K219/2)^2)</f>
        <v/>
      </c>
      <c r="M219" s="9">
        <f>IF(OR(NOT(ISNUMBER($J219)),NOT(ISNUMBER($L219)),$L219=0),"",$J219/$L219*10000)</f>
        <v/>
      </c>
      <c r="N219" s="9">
        <f>IF(NOT(ISNUMBER($M219)),"",$M219*CARBON_FRACTION_ROOT/1000)</f>
        <v/>
      </c>
      <c r="O219" s="11">
        <f>IF(AND($A219="",$B219="",$G219=""),"",IF(AND($B219&lt;&gt;"",COUNTIFS('2. Soil Data'!$B$5:$B$604,$B219)=0),"Core ID not found in Soil Data, so the corer diameter cannot be looked up. ","")&amp;IF(ASH_CORRECTED&lt;&gt;"Yes","Root mass is NOT ash-corrected, so it includes adhering mineral soil and is too high. Set ASH_CORRECTED once you have done it. ","")&amp;IF(AND(ASH_CORRECTED="Yes",NOT(ISNUMBER($H219))),"Ash correction is switched on but no ash fraction is given for this row. ","")&amp;IF($I219="","Sieve mesh not recorded — a fine-root figure cannot be interpreted without it. ","")&amp;IF(AND(ISNUMBER($H219),$H219&gt;0.5),"Ash fraction above 0.5 — over half this sample was mineral soil. Re-wash. ","")&amp;IF($F219="Not separated","Live and dead not separated. Fine for a stock, but "&amp;"note it in reporting. ",""))</f>
        <v/>
      </c>
      <c r="P219" s="6" t="n"/>
      <c r="Q219" s="9">
        <f>IF($B219="",0,IF(COUNTIFS($B$5:$B219,$B219)=1,1,0))</f>
        <v/>
      </c>
    </row>
    <row r="220">
      <c r="A220" s="6" t="n"/>
      <c r="B220" s="6" t="n"/>
      <c r="C220" s="6" t="n"/>
      <c r="D220" s="6" t="n"/>
      <c r="E220" s="6" t="n"/>
      <c r="F220" s="6" t="n"/>
      <c r="G220" s="7" t="n"/>
      <c r="H220" s="7" t="n"/>
      <c r="I220" s="6" t="n"/>
      <c r="J220" s="9">
        <f>IF(NOT(ISNUMBER($G220)),"",IF(AND(ASH_CORRECTED="Yes",ISNUMBER($H220)),$G220*(1-$H220),$G220))</f>
        <v/>
      </c>
      <c r="K220" s="9">
        <f>IF($B220="","",IFERROR(AVERAGEIFS('2. Soil Data'!$G$5:$G$604,'2. Soil Data'!$B$5:$B$604,$B220),""))</f>
        <v/>
      </c>
      <c r="L220" s="9">
        <f>IF(NOT(ISNUMBER($K220)),"",PI()*($K220/2)^2)</f>
        <v/>
      </c>
      <c r="M220" s="9">
        <f>IF(OR(NOT(ISNUMBER($J220)),NOT(ISNUMBER($L220)),$L220=0),"",$J220/$L220*10000)</f>
        <v/>
      </c>
      <c r="N220" s="9">
        <f>IF(NOT(ISNUMBER($M220)),"",$M220*CARBON_FRACTION_ROOT/1000)</f>
        <v/>
      </c>
      <c r="O220" s="11">
        <f>IF(AND($A220="",$B220="",$G220=""),"",IF(AND($B220&lt;&gt;"",COUNTIFS('2. Soil Data'!$B$5:$B$604,$B220)=0),"Core ID not found in Soil Data, so the corer diameter cannot be looked up. ","")&amp;IF(ASH_CORRECTED&lt;&gt;"Yes","Root mass is NOT ash-corrected, so it includes adhering mineral soil and is too high. Set ASH_CORRECTED once you have done it. ","")&amp;IF(AND(ASH_CORRECTED="Yes",NOT(ISNUMBER($H220))),"Ash correction is switched on but no ash fraction is given for this row. ","")&amp;IF($I220="","Sieve mesh not recorded — a fine-root figure cannot be interpreted without it. ","")&amp;IF(AND(ISNUMBER($H220),$H220&gt;0.5),"Ash fraction above 0.5 — over half this sample was mineral soil. Re-wash. ","")&amp;IF($F220="Not separated","Live and dead not separated. Fine for a stock, but "&amp;"note it in reporting. ",""))</f>
        <v/>
      </c>
      <c r="P220" s="6" t="n"/>
      <c r="Q220" s="9">
        <f>IF($B220="",0,IF(COUNTIFS($B$5:$B220,$B220)=1,1,0))</f>
        <v/>
      </c>
    </row>
    <row r="221">
      <c r="A221" s="6" t="n"/>
      <c r="B221" s="6" t="n"/>
      <c r="C221" s="6" t="n"/>
      <c r="D221" s="6" t="n"/>
      <c r="E221" s="6" t="n"/>
      <c r="F221" s="6" t="n"/>
      <c r="G221" s="7" t="n"/>
      <c r="H221" s="7" t="n"/>
      <c r="I221" s="6" t="n"/>
      <c r="J221" s="9">
        <f>IF(NOT(ISNUMBER($G221)),"",IF(AND(ASH_CORRECTED="Yes",ISNUMBER($H221)),$G221*(1-$H221),$G221))</f>
        <v/>
      </c>
      <c r="K221" s="9">
        <f>IF($B221="","",IFERROR(AVERAGEIFS('2. Soil Data'!$G$5:$G$604,'2. Soil Data'!$B$5:$B$604,$B221),""))</f>
        <v/>
      </c>
      <c r="L221" s="9">
        <f>IF(NOT(ISNUMBER($K221)),"",PI()*($K221/2)^2)</f>
        <v/>
      </c>
      <c r="M221" s="9">
        <f>IF(OR(NOT(ISNUMBER($J221)),NOT(ISNUMBER($L221)),$L221=0),"",$J221/$L221*10000)</f>
        <v/>
      </c>
      <c r="N221" s="9">
        <f>IF(NOT(ISNUMBER($M221)),"",$M221*CARBON_FRACTION_ROOT/1000)</f>
        <v/>
      </c>
      <c r="O221" s="11">
        <f>IF(AND($A221="",$B221="",$G221=""),"",IF(AND($B221&lt;&gt;"",COUNTIFS('2. Soil Data'!$B$5:$B$604,$B221)=0),"Core ID not found in Soil Data, so the corer diameter cannot be looked up. ","")&amp;IF(ASH_CORRECTED&lt;&gt;"Yes","Root mass is NOT ash-corrected, so it includes adhering mineral soil and is too high. Set ASH_CORRECTED once you have done it. ","")&amp;IF(AND(ASH_CORRECTED="Yes",NOT(ISNUMBER($H221))),"Ash correction is switched on but no ash fraction is given for this row. ","")&amp;IF($I221="","Sieve mesh not recorded — a fine-root figure cannot be interpreted without it. ","")&amp;IF(AND(ISNUMBER($H221),$H221&gt;0.5),"Ash fraction above 0.5 — over half this sample was mineral soil. Re-wash. ","")&amp;IF($F221="Not separated","Live and dead not separated. Fine for a stock, but "&amp;"note it in reporting. ",""))</f>
        <v/>
      </c>
      <c r="P221" s="6" t="n"/>
      <c r="Q221" s="9">
        <f>IF($B221="",0,IF(COUNTIFS($B$5:$B221,$B221)=1,1,0))</f>
        <v/>
      </c>
    </row>
    <row r="222">
      <c r="A222" s="6" t="n"/>
      <c r="B222" s="6" t="n"/>
      <c r="C222" s="6" t="n"/>
      <c r="D222" s="6" t="n"/>
      <c r="E222" s="6" t="n"/>
      <c r="F222" s="6" t="n"/>
      <c r="G222" s="7" t="n"/>
      <c r="H222" s="7" t="n"/>
      <c r="I222" s="6" t="n"/>
      <c r="J222" s="9">
        <f>IF(NOT(ISNUMBER($G222)),"",IF(AND(ASH_CORRECTED="Yes",ISNUMBER($H222)),$G222*(1-$H222),$G222))</f>
        <v/>
      </c>
      <c r="K222" s="9">
        <f>IF($B222="","",IFERROR(AVERAGEIFS('2. Soil Data'!$G$5:$G$604,'2. Soil Data'!$B$5:$B$604,$B222),""))</f>
        <v/>
      </c>
      <c r="L222" s="9">
        <f>IF(NOT(ISNUMBER($K222)),"",PI()*($K222/2)^2)</f>
        <v/>
      </c>
      <c r="M222" s="9">
        <f>IF(OR(NOT(ISNUMBER($J222)),NOT(ISNUMBER($L222)),$L222=0),"",$J222/$L222*10000)</f>
        <v/>
      </c>
      <c r="N222" s="9">
        <f>IF(NOT(ISNUMBER($M222)),"",$M222*CARBON_FRACTION_ROOT/1000)</f>
        <v/>
      </c>
      <c r="O222" s="11">
        <f>IF(AND($A222="",$B222="",$G222=""),"",IF(AND($B222&lt;&gt;"",COUNTIFS('2. Soil Data'!$B$5:$B$604,$B222)=0),"Core ID not found in Soil Data, so the corer diameter cannot be looked up. ","")&amp;IF(ASH_CORRECTED&lt;&gt;"Yes","Root mass is NOT ash-corrected, so it includes adhering mineral soil and is too high. Set ASH_CORRECTED once you have done it. ","")&amp;IF(AND(ASH_CORRECTED="Yes",NOT(ISNUMBER($H222))),"Ash correction is switched on but no ash fraction is given for this row. ","")&amp;IF($I222="","Sieve mesh not recorded — a fine-root figure cannot be interpreted without it. ","")&amp;IF(AND(ISNUMBER($H222),$H222&gt;0.5),"Ash fraction above 0.5 — over half this sample was mineral soil. Re-wash. ","")&amp;IF($F222="Not separated","Live and dead not separated. Fine for a stock, but "&amp;"note it in reporting. ",""))</f>
        <v/>
      </c>
      <c r="P222" s="6" t="n"/>
      <c r="Q222" s="9">
        <f>IF($B222="",0,IF(COUNTIFS($B$5:$B222,$B222)=1,1,0))</f>
        <v/>
      </c>
    </row>
    <row r="223">
      <c r="A223" s="6" t="n"/>
      <c r="B223" s="6" t="n"/>
      <c r="C223" s="6" t="n"/>
      <c r="D223" s="6" t="n"/>
      <c r="E223" s="6" t="n"/>
      <c r="F223" s="6" t="n"/>
      <c r="G223" s="7" t="n"/>
      <c r="H223" s="7" t="n"/>
      <c r="I223" s="6" t="n"/>
      <c r="J223" s="9">
        <f>IF(NOT(ISNUMBER($G223)),"",IF(AND(ASH_CORRECTED="Yes",ISNUMBER($H223)),$G223*(1-$H223),$G223))</f>
        <v/>
      </c>
      <c r="K223" s="9">
        <f>IF($B223="","",IFERROR(AVERAGEIFS('2. Soil Data'!$G$5:$G$604,'2. Soil Data'!$B$5:$B$604,$B223),""))</f>
        <v/>
      </c>
      <c r="L223" s="9">
        <f>IF(NOT(ISNUMBER($K223)),"",PI()*($K223/2)^2)</f>
        <v/>
      </c>
      <c r="M223" s="9">
        <f>IF(OR(NOT(ISNUMBER($J223)),NOT(ISNUMBER($L223)),$L223=0),"",$J223/$L223*10000)</f>
        <v/>
      </c>
      <c r="N223" s="9">
        <f>IF(NOT(ISNUMBER($M223)),"",$M223*CARBON_FRACTION_ROOT/1000)</f>
        <v/>
      </c>
      <c r="O223" s="11">
        <f>IF(AND($A223="",$B223="",$G223=""),"",IF(AND($B223&lt;&gt;"",COUNTIFS('2. Soil Data'!$B$5:$B$604,$B223)=0),"Core ID not found in Soil Data, so the corer diameter cannot be looked up. ","")&amp;IF(ASH_CORRECTED&lt;&gt;"Yes","Root mass is NOT ash-corrected, so it includes adhering mineral soil and is too high. Set ASH_CORRECTED once you have done it. ","")&amp;IF(AND(ASH_CORRECTED="Yes",NOT(ISNUMBER($H223))),"Ash correction is switched on but no ash fraction is given for this row. ","")&amp;IF($I223="","Sieve mesh not recorded — a fine-root figure cannot be interpreted without it. ","")&amp;IF(AND(ISNUMBER($H223),$H223&gt;0.5),"Ash fraction above 0.5 — over half this sample was mineral soil. Re-wash. ","")&amp;IF($F223="Not separated","Live and dead not separated. Fine for a stock, but "&amp;"note it in reporting. ",""))</f>
        <v/>
      </c>
      <c r="P223" s="6" t="n"/>
      <c r="Q223" s="9">
        <f>IF($B223="",0,IF(COUNTIFS($B$5:$B223,$B223)=1,1,0))</f>
        <v/>
      </c>
    </row>
    <row r="224">
      <c r="A224" s="6" t="n"/>
      <c r="B224" s="6" t="n"/>
      <c r="C224" s="6" t="n"/>
      <c r="D224" s="6" t="n"/>
      <c r="E224" s="6" t="n"/>
      <c r="F224" s="6" t="n"/>
      <c r="G224" s="7" t="n"/>
      <c r="H224" s="7" t="n"/>
      <c r="I224" s="6" t="n"/>
      <c r="J224" s="9">
        <f>IF(NOT(ISNUMBER($G224)),"",IF(AND(ASH_CORRECTED="Yes",ISNUMBER($H224)),$G224*(1-$H224),$G224))</f>
        <v/>
      </c>
      <c r="K224" s="9">
        <f>IF($B224="","",IFERROR(AVERAGEIFS('2. Soil Data'!$G$5:$G$604,'2. Soil Data'!$B$5:$B$604,$B224),""))</f>
        <v/>
      </c>
      <c r="L224" s="9">
        <f>IF(NOT(ISNUMBER($K224)),"",PI()*($K224/2)^2)</f>
        <v/>
      </c>
      <c r="M224" s="9">
        <f>IF(OR(NOT(ISNUMBER($J224)),NOT(ISNUMBER($L224)),$L224=0),"",$J224/$L224*10000)</f>
        <v/>
      </c>
      <c r="N224" s="9">
        <f>IF(NOT(ISNUMBER($M224)),"",$M224*CARBON_FRACTION_ROOT/1000)</f>
        <v/>
      </c>
      <c r="O224" s="11">
        <f>IF(AND($A224="",$B224="",$G224=""),"",IF(AND($B224&lt;&gt;"",COUNTIFS('2. Soil Data'!$B$5:$B$604,$B224)=0),"Core ID not found in Soil Data, so the corer diameter cannot be looked up. ","")&amp;IF(ASH_CORRECTED&lt;&gt;"Yes","Root mass is NOT ash-corrected, so it includes adhering mineral soil and is too high. Set ASH_CORRECTED once you have done it. ","")&amp;IF(AND(ASH_CORRECTED="Yes",NOT(ISNUMBER($H224))),"Ash correction is switched on but no ash fraction is given for this row. ","")&amp;IF($I224="","Sieve mesh not recorded — a fine-root figure cannot be interpreted without it. ","")&amp;IF(AND(ISNUMBER($H224),$H224&gt;0.5),"Ash fraction above 0.5 — over half this sample was mineral soil. Re-wash. ","")&amp;IF($F224="Not separated","Live and dead not separated. Fine for a stock, but "&amp;"note it in reporting. ",""))</f>
        <v/>
      </c>
      <c r="P224" s="6" t="n"/>
      <c r="Q224" s="9">
        <f>IF($B224="",0,IF(COUNTIFS($B$5:$B224,$B224)=1,1,0))</f>
        <v/>
      </c>
    </row>
    <row r="225">
      <c r="A225" s="6" t="n"/>
      <c r="B225" s="6" t="n"/>
      <c r="C225" s="6" t="n"/>
      <c r="D225" s="6" t="n"/>
      <c r="E225" s="6" t="n"/>
      <c r="F225" s="6" t="n"/>
      <c r="G225" s="7" t="n"/>
      <c r="H225" s="7" t="n"/>
      <c r="I225" s="6" t="n"/>
      <c r="J225" s="9">
        <f>IF(NOT(ISNUMBER($G225)),"",IF(AND(ASH_CORRECTED="Yes",ISNUMBER($H225)),$G225*(1-$H225),$G225))</f>
        <v/>
      </c>
      <c r="K225" s="9">
        <f>IF($B225="","",IFERROR(AVERAGEIFS('2. Soil Data'!$G$5:$G$604,'2. Soil Data'!$B$5:$B$604,$B225),""))</f>
        <v/>
      </c>
      <c r="L225" s="9">
        <f>IF(NOT(ISNUMBER($K225)),"",PI()*($K225/2)^2)</f>
        <v/>
      </c>
      <c r="M225" s="9">
        <f>IF(OR(NOT(ISNUMBER($J225)),NOT(ISNUMBER($L225)),$L225=0),"",$J225/$L225*10000)</f>
        <v/>
      </c>
      <c r="N225" s="9">
        <f>IF(NOT(ISNUMBER($M225)),"",$M225*CARBON_FRACTION_ROOT/1000)</f>
        <v/>
      </c>
      <c r="O225" s="11">
        <f>IF(AND($A225="",$B225="",$G225=""),"",IF(AND($B225&lt;&gt;"",COUNTIFS('2. Soil Data'!$B$5:$B$604,$B225)=0),"Core ID not found in Soil Data, so the corer diameter cannot be looked up. ","")&amp;IF(ASH_CORRECTED&lt;&gt;"Yes","Root mass is NOT ash-corrected, so it includes adhering mineral soil and is too high. Set ASH_CORRECTED once you have done it. ","")&amp;IF(AND(ASH_CORRECTED="Yes",NOT(ISNUMBER($H225))),"Ash correction is switched on but no ash fraction is given for this row. ","")&amp;IF($I225="","Sieve mesh not recorded — a fine-root figure cannot be interpreted without it. ","")&amp;IF(AND(ISNUMBER($H225),$H225&gt;0.5),"Ash fraction above 0.5 — over half this sample was mineral soil. Re-wash. ","")&amp;IF($F225="Not separated","Live and dead not separated. Fine for a stock, but "&amp;"note it in reporting. ",""))</f>
        <v/>
      </c>
      <c r="P225" s="6" t="n"/>
      <c r="Q225" s="9">
        <f>IF($B225="",0,IF(COUNTIFS($B$5:$B225,$B225)=1,1,0))</f>
        <v/>
      </c>
    </row>
    <row r="226">
      <c r="A226" s="6" t="n"/>
      <c r="B226" s="6" t="n"/>
      <c r="C226" s="6" t="n"/>
      <c r="D226" s="6" t="n"/>
      <c r="E226" s="6" t="n"/>
      <c r="F226" s="6" t="n"/>
      <c r="G226" s="7" t="n"/>
      <c r="H226" s="7" t="n"/>
      <c r="I226" s="6" t="n"/>
      <c r="J226" s="9">
        <f>IF(NOT(ISNUMBER($G226)),"",IF(AND(ASH_CORRECTED="Yes",ISNUMBER($H226)),$G226*(1-$H226),$G226))</f>
        <v/>
      </c>
      <c r="K226" s="9">
        <f>IF($B226="","",IFERROR(AVERAGEIFS('2. Soil Data'!$G$5:$G$604,'2. Soil Data'!$B$5:$B$604,$B226),""))</f>
        <v/>
      </c>
      <c r="L226" s="9">
        <f>IF(NOT(ISNUMBER($K226)),"",PI()*($K226/2)^2)</f>
        <v/>
      </c>
      <c r="M226" s="9">
        <f>IF(OR(NOT(ISNUMBER($J226)),NOT(ISNUMBER($L226)),$L226=0),"",$J226/$L226*10000)</f>
        <v/>
      </c>
      <c r="N226" s="9">
        <f>IF(NOT(ISNUMBER($M226)),"",$M226*CARBON_FRACTION_ROOT/1000)</f>
        <v/>
      </c>
      <c r="O226" s="11">
        <f>IF(AND($A226="",$B226="",$G226=""),"",IF(AND($B226&lt;&gt;"",COUNTIFS('2. Soil Data'!$B$5:$B$604,$B226)=0),"Core ID not found in Soil Data, so the corer diameter cannot be looked up. ","")&amp;IF(ASH_CORRECTED&lt;&gt;"Yes","Root mass is NOT ash-corrected, so it includes adhering mineral soil and is too high. Set ASH_CORRECTED once you have done it. ","")&amp;IF(AND(ASH_CORRECTED="Yes",NOT(ISNUMBER($H226))),"Ash correction is switched on but no ash fraction is given for this row. ","")&amp;IF($I226="","Sieve mesh not recorded — a fine-root figure cannot be interpreted without it. ","")&amp;IF(AND(ISNUMBER($H226),$H226&gt;0.5),"Ash fraction above 0.5 — over half this sample was mineral soil. Re-wash. ","")&amp;IF($F226="Not separated","Live and dead not separated. Fine for a stock, but "&amp;"note it in reporting. ",""))</f>
        <v/>
      </c>
      <c r="P226" s="6" t="n"/>
      <c r="Q226" s="9">
        <f>IF($B226="",0,IF(COUNTIFS($B$5:$B226,$B226)=1,1,0))</f>
        <v/>
      </c>
    </row>
    <row r="227">
      <c r="A227" s="6" t="n"/>
      <c r="B227" s="6" t="n"/>
      <c r="C227" s="6" t="n"/>
      <c r="D227" s="6" t="n"/>
      <c r="E227" s="6" t="n"/>
      <c r="F227" s="6" t="n"/>
      <c r="G227" s="7" t="n"/>
      <c r="H227" s="7" t="n"/>
      <c r="I227" s="6" t="n"/>
      <c r="J227" s="9">
        <f>IF(NOT(ISNUMBER($G227)),"",IF(AND(ASH_CORRECTED="Yes",ISNUMBER($H227)),$G227*(1-$H227),$G227))</f>
        <v/>
      </c>
      <c r="K227" s="9">
        <f>IF($B227="","",IFERROR(AVERAGEIFS('2. Soil Data'!$G$5:$G$604,'2. Soil Data'!$B$5:$B$604,$B227),""))</f>
        <v/>
      </c>
      <c r="L227" s="9">
        <f>IF(NOT(ISNUMBER($K227)),"",PI()*($K227/2)^2)</f>
        <v/>
      </c>
      <c r="M227" s="9">
        <f>IF(OR(NOT(ISNUMBER($J227)),NOT(ISNUMBER($L227)),$L227=0),"",$J227/$L227*10000)</f>
        <v/>
      </c>
      <c r="N227" s="9">
        <f>IF(NOT(ISNUMBER($M227)),"",$M227*CARBON_FRACTION_ROOT/1000)</f>
        <v/>
      </c>
      <c r="O227" s="11">
        <f>IF(AND($A227="",$B227="",$G227=""),"",IF(AND($B227&lt;&gt;"",COUNTIFS('2. Soil Data'!$B$5:$B$604,$B227)=0),"Core ID not found in Soil Data, so the corer diameter cannot be looked up. ","")&amp;IF(ASH_CORRECTED&lt;&gt;"Yes","Root mass is NOT ash-corrected, so it includes adhering mineral soil and is too high. Set ASH_CORRECTED once you have done it. ","")&amp;IF(AND(ASH_CORRECTED="Yes",NOT(ISNUMBER($H227))),"Ash correction is switched on but no ash fraction is given for this row. ","")&amp;IF($I227="","Sieve mesh not recorded — a fine-root figure cannot be interpreted without it. ","")&amp;IF(AND(ISNUMBER($H227),$H227&gt;0.5),"Ash fraction above 0.5 — over half this sample was mineral soil. Re-wash. ","")&amp;IF($F227="Not separated","Live and dead not separated. Fine for a stock, but "&amp;"note it in reporting. ",""))</f>
        <v/>
      </c>
      <c r="P227" s="6" t="n"/>
      <c r="Q227" s="9">
        <f>IF($B227="",0,IF(COUNTIFS($B$5:$B227,$B227)=1,1,0))</f>
        <v/>
      </c>
    </row>
    <row r="228">
      <c r="A228" s="6" t="n"/>
      <c r="B228" s="6" t="n"/>
      <c r="C228" s="6" t="n"/>
      <c r="D228" s="6" t="n"/>
      <c r="E228" s="6" t="n"/>
      <c r="F228" s="6" t="n"/>
      <c r="G228" s="7" t="n"/>
      <c r="H228" s="7" t="n"/>
      <c r="I228" s="6" t="n"/>
      <c r="J228" s="9">
        <f>IF(NOT(ISNUMBER($G228)),"",IF(AND(ASH_CORRECTED="Yes",ISNUMBER($H228)),$G228*(1-$H228),$G228))</f>
        <v/>
      </c>
      <c r="K228" s="9">
        <f>IF($B228="","",IFERROR(AVERAGEIFS('2. Soil Data'!$G$5:$G$604,'2. Soil Data'!$B$5:$B$604,$B228),""))</f>
        <v/>
      </c>
      <c r="L228" s="9">
        <f>IF(NOT(ISNUMBER($K228)),"",PI()*($K228/2)^2)</f>
        <v/>
      </c>
      <c r="M228" s="9">
        <f>IF(OR(NOT(ISNUMBER($J228)),NOT(ISNUMBER($L228)),$L228=0),"",$J228/$L228*10000)</f>
        <v/>
      </c>
      <c r="N228" s="9">
        <f>IF(NOT(ISNUMBER($M228)),"",$M228*CARBON_FRACTION_ROOT/1000)</f>
        <v/>
      </c>
      <c r="O228" s="11">
        <f>IF(AND($A228="",$B228="",$G228=""),"",IF(AND($B228&lt;&gt;"",COUNTIFS('2. Soil Data'!$B$5:$B$604,$B228)=0),"Core ID not found in Soil Data, so the corer diameter cannot be looked up. ","")&amp;IF(ASH_CORRECTED&lt;&gt;"Yes","Root mass is NOT ash-corrected, so it includes adhering mineral soil and is too high. Set ASH_CORRECTED once you have done it. ","")&amp;IF(AND(ASH_CORRECTED="Yes",NOT(ISNUMBER($H228))),"Ash correction is switched on but no ash fraction is given for this row. ","")&amp;IF($I228="","Sieve mesh not recorded — a fine-root figure cannot be interpreted without it. ","")&amp;IF(AND(ISNUMBER($H228),$H228&gt;0.5),"Ash fraction above 0.5 — over half this sample was mineral soil. Re-wash. ","")&amp;IF($F228="Not separated","Live and dead not separated. Fine for a stock, but "&amp;"note it in reporting. ",""))</f>
        <v/>
      </c>
      <c r="P228" s="6" t="n"/>
      <c r="Q228" s="9">
        <f>IF($B228="",0,IF(COUNTIFS($B$5:$B228,$B228)=1,1,0))</f>
        <v/>
      </c>
    </row>
    <row r="229">
      <c r="A229" s="6" t="n"/>
      <c r="B229" s="6" t="n"/>
      <c r="C229" s="6" t="n"/>
      <c r="D229" s="6" t="n"/>
      <c r="E229" s="6" t="n"/>
      <c r="F229" s="6" t="n"/>
      <c r="G229" s="7" t="n"/>
      <c r="H229" s="7" t="n"/>
      <c r="I229" s="6" t="n"/>
      <c r="J229" s="9">
        <f>IF(NOT(ISNUMBER($G229)),"",IF(AND(ASH_CORRECTED="Yes",ISNUMBER($H229)),$G229*(1-$H229),$G229))</f>
        <v/>
      </c>
      <c r="K229" s="9">
        <f>IF($B229="","",IFERROR(AVERAGEIFS('2. Soil Data'!$G$5:$G$604,'2. Soil Data'!$B$5:$B$604,$B229),""))</f>
        <v/>
      </c>
      <c r="L229" s="9">
        <f>IF(NOT(ISNUMBER($K229)),"",PI()*($K229/2)^2)</f>
        <v/>
      </c>
      <c r="M229" s="9">
        <f>IF(OR(NOT(ISNUMBER($J229)),NOT(ISNUMBER($L229)),$L229=0),"",$J229/$L229*10000)</f>
        <v/>
      </c>
      <c r="N229" s="9">
        <f>IF(NOT(ISNUMBER($M229)),"",$M229*CARBON_FRACTION_ROOT/1000)</f>
        <v/>
      </c>
      <c r="O229" s="11">
        <f>IF(AND($A229="",$B229="",$G229=""),"",IF(AND($B229&lt;&gt;"",COUNTIFS('2. Soil Data'!$B$5:$B$604,$B229)=0),"Core ID not found in Soil Data, so the corer diameter cannot be looked up. ","")&amp;IF(ASH_CORRECTED&lt;&gt;"Yes","Root mass is NOT ash-corrected, so it includes adhering mineral soil and is too high. Set ASH_CORRECTED once you have done it. ","")&amp;IF(AND(ASH_CORRECTED="Yes",NOT(ISNUMBER($H229))),"Ash correction is switched on but no ash fraction is given for this row. ","")&amp;IF($I229="","Sieve mesh not recorded — a fine-root figure cannot be interpreted without it. ","")&amp;IF(AND(ISNUMBER($H229),$H229&gt;0.5),"Ash fraction above 0.5 — over half this sample was mineral soil. Re-wash. ","")&amp;IF($F229="Not separated","Live and dead not separated. Fine for a stock, but "&amp;"note it in reporting. ",""))</f>
        <v/>
      </c>
      <c r="P229" s="6" t="n"/>
      <c r="Q229" s="9">
        <f>IF($B229="",0,IF(COUNTIFS($B$5:$B229,$B229)=1,1,0))</f>
        <v/>
      </c>
    </row>
    <row r="230">
      <c r="A230" s="6" t="n"/>
      <c r="B230" s="6" t="n"/>
      <c r="C230" s="6" t="n"/>
      <c r="D230" s="6" t="n"/>
      <c r="E230" s="6" t="n"/>
      <c r="F230" s="6" t="n"/>
      <c r="G230" s="7" t="n"/>
      <c r="H230" s="7" t="n"/>
      <c r="I230" s="6" t="n"/>
      <c r="J230" s="9">
        <f>IF(NOT(ISNUMBER($G230)),"",IF(AND(ASH_CORRECTED="Yes",ISNUMBER($H230)),$G230*(1-$H230),$G230))</f>
        <v/>
      </c>
      <c r="K230" s="9">
        <f>IF($B230="","",IFERROR(AVERAGEIFS('2. Soil Data'!$G$5:$G$604,'2. Soil Data'!$B$5:$B$604,$B230),""))</f>
        <v/>
      </c>
      <c r="L230" s="9">
        <f>IF(NOT(ISNUMBER($K230)),"",PI()*($K230/2)^2)</f>
        <v/>
      </c>
      <c r="M230" s="9">
        <f>IF(OR(NOT(ISNUMBER($J230)),NOT(ISNUMBER($L230)),$L230=0),"",$J230/$L230*10000)</f>
        <v/>
      </c>
      <c r="N230" s="9">
        <f>IF(NOT(ISNUMBER($M230)),"",$M230*CARBON_FRACTION_ROOT/1000)</f>
        <v/>
      </c>
      <c r="O230" s="11">
        <f>IF(AND($A230="",$B230="",$G230=""),"",IF(AND($B230&lt;&gt;"",COUNTIFS('2. Soil Data'!$B$5:$B$604,$B230)=0),"Core ID not found in Soil Data, so the corer diameter cannot be looked up. ","")&amp;IF(ASH_CORRECTED&lt;&gt;"Yes","Root mass is NOT ash-corrected, so it includes adhering mineral soil and is too high. Set ASH_CORRECTED once you have done it. ","")&amp;IF(AND(ASH_CORRECTED="Yes",NOT(ISNUMBER($H230))),"Ash correction is switched on but no ash fraction is given for this row. ","")&amp;IF($I230="","Sieve mesh not recorded — a fine-root figure cannot be interpreted without it. ","")&amp;IF(AND(ISNUMBER($H230),$H230&gt;0.5),"Ash fraction above 0.5 — over half this sample was mineral soil. Re-wash. ","")&amp;IF($F230="Not separated","Live and dead not separated. Fine for a stock, but "&amp;"note it in reporting. ",""))</f>
        <v/>
      </c>
      <c r="P230" s="6" t="n"/>
      <c r="Q230" s="9">
        <f>IF($B230="",0,IF(COUNTIFS($B$5:$B230,$B230)=1,1,0))</f>
        <v/>
      </c>
    </row>
    <row r="231">
      <c r="A231" s="6" t="n"/>
      <c r="B231" s="6" t="n"/>
      <c r="C231" s="6" t="n"/>
      <c r="D231" s="6" t="n"/>
      <c r="E231" s="6" t="n"/>
      <c r="F231" s="6" t="n"/>
      <c r="G231" s="7" t="n"/>
      <c r="H231" s="7" t="n"/>
      <c r="I231" s="6" t="n"/>
      <c r="J231" s="9">
        <f>IF(NOT(ISNUMBER($G231)),"",IF(AND(ASH_CORRECTED="Yes",ISNUMBER($H231)),$G231*(1-$H231),$G231))</f>
        <v/>
      </c>
      <c r="K231" s="9">
        <f>IF($B231="","",IFERROR(AVERAGEIFS('2. Soil Data'!$G$5:$G$604,'2. Soil Data'!$B$5:$B$604,$B231),""))</f>
        <v/>
      </c>
      <c r="L231" s="9">
        <f>IF(NOT(ISNUMBER($K231)),"",PI()*($K231/2)^2)</f>
        <v/>
      </c>
      <c r="M231" s="9">
        <f>IF(OR(NOT(ISNUMBER($J231)),NOT(ISNUMBER($L231)),$L231=0),"",$J231/$L231*10000)</f>
        <v/>
      </c>
      <c r="N231" s="9">
        <f>IF(NOT(ISNUMBER($M231)),"",$M231*CARBON_FRACTION_ROOT/1000)</f>
        <v/>
      </c>
      <c r="O231" s="11">
        <f>IF(AND($A231="",$B231="",$G231=""),"",IF(AND($B231&lt;&gt;"",COUNTIFS('2. Soil Data'!$B$5:$B$604,$B231)=0),"Core ID not found in Soil Data, so the corer diameter cannot be looked up. ","")&amp;IF(ASH_CORRECTED&lt;&gt;"Yes","Root mass is NOT ash-corrected, so it includes adhering mineral soil and is too high. Set ASH_CORRECTED once you have done it. ","")&amp;IF(AND(ASH_CORRECTED="Yes",NOT(ISNUMBER($H231))),"Ash correction is switched on but no ash fraction is given for this row. ","")&amp;IF($I231="","Sieve mesh not recorded — a fine-root figure cannot be interpreted without it. ","")&amp;IF(AND(ISNUMBER($H231),$H231&gt;0.5),"Ash fraction above 0.5 — over half this sample was mineral soil. Re-wash. ","")&amp;IF($F231="Not separated","Live and dead not separated. Fine for a stock, but "&amp;"note it in reporting. ",""))</f>
        <v/>
      </c>
      <c r="P231" s="6" t="n"/>
      <c r="Q231" s="9">
        <f>IF($B231="",0,IF(COUNTIFS($B$5:$B231,$B231)=1,1,0))</f>
        <v/>
      </c>
    </row>
    <row r="232">
      <c r="A232" s="6" t="n"/>
      <c r="B232" s="6" t="n"/>
      <c r="C232" s="6" t="n"/>
      <c r="D232" s="6" t="n"/>
      <c r="E232" s="6" t="n"/>
      <c r="F232" s="6" t="n"/>
      <c r="G232" s="7" t="n"/>
      <c r="H232" s="7" t="n"/>
      <c r="I232" s="6" t="n"/>
      <c r="J232" s="9">
        <f>IF(NOT(ISNUMBER($G232)),"",IF(AND(ASH_CORRECTED="Yes",ISNUMBER($H232)),$G232*(1-$H232),$G232))</f>
        <v/>
      </c>
      <c r="K232" s="9">
        <f>IF($B232="","",IFERROR(AVERAGEIFS('2. Soil Data'!$G$5:$G$604,'2. Soil Data'!$B$5:$B$604,$B232),""))</f>
        <v/>
      </c>
      <c r="L232" s="9">
        <f>IF(NOT(ISNUMBER($K232)),"",PI()*($K232/2)^2)</f>
        <v/>
      </c>
      <c r="M232" s="9">
        <f>IF(OR(NOT(ISNUMBER($J232)),NOT(ISNUMBER($L232)),$L232=0),"",$J232/$L232*10000)</f>
        <v/>
      </c>
      <c r="N232" s="9">
        <f>IF(NOT(ISNUMBER($M232)),"",$M232*CARBON_FRACTION_ROOT/1000)</f>
        <v/>
      </c>
      <c r="O232" s="11">
        <f>IF(AND($A232="",$B232="",$G232=""),"",IF(AND($B232&lt;&gt;"",COUNTIFS('2. Soil Data'!$B$5:$B$604,$B232)=0),"Core ID not found in Soil Data, so the corer diameter cannot be looked up. ","")&amp;IF(ASH_CORRECTED&lt;&gt;"Yes","Root mass is NOT ash-corrected, so it includes adhering mineral soil and is too high. Set ASH_CORRECTED once you have done it. ","")&amp;IF(AND(ASH_CORRECTED="Yes",NOT(ISNUMBER($H232))),"Ash correction is switched on but no ash fraction is given for this row. ","")&amp;IF($I232="","Sieve mesh not recorded — a fine-root figure cannot be interpreted without it. ","")&amp;IF(AND(ISNUMBER($H232),$H232&gt;0.5),"Ash fraction above 0.5 — over half this sample was mineral soil. Re-wash. ","")&amp;IF($F232="Not separated","Live and dead not separated. Fine for a stock, but "&amp;"note it in reporting. ",""))</f>
        <v/>
      </c>
      <c r="P232" s="6" t="n"/>
      <c r="Q232" s="9">
        <f>IF($B232="",0,IF(COUNTIFS($B$5:$B232,$B232)=1,1,0))</f>
        <v/>
      </c>
    </row>
    <row r="233">
      <c r="A233" s="6" t="n"/>
      <c r="B233" s="6" t="n"/>
      <c r="C233" s="6" t="n"/>
      <c r="D233" s="6" t="n"/>
      <c r="E233" s="6" t="n"/>
      <c r="F233" s="6" t="n"/>
      <c r="G233" s="7" t="n"/>
      <c r="H233" s="7" t="n"/>
      <c r="I233" s="6" t="n"/>
      <c r="J233" s="9">
        <f>IF(NOT(ISNUMBER($G233)),"",IF(AND(ASH_CORRECTED="Yes",ISNUMBER($H233)),$G233*(1-$H233),$G233))</f>
        <v/>
      </c>
      <c r="K233" s="9">
        <f>IF($B233="","",IFERROR(AVERAGEIFS('2. Soil Data'!$G$5:$G$604,'2. Soil Data'!$B$5:$B$604,$B233),""))</f>
        <v/>
      </c>
      <c r="L233" s="9">
        <f>IF(NOT(ISNUMBER($K233)),"",PI()*($K233/2)^2)</f>
        <v/>
      </c>
      <c r="M233" s="9">
        <f>IF(OR(NOT(ISNUMBER($J233)),NOT(ISNUMBER($L233)),$L233=0),"",$J233/$L233*10000)</f>
        <v/>
      </c>
      <c r="N233" s="9">
        <f>IF(NOT(ISNUMBER($M233)),"",$M233*CARBON_FRACTION_ROOT/1000)</f>
        <v/>
      </c>
      <c r="O233" s="11">
        <f>IF(AND($A233="",$B233="",$G233=""),"",IF(AND($B233&lt;&gt;"",COUNTIFS('2. Soil Data'!$B$5:$B$604,$B233)=0),"Core ID not found in Soil Data, so the corer diameter cannot be looked up. ","")&amp;IF(ASH_CORRECTED&lt;&gt;"Yes","Root mass is NOT ash-corrected, so it includes adhering mineral soil and is too high. Set ASH_CORRECTED once you have done it. ","")&amp;IF(AND(ASH_CORRECTED="Yes",NOT(ISNUMBER($H233))),"Ash correction is switched on but no ash fraction is given for this row. ","")&amp;IF($I233="","Sieve mesh not recorded — a fine-root figure cannot be interpreted without it. ","")&amp;IF(AND(ISNUMBER($H233),$H233&gt;0.5),"Ash fraction above 0.5 — over half this sample was mineral soil. Re-wash. ","")&amp;IF($F233="Not separated","Live and dead not separated. Fine for a stock, but "&amp;"note it in reporting. ",""))</f>
        <v/>
      </c>
      <c r="P233" s="6" t="n"/>
      <c r="Q233" s="9">
        <f>IF($B233="",0,IF(COUNTIFS($B$5:$B233,$B233)=1,1,0))</f>
        <v/>
      </c>
    </row>
    <row r="234">
      <c r="A234" s="6" t="n"/>
      <c r="B234" s="6" t="n"/>
      <c r="C234" s="6" t="n"/>
      <c r="D234" s="6" t="n"/>
      <c r="E234" s="6" t="n"/>
      <c r="F234" s="6" t="n"/>
      <c r="G234" s="7" t="n"/>
      <c r="H234" s="7" t="n"/>
      <c r="I234" s="6" t="n"/>
      <c r="J234" s="9">
        <f>IF(NOT(ISNUMBER($G234)),"",IF(AND(ASH_CORRECTED="Yes",ISNUMBER($H234)),$G234*(1-$H234),$G234))</f>
        <v/>
      </c>
      <c r="K234" s="9">
        <f>IF($B234="","",IFERROR(AVERAGEIFS('2. Soil Data'!$G$5:$G$604,'2. Soil Data'!$B$5:$B$604,$B234),""))</f>
        <v/>
      </c>
      <c r="L234" s="9">
        <f>IF(NOT(ISNUMBER($K234)),"",PI()*($K234/2)^2)</f>
        <v/>
      </c>
      <c r="M234" s="9">
        <f>IF(OR(NOT(ISNUMBER($J234)),NOT(ISNUMBER($L234)),$L234=0),"",$J234/$L234*10000)</f>
        <v/>
      </c>
      <c r="N234" s="9">
        <f>IF(NOT(ISNUMBER($M234)),"",$M234*CARBON_FRACTION_ROOT/1000)</f>
        <v/>
      </c>
      <c r="O234" s="11">
        <f>IF(AND($A234="",$B234="",$G234=""),"",IF(AND($B234&lt;&gt;"",COUNTIFS('2. Soil Data'!$B$5:$B$604,$B234)=0),"Core ID not found in Soil Data, so the corer diameter cannot be looked up. ","")&amp;IF(ASH_CORRECTED&lt;&gt;"Yes","Root mass is NOT ash-corrected, so it includes adhering mineral soil and is too high. Set ASH_CORRECTED once you have done it. ","")&amp;IF(AND(ASH_CORRECTED="Yes",NOT(ISNUMBER($H234))),"Ash correction is switched on but no ash fraction is given for this row. ","")&amp;IF($I234="","Sieve mesh not recorded — a fine-root figure cannot be interpreted without it. ","")&amp;IF(AND(ISNUMBER($H234),$H234&gt;0.5),"Ash fraction above 0.5 — over half this sample was mineral soil. Re-wash. ","")&amp;IF($F234="Not separated","Live and dead not separated. Fine for a stock, but "&amp;"note it in reporting. ",""))</f>
        <v/>
      </c>
      <c r="P234" s="6" t="n"/>
      <c r="Q234" s="9">
        <f>IF($B234="",0,IF(COUNTIFS($B$5:$B234,$B234)=1,1,0))</f>
        <v/>
      </c>
    </row>
    <row r="235">
      <c r="A235" s="6" t="n"/>
      <c r="B235" s="6" t="n"/>
      <c r="C235" s="6" t="n"/>
      <c r="D235" s="6" t="n"/>
      <c r="E235" s="6" t="n"/>
      <c r="F235" s="6" t="n"/>
      <c r="G235" s="7" t="n"/>
      <c r="H235" s="7" t="n"/>
      <c r="I235" s="6" t="n"/>
      <c r="J235" s="9">
        <f>IF(NOT(ISNUMBER($G235)),"",IF(AND(ASH_CORRECTED="Yes",ISNUMBER($H235)),$G235*(1-$H235),$G235))</f>
        <v/>
      </c>
      <c r="K235" s="9">
        <f>IF($B235="","",IFERROR(AVERAGEIFS('2. Soil Data'!$G$5:$G$604,'2. Soil Data'!$B$5:$B$604,$B235),""))</f>
        <v/>
      </c>
      <c r="L235" s="9">
        <f>IF(NOT(ISNUMBER($K235)),"",PI()*($K235/2)^2)</f>
        <v/>
      </c>
      <c r="M235" s="9">
        <f>IF(OR(NOT(ISNUMBER($J235)),NOT(ISNUMBER($L235)),$L235=0),"",$J235/$L235*10000)</f>
        <v/>
      </c>
      <c r="N235" s="9">
        <f>IF(NOT(ISNUMBER($M235)),"",$M235*CARBON_FRACTION_ROOT/1000)</f>
        <v/>
      </c>
      <c r="O235" s="11">
        <f>IF(AND($A235="",$B235="",$G235=""),"",IF(AND($B235&lt;&gt;"",COUNTIFS('2. Soil Data'!$B$5:$B$604,$B235)=0),"Core ID not found in Soil Data, so the corer diameter cannot be looked up. ","")&amp;IF(ASH_CORRECTED&lt;&gt;"Yes","Root mass is NOT ash-corrected, so it includes adhering mineral soil and is too high. Set ASH_CORRECTED once you have done it. ","")&amp;IF(AND(ASH_CORRECTED="Yes",NOT(ISNUMBER($H235))),"Ash correction is switched on but no ash fraction is given for this row. ","")&amp;IF($I235="","Sieve mesh not recorded — a fine-root figure cannot be interpreted without it. ","")&amp;IF(AND(ISNUMBER($H235),$H235&gt;0.5),"Ash fraction above 0.5 — over half this sample was mineral soil. Re-wash. ","")&amp;IF($F235="Not separated","Live and dead not separated. Fine for a stock, but "&amp;"note it in reporting. ",""))</f>
        <v/>
      </c>
      <c r="P235" s="6" t="n"/>
      <c r="Q235" s="9">
        <f>IF($B235="",0,IF(COUNTIFS($B$5:$B235,$B235)=1,1,0))</f>
        <v/>
      </c>
    </row>
    <row r="236">
      <c r="A236" s="6" t="n"/>
      <c r="B236" s="6" t="n"/>
      <c r="C236" s="6" t="n"/>
      <c r="D236" s="6" t="n"/>
      <c r="E236" s="6" t="n"/>
      <c r="F236" s="6" t="n"/>
      <c r="G236" s="7" t="n"/>
      <c r="H236" s="7" t="n"/>
      <c r="I236" s="6" t="n"/>
      <c r="J236" s="9">
        <f>IF(NOT(ISNUMBER($G236)),"",IF(AND(ASH_CORRECTED="Yes",ISNUMBER($H236)),$G236*(1-$H236),$G236))</f>
        <v/>
      </c>
      <c r="K236" s="9">
        <f>IF($B236="","",IFERROR(AVERAGEIFS('2. Soil Data'!$G$5:$G$604,'2. Soil Data'!$B$5:$B$604,$B236),""))</f>
        <v/>
      </c>
      <c r="L236" s="9">
        <f>IF(NOT(ISNUMBER($K236)),"",PI()*($K236/2)^2)</f>
        <v/>
      </c>
      <c r="M236" s="9">
        <f>IF(OR(NOT(ISNUMBER($J236)),NOT(ISNUMBER($L236)),$L236=0),"",$J236/$L236*10000)</f>
        <v/>
      </c>
      <c r="N236" s="9">
        <f>IF(NOT(ISNUMBER($M236)),"",$M236*CARBON_FRACTION_ROOT/1000)</f>
        <v/>
      </c>
      <c r="O236" s="11">
        <f>IF(AND($A236="",$B236="",$G236=""),"",IF(AND($B236&lt;&gt;"",COUNTIFS('2. Soil Data'!$B$5:$B$604,$B236)=0),"Core ID not found in Soil Data, so the corer diameter cannot be looked up. ","")&amp;IF(ASH_CORRECTED&lt;&gt;"Yes","Root mass is NOT ash-corrected, so it includes adhering mineral soil and is too high. Set ASH_CORRECTED once you have done it. ","")&amp;IF(AND(ASH_CORRECTED="Yes",NOT(ISNUMBER($H236))),"Ash correction is switched on but no ash fraction is given for this row. ","")&amp;IF($I236="","Sieve mesh not recorded — a fine-root figure cannot be interpreted without it. ","")&amp;IF(AND(ISNUMBER($H236),$H236&gt;0.5),"Ash fraction above 0.5 — over half this sample was mineral soil. Re-wash. ","")&amp;IF($F236="Not separated","Live and dead not separated. Fine for a stock, but "&amp;"note it in reporting. ",""))</f>
        <v/>
      </c>
      <c r="P236" s="6" t="n"/>
      <c r="Q236" s="9">
        <f>IF($B236="",0,IF(COUNTIFS($B$5:$B236,$B236)=1,1,0))</f>
        <v/>
      </c>
    </row>
    <row r="237">
      <c r="A237" s="6" t="n"/>
      <c r="B237" s="6" t="n"/>
      <c r="C237" s="6" t="n"/>
      <c r="D237" s="6" t="n"/>
      <c r="E237" s="6" t="n"/>
      <c r="F237" s="6" t="n"/>
      <c r="G237" s="7" t="n"/>
      <c r="H237" s="7" t="n"/>
      <c r="I237" s="6" t="n"/>
      <c r="J237" s="9">
        <f>IF(NOT(ISNUMBER($G237)),"",IF(AND(ASH_CORRECTED="Yes",ISNUMBER($H237)),$G237*(1-$H237),$G237))</f>
        <v/>
      </c>
      <c r="K237" s="9">
        <f>IF($B237="","",IFERROR(AVERAGEIFS('2. Soil Data'!$G$5:$G$604,'2. Soil Data'!$B$5:$B$604,$B237),""))</f>
        <v/>
      </c>
      <c r="L237" s="9">
        <f>IF(NOT(ISNUMBER($K237)),"",PI()*($K237/2)^2)</f>
        <v/>
      </c>
      <c r="M237" s="9">
        <f>IF(OR(NOT(ISNUMBER($J237)),NOT(ISNUMBER($L237)),$L237=0),"",$J237/$L237*10000)</f>
        <v/>
      </c>
      <c r="N237" s="9">
        <f>IF(NOT(ISNUMBER($M237)),"",$M237*CARBON_FRACTION_ROOT/1000)</f>
        <v/>
      </c>
      <c r="O237" s="11">
        <f>IF(AND($A237="",$B237="",$G237=""),"",IF(AND($B237&lt;&gt;"",COUNTIFS('2. Soil Data'!$B$5:$B$604,$B237)=0),"Core ID not found in Soil Data, so the corer diameter cannot be looked up. ","")&amp;IF(ASH_CORRECTED&lt;&gt;"Yes","Root mass is NOT ash-corrected, so it includes adhering mineral soil and is too high. Set ASH_CORRECTED once you have done it. ","")&amp;IF(AND(ASH_CORRECTED="Yes",NOT(ISNUMBER($H237))),"Ash correction is switched on but no ash fraction is given for this row. ","")&amp;IF($I237="","Sieve mesh not recorded — a fine-root figure cannot be interpreted without it. ","")&amp;IF(AND(ISNUMBER($H237),$H237&gt;0.5),"Ash fraction above 0.5 — over half this sample was mineral soil. Re-wash. ","")&amp;IF($F237="Not separated","Live and dead not separated. Fine for a stock, but "&amp;"note it in reporting. ",""))</f>
        <v/>
      </c>
      <c r="P237" s="6" t="n"/>
      <c r="Q237" s="9">
        <f>IF($B237="",0,IF(COUNTIFS($B$5:$B237,$B237)=1,1,0))</f>
        <v/>
      </c>
    </row>
    <row r="238">
      <c r="A238" s="6" t="n"/>
      <c r="B238" s="6" t="n"/>
      <c r="C238" s="6" t="n"/>
      <c r="D238" s="6" t="n"/>
      <c r="E238" s="6" t="n"/>
      <c r="F238" s="6" t="n"/>
      <c r="G238" s="7" t="n"/>
      <c r="H238" s="7" t="n"/>
      <c r="I238" s="6" t="n"/>
      <c r="J238" s="9">
        <f>IF(NOT(ISNUMBER($G238)),"",IF(AND(ASH_CORRECTED="Yes",ISNUMBER($H238)),$G238*(1-$H238),$G238))</f>
        <v/>
      </c>
      <c r="K238" s="9">
        <f>IF($B238="","",IFERROR(AVERAGEIFS('2. Soil Data'!$G$5:$G$604,'2. Soil Data'!$B$5:$B$604,$B238),""))</f>
        <v/>
      </c>
      <c r="L238" s="9">
        <f>IF(NOT(ISNUMBER($K238)),"",PI()*($K238/2)^2)</f>
        <v/>
      </c>
      <c r="M238" s="9">
        <f>IF(OR(NOT(ISNUMBER($J238)),NOT(ISNUMBER($L238)),$L238=0),"",$J238/$L238*10000)</f>
        <v/>
      </c>
      <c r="N238" s="9">
        <f>IF(NOT(ISNUMBER($M238)),"",$M238*CARBON_FRACTION_ROOT/1000)</f>
        <v/>
      </c>
      <c r="O238" s="11">
        <f>IF(AND($A238="",$B238="",$G238=""),"",IF(AND($B238&lt;&gt;"",COUNTIFS('2. Soil Data'!$B$5:$B$604,$B238)=0),"Core ID not found in Soil Data, so the corer diameter cannot be looked up. ","")&amp;IF(ASH_CORRECTED&lt;&gt;"Yes","Root mass is NOT ash-corrected, so it includes adhering mineral soil and is too high. Set ASH_CORRECTED once you have done it. ","")&amp;IF(AND(ASH_CORRECTED="Yes",NOT(ISNUMBER($H238))),"Ash correction is switched on but no ash fraction is given for this row. ","")&amp;IF($I238="","Sieve mesh not recorded — a fine-root figure cannot be interpreted without it. ","")&amp;IF(AND(ISNUMBER($H238),$H238&gt;0.5),"Ash fraction above 0.5 — over half this sample was mineral soil. Re-wash. ","")&amp;IF($F238="Not separated","Live and dead not separated. Fine for a stock, but "&amp;"note it in reporting. ",""))</f>
        <v/>
      </c>
      <c r="P238" s="6" t="n"/>
      <c r="Q238" s="9">
        <f>IF($B238="",0,IF(COUNTIFS($B$5:$B238,$B238)=1,1,0))</f>
        <v/>
      </c>
    </row>
    <row r="239">
      <c r="A239" s="6" t="n"/>
      <c r="B239" s="6" t="n"/>
      <c r="C239" s="6" t="n"/>
      <c r="D239" s="6" t="n"/>
      <c r="E239" s="6" t="n"/>
      <c r="F239" s="6" t="n"/>
      <c r="G239" s="7" t="n"/>
      <c r="H239" s="7" t="n"/>
      <c r="I239" s="6" t="n"/>
      <c r="J239" s="9">
        <f>IF(NOT(ISNUMBER($G239)),"",IF(AND(ASH_CORRECTED="Yes",ISNUMBER($H239)),$G239*(1-$H239),$G239))</f>
        <v/>
      </c>
      <c r="K239" s="9">
        <f>IF($B239="","",IFERROR(AVERAGEIFS('2. Soil Data'!$G$5:$G$604,'2. Soil Data'!$B$5:$B$604,$B239),""))</f>
        <v/>
      </c>
      <c r="L239" s="9">
        <f>IF(NOT(ISNUMBER($K239)),"",PI()*($K239/2)^2)</f>
        <v/>
      </c>
      <c r="M239" s="9">
        <f>IF(OR(NOT(ISNUMBER($J239)),NOT(ISNUMBER($L239)),$L239=0),"",$J239/$L239*10000)</f>
        <v/>
      </c>
      <c r="N239" s="9">
        <f>IF(NOT(ISNUMBER($M239)),"",$M239*CARBON_FRACTION_ROOT/1000)</f>
        <v/>
      </c>
      <c r="O239" s="11">
        <f>IF(AND($A239="",$B239="",$G239=""),"",IF(AND($B239&lt;&gt;"",COUNTIFS('2. Soil Data'!$B$5:$B$604,$B239)=0),"Core ID not found in Soil Data, so the corer diameter cannot be looked up. ","")&amp;IF(ASH_CORRECTED&lt;&gt;"Yes","Root mass is NOT ash-corrected, so it includes adhering mineral soil and is too high. Set ASH_CORRECTED once you have done it. ","")&amp;IF(AND(ASH_CORRECTED="Yes",NOT(ISNUMBER($H239))),"Ash correction is switched on but no ash fraction is given for this row. ","")&amp;IF($I239="","Sieve mesh not recorded — a fine-root figure cannot be interpreted without it. ","")&amp;IF(AND(ISNUMBER($H239),$H239&gt;0.5),"Ash fraction above 0.5 — over half this sample was mineral soil. Re-wash. ","")&amp;IF($F239="Not separated","Live and dead not separated. Fine for a stock, but "&amp;"note it in reporting. ",""))</f>
        <v/>
      </c>
      <c r="P239" s="6" t="n"/>
      <c r="Q239" s="9">
        <f>IF($B239="",0,IF(COUNTIFS($B$5:$B239,$B239)=1,1,0))</f>
        <v/>
      </c>
    </row>
    <row r="240">
      <c r="A240" s="6" t="n"/>
      <c r="B240" s="6" t="n"/>
      <c r="C240" s="6" t="n"/>
      <c r="D240" s="6" t="n"/>
      <c r="E240" s="6" t="n"/>
      <c r="F240" s="6" t="n"/>
      <c r="G240" s="7" t="n"/>
      <c r="H240" s="7" t="n"/>
      <c r="I240" s="6" t="n"/>
      <c r="J240" s="9">
        <f>IF(NOT(ISNUMBER($G240)),"",IF(AND(ASH_CORRECTED="Yes",ISNUMBER($H240)),$G240*(1-$H240),$G240))</f>
        <v/>
      </c>
      <c r="K240" s="9">
        <f>IF($B240="","",IFERROR(AVERAGEIFS('2. Soil Data'!$G$5:$G$604,'2. Soil Data'!$B$5:$B$604,$B240),""))</f>
        <v/>
      </c>
      <c r="L240" s="9">
        <f>IF(NOT(ISNUMBER($K240)),"",PI()*($K240/2)^2)</f>
        <v/>
      </c>
      <c r="M240" s="9">
        <f>IF(OR(NOT(ISNUMBER($J240)),NOT(ISNUMBER($L240)),$L240=0),"",$J240/$L240*10000)</f>
        <v/>
      </c>
      <c r="N240" s="9">
        <f>IF(NOT(ISNUMBER($M240)),"",$M240*CARBON_FRACTION_ROOT/1000)</f>
        <v/>
      </c>
      <c r="O240" s="11">
        <f>IF(AND($A240="",$B240="",$G240=""),"",IF(AND($B240&lt;&gt;"",COUNTIFS('2. Soil Data'!$B$5:$B$604,$B240)=0),"Core ID not found in Soil Data, so the corer diameter cannot be looked up. ","")&amp;IF(ASH_CORRECTED&lt;&gt;"Yes","Root mass is NOT ash-corrected, so it includes adhering mineral soil and is too high. Set ASH_CORRECTED once you have done it. ","")&amp;IF(AND(ASH_CORRECTED="Yes",NOT(ISNUMBER($H240))),"Ash correction is switched on but no ash fraction is given for this row. ","")&amp;IF($I240="","Sieve mesh not recorded — a fine-root figure cannot be interpreted without it. ","")&amp;IF(AND(ISNUMBER($H240),$H240&gt;0.5),"Ash fraction above 0.5 — over half this sample was mineral soil. Re-wash. ","")&amp;IF($F240="Not separated","Live and dead not separated. Fine for a stock, but "&amp;"note it in reporting. ",""))</f>
        <v/>
      </c>
      <c r="P240" s="6" t="n"/>
      <c r="Q240" s="9">
        <f>IF($B240="",0,IF(COUNTIFS($B$5:$B240,$B240)=1,1,0))</f>
        <v/>
      </c>
    </row>
    <row r="241">
      <c r="A241" s="6" t="n"/>
      <c r="B241" s="6" t="n"/>
      <c r="C241" s="6" t="n"/>
      <c r="D241" s="6" t="n"/>
      <c r="E241" s="6" t="n"/>
      <c r="F241" s="6" t="n"/>
      <c r="G241" s="7" t="n"/>
      <c r="H241" s="7" t="n"/>
      <c r="I241" s="6" t="n"/>
      <c r="J241" s="9">
        <f>IF(NOT(ISNUMBER($G241)),"",IF(AND(ASH_CORRECTED="Yes",ISNUMBER($H241)),$G241*(1-$H241),$G241))</f>
        <v/>
      </c>
      <c r="K241" s="9">
        <f>IF($B241="","",IFERROR(AVERAGEIFS('2. Soil Data'!$G$5:$G$604,'2. Soil Data'!$B$5:$B$604,$B241),""))</f>
        <v/>
      </c>
      <c r="L241" s="9">
        <f>IF(NOT(ISNUMBER($K241)),"",PI()*($K241/2)^2)</f>
        <v/>
      </c>
      <c r="M241" s="9">
        <f>IF(OR(NOT(ISNUMBER($J241)),NOT(ISNUMBER($L241)),$L241=0),"",$J241/$L241*10000)</f>
        <v/>
      </c>
      <c r="N241" s="9">
        <f>IF(NOT(ISNUMBER($M241)),"",$M241*CARBON_FRACTION_ROOT/1000)</f>
        <v/>
      </c>
      <c r="O241" s="11">
        <f>IF(AND($A241="",$B241="",$G241=""),"",IF(AND($B241&lt;&gt;"",COUNTIFS('2. Soil Data'!$B$5:$B$604,$B241)=0),"Core ID not found in Soil Data, so the corer diameter cannot be looked up. ","")&amp;IF(ASH_CORRECTED&lt;&gt;"Yes","Root mass is NOT ash-corrected, so it includes adhering mineral soil and is too high. Set ASH_CORRECTED once you have done it. ","")&amp;IF(AND(ASH_CORRECTED="Yes",NOT(ISNUMBER($H241))),"Ash correction is switched on but no ash fraction is given for this row. ","")&amp;IF($I241="","Sieve mesh not recorded — a fine-root figure cannot be interpreted without it. ","")&amp;IF(AND(ISNUMBER($H241),$H241&gt;0.5),"Ash fraction above 0.5 — over half this sample was mineral soil. Re-wash. ","")&amp;IF($F241="Not separated","Live and dead not separated. Fine for a stock, but "&amp;"note it in reporting. ",""))</f>
        <v/>
      </c>
      <c r="P241" s="6" t="n"/>
      <c r="Q241" s="9">
        <f>IF($B241="",0,IF(COUNTIFS($B$5:$B241,$B241)=1,1,0))</f>
        <v/>
      </c>
    </row>
    <row r="242">
      <c r="A242" s="6" t="n"/>
      <c r="B242" s="6" t="n"/>
      <c r="C242" s="6" t="n"/>
      <c r="D242" s="6" t="n"/>
      <c r="E242" s="6" t="n"/>
      <c r="F242" s="6" t="n"/>
      <c r="G242" s="7" t="n"/>
      <c r="H242" s="7" t="n"/>
      <c r="I242" s="6" t="n"/>
      <c r="J242" s="9">
        <f>IF(NOT(ISNUMBER($G242)),"",IF(AND(ASH_CORRECTED="Yes",ISNUMBER($H242)),$G242*(1-$H242),$G242))</f>
        <v/>
      </c>
      <c r="K242" s="9">
        <f>IF($B242="","",IFERROR(AVERAGEIFS('2. Soil Data'!$G$5:$G$604,'2. Soil Data'!$B$5:$B$604,$B242),""))</f>
        <v/>
      </c>
      <c r="L242" s="9">
        <f>IF(NOT(ISNUMBER($K242)),"",PI()*($K242/2)^2)</f>
        <v/>
      </c>
      <c r="M242" s="9">
        <f>IF(OR(NOT(ISNUMBER($J242)),NOT(ISNUMBER($L242)),$L242=0),"",$J242/$L242*10000)</f>
        <v/>
      </c>
      <c r="N242" s="9">
        <f>IF(NOT(ISNUMBER($M242)),"",$M242*CARBON_FRACTION_ROOT/1000)</f>
        <v/>
      </c>
      <c r="O242" s="11">
        <f>IF(AND($A242="",$B242="",$G242=""),"",IF(AND($B242&lt;&gt;"",COUNTIFS('2. Soil Data'!$B$5:$B$604,$B242)=0),"Core ID not found in Soil Data, so the corer diameter cannot be looked up. ","")&amp;IF(ASH_CORRECTED&lt;&gt;"Yes","Root mass is NOT ash-corrected, so it includes adhering mineral soil and is too high. Set ASH_CORRECTED once you have done it. ","")&amp;IF(AND(ASH_CORRECTED="Yes",NOT(ISNUMBER($H242))),"Ash correction is switched on but no ash fraction is given for this row. ","")&amp;IF($I242="","Sieve mesh not recorded — a fine-root figure cannot be interpreted without it. ","")&amp;IF(AND(ISNUMBER($H242),$H242&gt;0.5),"Ash fraction above 0.5 — over half this sample was mineral soil. Re-wash. ","")&amp;IF($F242="Not separated","Live and dead not separated. Fine for a stock, but "&amp;"note it in reporting. ",""))</f>
        <v/>
      </c>
      <c r="P242" s="6" t="n"/>
      <c r="Q242" s="9">
        <f>IF($B242="",0,IF(COUNTIFS($B$5:$B242,$B242)=1,1,0))</f>
        <v/>
      </c>
    </row>
    <row r="243">
      <c r="A243" s="6" t="n"/>
      <c r="B243" s="6" t="n"/>
      <c r="C243" s="6" t="n"/>
      <c r="D243" s="6" t="n"/>
      <c r="E243" s="6" t="n"/>
      <c r="F243" s="6" t="n"/>
      <c r="G243" s="7" t="n"/>
      <c r="H243" s="7" t="n"/>
      <c r="I243" s="6" t="n"/>
      <c r="J243" s="9">
        <f>IF(NOT(ISNUMBER($G243)),"",IF(AND(ASH_CORRECTED="Yes",ISNUMBER($H243)),$G243*(1-$H243),$G243))</f>
        <v/>
      </c>
      <c r="K243" s="9">
        <f>IF($B243="","",IFERROR(AVERAGEIFS('2. Soil Data'!$G$5:$G$604,'2. Soil Data'!$B$5:$B$604,$B243),""))</f>
        <v/>
      </c>
      <c r="L243" s="9">
        <f>IF(NOT(ISNUMBER($K243)),"",PI()*($K243/2)^2)</f>
        <v/>
      </c>
      <c r="M243" s="9">
        <f>IF(OR(NOT(ISNUMBER($J243)),NOT(ISNUMBER($L243)),$L243=0),"",$J243/$L243*10000)</f>
        <v/>
      </c>
      <c r="N243" s="9">
        <f>IF(NOT(ISNUMBER($M243)),"",$M243*CARBON_FRACTION_ROOT/1000)</f>
        <v/>
      </c>
      <c r="O243" s="11">
        <f>IF(AND($A243="",$B243="",$G243=""),"",IF(AND($B243&lt;&gt;"",COUNTIFS('2. Soil Data'!$B$5:$B$604,$B243)=0),"Core ID not found in Soil Data, so the corer diameter cannot be looked up. ","")&amp;IF(ASH_CORRECTED&lt;&gt;"Yes","Root mass is NOT ash-corrected, so it includes adhering mineral soil and is too high. Set ASH_CORRECTED once you have done it. ","")&amp;IF(AND(ASH_CORRECTED="Yes",NOT(ISNUMBER($H243))),"Ash correction is switched on but no ash fraction is given for this row. ","")&amp;IF($I243="","Sieve mesh not recorded — a fine-root figure cannot be interpreted without it. ","")&amp;IF(AND(ISNUMBER($H243),$H243&gt;0.5),"Ash fraction above 0.5 — over half this sample was mineral soil. Re-wash. ","")&amp;IF($F243="Not separated","Live and dead not separated. Fine for a stock, but "&amp;"note it in reporting. ",""))</f>
        <v/>
      </c>
      <c r="P243" s="6" t="n"/>
      <c r="Q243" s="9">
        <f>IF($B243="",0,IF(COUNTIFS($B$5:$B243,$B243)=1,1,0))</f>
        <v/>
      </c>
    </row>
    <row r="244">
      <c r="A244" s="6" t="n"/>
      <c r="B244" s="6" t="n"/>
      <c r="C244" s="6" t="n"/>
      <c r="D244" s="6" t="n"/>
      <c r="E244" s="6" t="n"/>
      <c r="F244" s="6" t="n"/>
      <c r="G244" s="7" t="n"/>
      <c r="H244" s="7" t="n"/>
      <c r="I244" s="6" t="n"/>
      <c r="J244" s="9">
        <f>IF(NOT(ISNUMBER($G244)),"",IF(AND(ASH_CORRECTED="Yes",ISNUMBER($H244)),$G244*(1-$H244),$G244))</f>
        <v/>
      </c>
      <c r="K244" s="9">
        <f>IF($B244="","",IFERROR(AVERAGEIFS('2. Soil Data'!$G$5:$G$604,'2. Soil Data'!$B$5:$B$604,$B244),""))</f>
        <v/>
      </c>
      <c r="L244" s="9">
        <f>IF(NOT(ISNUMBER($K244)),"",PI()*($K244/2)^2)</f>
        <v/>
      </c>
      <c r="M244" s="9">
        <f>IF(OR(NOT(ISNUMBER($J244)),NOT(ISNUMBER($L244)),$L244=0),"",$J244/$L244*10000)</f>
        <v/>
      </c>
      <c r="N244" s="9">
        <f>IF(NOT(ISNUMBER($M244)),"",$M244*CARBON_FRACTION_ROOT/1000)</f>
        <v/>
      </c>
      <c r="O244" s="11">
        <f>IF(AND($A244="",$B244="",$G244=""),"",IF(AND($B244&lt;&gt;"",COUNTIFS('2. Soil Data'!$B$5:$B$604,$B244)=0),"Core ID not found in Soil Data, so the corer diameter cannot be looked up. ","")&amp;IF(ASH_CORRECTED&lt;&gt;"Yes","Root mass is NOT ash-corrected, so it includes adhering mineral soil and is too high. Set ASH_CORRECTED once you have done it. ","")&amp;IF(AND(ASH_CORRECTED="Yes",NOT(ISNUMBER($H244))),"Ash correction is switched on but no ash fraction is given for this row. ","")&amp;IF($I244="","Sieve mesh not recorded — a fine-root figure cannot be interpreted without it. ","")&amp;IF(AND(ISNUMBER($H244),$H244&gt;0.5),"Ash fraction above 0.5 — over half this sample was mineral soil. Re-wash. ","")&amp;IF($F244="Not separated","Live and dead not separated. Fine for a stock, but "&amp;"note it in reporting. ",""))</f>
        <v/>
      </c>
      <c r="P244" s="6" t="n"/>
      <c r="Q244" s="9">
        <f>IF($B244="",0,IF(COUNTIFS($B$5:$B244,$B244)=1,1,0))</f>
        <v/>
      </c>
    </row>
    <row r="245">
      <c r="A245" s="6" t="n"/>
      <c r="B245" s="6" t="n"/>
      <c r="C245" s="6" t="n"/>
      <c r="D245" s="6" t="n"/>
      <c r="E245" s="6" t="n"/>
      <c r="F245" s="6" t="n"/>
      <c r="G245" s="7" t="n"/>
      <c r="H245" s="7" t="n"/>
      <c r="I245" s="6" t="n"/>
      <c r="J245" s="9">
        <f>IF(NOT(ISNUMBER($G245)),"",IF(AND(ASH_CORRECTED="Yes",ISNUMBER($H245)),$G245*(1-$H245),$G245))</f>
        <v/>
      </c>
      <c r="K245" s="9">
        <f>IF($B245="","",IFERROR(AVERAGEIFS('2. Soil Data'!$G$5:$G$604,'2. Soil Data'!$B$5:$B$604,$B245),""))</f>
        <v/>
      </c>
      <c r="L245" s="9">
        <f>IF(NOT(ISNUMBER($K245)),"",PI()*($K245/2)^2)</f>
        <v/>
      </c>
      <c r="M245" s="9">
        <f>IF(OR(NOT(ISNUMBER($J245)),NOT(ISNUMBER($L245)),$L245=0),"",$J245/$L245*10000)</f>
        <v/>
      </c>
      <c r="N245" s="9">
        <f>IF(NOT(ISNUMBER($M245)),"",$M245*CARBON_FRACTION_ROOT/1000)</f>
        <v/>
      </c>
      <c r="O245" s="11">
        <f>IF(AND($A245="",$B245="",$G245=""),"",IF(AND($B245&lt;&gt;"",COUNTIFS('2. Soil Data'!$B$5:$B$604,$B245)=0),"Core ID not found in Soil Data, so the corer diameter cannot be looked up. ","")&amp;IF(ASH_CORRECTED&lt;&gt;"Yes","Root mass is NOT ash-corrected, so it includes adhering mineral soil and is too high. Set ASH_CORRECTED once you have done it. ","")&amp;IF(AND(ASH_CORRECTED="Yes",NOT(ISNUMBER($H245))),"Ash correction is switched on but no ash fraction is given for this row. ","")&amp;IF($I245="","Sieve mesh not recorded — a fine-root figure cannot be interpreted without it. ","")&amp;IF(AND(ISNUMBER($H245),$H245&gt;0.5),"Ash fraction above 0.5 — over half this sample was mineral soil. Re-wash. ","")&amp;IF($F245="Not separated","Live and dead not separated. Fine for a stock, but "&amp;"note it in reporting. ",""))</f>
        <v/>
      </c>
      <c r="P245" s="6" t="n"/>
      <c r="Q245" s="9">
        <f>IF($B245="",0,IF(COUNTIFS($B$5:$B245,$B245)=1,1,0))</f>
        <v/>
      </c>
    </row>
    <row r="246">
      <c r="A246" s="6" t="n"/>
      <c r="B246" s="6" t="n"/>
      <c r="C246" s="6" t="n"/>
      <c r="D246" s="6" t="n"/>
      <c r="E246" s="6" t="n"/>
      <c r="F246" s="6" t="n"/>
      <c r="G246" s="7" t="n"/>
      <c r="H246" s="7" t="n"/>
      <c r="I246" s="6" t="n"/>
      <c r="J246" s="9">
        <f>IF(NOT(ISNUMBER($G246)),"",IF(AND(ASH_CORRECTED="Yes",ISNUMBER($H246)),$G246*(1-$H246),$G246))</f>
        <v/>
      </c>
      <c r="K246" s="9">
        <f>IF($B246="","",IFERROR(AVERAGEIFS('2. Soil Data'!$G$5:$G$604,'2. Soil Data'!$B$5:$B$604,$B246),""))</f>
        <v/>
      </c>
      <c r="L246" s="9">
        <f>IF(NOT(ISNUMBER($K246)),"",PI()*($K246/2)^2)</f>
        <v/>
      </c>
      <c r="M246" s="9">
        <f>IF(OR(NOT(ISNUMBER($J246)),NOT(ISNUMBER($L246)),$L246=0),"",$J246/$L246*10000)</f>
        <v/>
      </c>
      <c r="N246" s="9">
        <f>IF(NOT(ISNUMBER($M246)),"",$M246*CARBON_FRACTION_ROOT/1000)</f>
        <v/>
      </c>
      <c r="O246" s="11">
        <f>IF(AND($A246="",$B246="",$G246=""),"",IF(AND($B246&lt;&gt;"",COUNTIFS('2. Soil Data'!$B$5:$B$604,$B246)=0),"Core ID not found in Soil Data, so the corer diameter cannot be looked up. ","")&amp;IF(ASH_CORRECTED&lt;&gt;"Yes","Root mass is NOT ash-corrected, so it includes adhering mineral soil and is too high. Set ASH_CORRECTED once you have done it. ","")&amp;IF(AND(ASH_CORRECTED="Yes",NOT(ISNUMBER($H246))),"Ash correction is switched on but no ash fraction is given for this row. ","")&amp;IF($I246="","Sieve mesh not recorded — a fine-root figure cannot be interpreted without it. ","")&amp;IF(AND(ISNUMBER($H246),$H246&gt;0.5),"Ash fraction above 0.5 — over half this sample was mineral soil. Re-wash. ","")&amp;IF($F246="Not separated","Live and dead not separated. Fine for a stock, but "&amp;"note it in reporting. ",""))</f>
        <v/>
      </c>
      <c r="P246" s="6" t="n"/>
      <c r="Q246" s="9">
        <f>IF($B246="",0,IF(COUNTIFS($B$5:$B246,$B246)=1,1,0))</f>
        <v/>
      </c>
    </row>
    <row r="247">
      <c r="A247" s="6" t="n"/>
      <c r="B247" s="6" t="n"/>
      <c r="C247" s="6" t="n"/>
      <c r="D247" s="6" t="n"/>
      <c r="E247" s="6" t="n"/>
      <c r="F247" s="6" t="n"/>
      <c r="G247" s="7" t="n"/>
      <c r="H247" s="7" t="n"/>
      <c r="I247" s="6" t="n"/>
      <c r="J247" s="9">
        <f>IF(NOT(ISNUMBER($G247)),"",IF(AND(ASH_CORRECTED="Yes",ISNUMBER($H247)),$G247*(1-$H247),$G247))</f>
        <v/>
      </c>
      <c r="K247" s="9">
        <f>IF($B247="","",IFERROR(AVERAGEIFS('2. Soil Data'!$G$5:$G$604,'2. Soil Data'!$B$5:$B$604,$B247),""))</f>
        <v/>
      </c>
      <c r="L247" s="9">
        <f>IF(NOT(ISNUMBER($K247)),"",PI()*($K247/2)^2)</f>
        <v/>
      </c>
      <c r="M247" s="9">
        <f>IF(OR(NOT(ISNUMBER($J247)),NOT(ISNUMBER($L247)),$L247=0),"",$J247/$L247*10000)</f>
        <v/>
      </c>
      <c r="N247" s="9">
        <f>IF(NOT(ISNUMBER($M247)),"",$M247*CARBON_FRACTION_ROOT/1000)</f>
        <v/>
      </c>
      <c r="O247" s="11">
        <f>IF(AND($A247="",$B247="",$G247=""),"",IF(AND($B247&lt;&gt;"",COUNTIFS('2. Soil Data'!$B$5:$B$604,$B247)=0),"Core ID not found in Soil Data, so the corer diameter cannot be looked up. ","")&amp;IF(ASH_CORRECTED&lt;&gt;"Yes","Root mass is NOT ash-corrected, so it includes adhering mineral soil and is too high. Set ASH_CORRECTED once you have done it. ","")&amp;IF(AND(ASH_CORRECTED="Yes",NOT(ISNUMBER($H247))),"Ash correction is switched on but no ash fraction is given for this row. ","")&amp;IF($I247="","Sieve mesh not recorded — a fine-root figure cannot be interpreted without it. ","")&amp;IF(AND(ISNUMBER($H247),$H247&gt;0.5),"Ash fraction above 0.5 — over half this sample was mineral soil. Re-wash. ","")&amp;IF($F247="Not separated","Live and dead not separated. Fine for a stock, but "&amp;"note it in reporting. ",""))</f>
        <v/>
      </c>
      <c r="P247" s="6" t="n"/>
      <c r="Q247" s="9">
        <f>IF($B247="",0,IF(COUNTIFS($B$5:$B247,$B247)=1,1,0))</f>
        <v/>
      </c>
    </row>
    <row r="248">
      <c r="A248" s="6" t="n"/>
      <c r="B248" s="6" t="n"/>
      <c r="C248" s="6" t="n"/>
      <c r="D248" s="6" t="n"/>
      <c r="E248" s="6" t="n"/>
      <c r="F248" s="6" t="n"/>
      <c r="G248" s="7" t="n"/>
      <c r="H248" s="7" t="n"/>
      <c r="I248" s="6" t="n"/>
      <c r="J248" s="9">
        <f>IF(NOT(ISNUMBER($G248)),"",IF(AND(ASH_CORRECTED="Yes",ISNUMBER($H248)),$G248*(1-$H248),$G248))</f>
        <v/>
      </c>
      <c r="K248" s="9">
        <f>IF($B248="","",IFERROR(AVERAGEIFS('2. Soil Data'!$G$5:$G$604,'2. Soil Data'!$B$5:$B$604,$B248),""))</f>
        <v/>
      </c>
      <c r="L248" s="9">
        <f>IF(NOT(ISNUMBER($K248)),"",PI()*($K248/2)^2)</f>
        <v/>
      </c>
      <c r="M248" s="9">
        <f>IF(OR(NOT(ISNUMBER($J248)),NOT(ISNUMBER($L248)),$L248=0),"",$J248/$L248*10000)</f>
        <v/>
      </c>
      <c r="N248" s="9">
        <f>IF(NOT(ISNUMBER($M248)),"",$M248*CARBON_FRACTION_ROOT/1000)</f>
        <v/>
      </c>
      <c r="O248" s="11">
        <f>IF(AND($A248="",$B248="",$G248=""),"",IF(AND($B248&lt;&gt;"",COUNTIFS('2. Soil Data'!$B$5:$B$604,$B248)=0),"Core ID not found in Soil Data, so the corer diameter cannot be looked up. ","")&amp;IF(ASH_CORRECTED&lt;&gt;"Yes","Root mass is NOT ash-corrected, so it includes adhering mineral soil and is too high. Set ASH_CORRECTED once you have done it. ","")&amp;IF(AND(ASH_CORRECTED="Yes",NOT(ISNUMBER($H248))),"Ash correction is switched on but no ash fraction is given for this row. ","")&amp;IF($I248="","Sieve mesh not recorded — a fine-root figure cannot be interpreted without it. ","")&amp;IF(AND(ISNUMBER($H248),$H248&gt;0.5),"Ash fraction above 0.5 — over half this sample was mineral soil. Re-wash. ","")&amp;IF($F248="Not separated","Live and dead not separated. Fine for a stock, but "&amp;"note it in reporting. ",""))</f>
        <v/>
      </c>
      <c r="P248" s="6" t="n"/>
      <c r="Q248" s="9">
        <f>IF($B248="",0,IF(COUNTIFS($B$5:$B248,$B248)=1,1,0))</f>
        <v/>
      </c>
    </row>
    <row r="249">
      <c r="A249" s="6" t="n"/>
      <c r="B249" s="6" t="n"/>
      <c r="C249" s="6" t="n"/>
      <c r="D249" s="6" t="n"/>
      <c r="E249" s="6" t="n"/>
      <c r="F249" s="6" t="n"/>
      <c r="G249" s="7" t="n"/>
      <c r="H249" s="7" t="n"/>
      <c r="I249" s="6" t="n"/>
      <c r="J249" s="9">
        <f>IF(NOT(ISNUMBER($G249)),"",IF(AND(ASH_CORRECTED="Yes",ISNUMBER($H249)),$G249*(1-$H249),$G249))</f>
        <v/>
      </c>
      <c r="K249" s="9">
        <f>IF($B249="","",IFERROR(AVERAGEIFS('2. Soil Data'!$G$5:$G$604,'2. Soil Data'!$B$5:$B$604,$B249),""))</f>
        <v/>
      </c>
      <c r="L249" s="9">
        <f>IF(NOT(ISNUMBER($K249)),"",PI()*($K249/2)^2)</f>
        <v/>
      </c>
      <c r="M249" s="9">
        <f>IF(OR(NOT(ISNUMBER($J249)),NOT(ISNUMBER($L249)),$L249=0),"",$J249/$L249*10000)</f>
        <v/>
      </c>
      <c r="N249" s="9">
        <f>IF(NOT(ISNUMBER($M249)),"",$M249*CARBON_FRACTION_ROOT/1000)</f>
        <v/>
      </c>
      <c r="O249" s="11">
        <f>IF(AND($A249="",$B249="",$G249=""),"",IF(AND($B249&lt;&gt;"",COUNTIFS('2. Soil Data'!$B$5:$B$604,$B249)=0),"Core ID not found in Soil Data, so the corer diameter cannot be looked up. ","")&amp;IF(ASH_CORRECTED&lt;&gt;"Yes","Root mass is NOT ash-corrected, so it includes adhering mineral soil and is too high. Set ASH_CORRECTED once you have done it. ","")&amp;IF(AND(ASH_CORRECTED="Yes",NOT(ISNUMBER($H249))),"Ash correction is switched on but no ash fraction is given for this row. ","")&amp;IF($I249="","Sieve mesh not recorded — a fine-root figure cannot be interpreted without it. ","")&amp;IF(AND(ISNUMBER($H249),$H249&gt;0.5),"Ash fraction above 0.5 — over half this sample was mineral soil. Re-wash. ","")&amp;IF($F249="Not separated","Live and dead not separated. Fine for a stock, but "&amp;"note it in reporting. ",""))</f>
        <v/>
      </c>
      <c r="P249" s="6" t="n"/>
      <c r="Q249" s="9">
        <f>IF($B249="",0,IF(COUNTIFS($B$5:$B249,$B249)=1,1,0))</f>
        <v/>
      </c>
    </row>
    <row r="250">
      <c r="A250" s="6" t="n"/>
      <c r="B250" s="6" t="n"/>
      <c r="C250" s="6" t="n"/>
      <c r="D250" s="6" t="n"/>
      <c r="E250" s="6" t="n"/>
      <c r="F250" s="6" t="n"/>
      <c r="G250" s="7" t="n"/>
      <c r="H250" s="7" t="n"/>
      <c r="I250" s="6" t="n"/>
      <c r="J250" s="9">
        <f>IF(NOT(ISNUMBER($G250)),"",IF(AND(ASH_CORRECTED="Yes",ISNUMBER($H250)),$G250*(1-$H250),$G250))</f>
        <v/>
      </c>
      <c r="K250" s="9">
        <f>IF($B250="","",IFERROR(AVERAGEIFS('2. Soil Data'!$G$5:$G$604,'2. Soil Data'!$B$5:$B$604,$B250),""))</f>
        <v/>
      </c>
      <c r="L250" s="9">
        <f>IF(NOT(ISNUMBER($K250)),"",PI()*($K250/2)^2)</f>
        <v/>
      </c>
      <c r="M250" s="9">
        <f>IF(OR(NOT(ISNUMBER($J250)),NOT(ISNUMBER($L250)),$L250=0),"",$J250/$L250*10000)</f>
        <v/>
      </c>
      <c r="N250" s="9">
        <f>IF(NOT(ISNUMBER($M250)),"",$M250*CARBON_FRACTION_ROOT/1000)</f>
        <v/>
      </c>
      <c r="O250" s="11">
        <f>IF(AND($A250="",$B250="",$G250=""),"",IF(AND($B250&lt;&gt;"",COUNTIFS('2. Soil Data'!$B$5:$B$604,$B250)=0),"Core ID not found in Soil Data, so the corer diameter cannot be looked up. ","")&amp;IF(ASH_CORRECTED&lt;&gt;"Yes","Root mass is NOT ash-corrected, so it includes adhering mineral soil and is too high. Set ASH_CORRECTED once you have done it. ","")&amp;IF(AND(ASH_CORRECTED="Yes",NOT(ISNUMBER($H250))),"Ash correction is switched on but no ash fraction is given for this row. ","")&amp;IF($I250="","Sieve mesh not recorded — a fine-root figure cannot be interpreted without it. ","")&amp;IF(AND(ISNUMBER($H250),$H250&gt;0.5),"Ash fraction above 0.5 — over half this sample was mineral soil. Re-wash. ","")&amp;IF($F250="Not separated","Live and dead not separated. Fine for a stock, but "&amp;"note it in reporting. ",""))</f>
        <v/>
      </c>
      <c r="P250" s="6" t="n"/>
      <c r="Q250" s="9">
        <f>IF($B250="",0,IF(COUNTIFS($B$5:$B250,$B250)=1,1,0))</f>
        <v/>
      </c>
    </row>
    <row r="251">
      <c r="A251" s="6" t="n"/>
      <c r="B251" s="6" t="n"/>
      <c r="C251" s="6" t="n"/>
      <c r="D251" s="6" t="n"/>
      <c r="E251" s="6" t="n"/>
      <c r="F251" s="6" t="n"/>
      <c r="G251" s="7" t="n"/>
      <c r="H251" s="7" t="n"/>
      <c r="I251" s="6" t="n"/>
      <c r="J251" s="9">
        <f>IF(NOT(ISNUMBER($G251)),"",IF(AND(ASH_CORRECTED="Yes",ISNUMBER($H251)),$G251*(1-$H251),$G251))</f>
        <v/>
      </c>
      <c r="K251" s="9">
        <f>IF($B251="","",IFERROR(AVERAGEIFS('2. Soil Data'!$G$5:$G$604,'2. Soil Data'!$B$5:$B$604,$B251),""))</f>
        <v/>
      </c>
      <c r="L251" s="9">
        <f>IF(NOT(ISNUMBER($K251)),"",PI()*($K251/2)^2)</f>
        <v/>
      </c>
      <c r="M251" s="9">
        <f>IF(OR(NOT(ISNUMBER($J251)),NOT(ISNUMBER($L251)),$L251=0),"",$J251/$L251*10000)</f>
        <v/>
      </c>
      <c r="N251" s="9">
        <f>IF(NOT(ISNUMBER($M251)),"",$M251*CARBON_FRACTION_ROOT/1000)</f>
        <v/>
      </c>
      <c r="O251" s="11">
        <f>IF(AND($A251="",$B251="",$G251=""),"",IF(AND($B251&lt;&gt;"",COUNTIFS('2. Soil Data'!$B$5:$B$604,$B251)=0),"Core ID not found in Soil Data, so the corer diameter cannot be looked up. ","")&amp;IF(ASH_CORRECTED&lt;&gt;"Yes","Root mass is NOT ash-corrected, so it includes adhering mineral soil and is too high. Set ASH_CORRECTED once you have done it. ","")&amp;IF(AND(ASH_CORRECTED="Yes",NOT(ISNUMBER($H251))),"Ash correction is switched on but no ash fraction is given for this row. ","")&amp;IF($I251="","Sieve mesh not recorded — a fine-root figure cannot be interpreted without it. ","")&amp;IF(AND(ISNUMBER($H251),$H251&gt;0.5),"Ash fraction above 0.5 — over half this sample was mineral soil. Re-wash. ","")&amp;IF($F251="Not separated","Live and dead not separated. Fine for a stock, but "&amp;"note it in reporting. ",""))</f>
        <v/>
      </c>
      <c r="P251" s="6" t="n"/>
      <c r="Q251" s="9">
        <f>IF($B251="",0,IF(COUNTIFS($B$5:$B251,$B251)=1,1,0))</f>
        <v/>
      </c>
    </row>
    <row r="252">
      <c r="A252" s="6" t="n"/>
      <c r="B252" s="6" t="n"/>
      <c r="C252" s="6" t="n"/>
      <c r="D252" s="6" t="n"/>
      <c r="E252" s="6" t="n"/>
      <c r="F252" s="6" t="n"/>
      <c r="G252" s="7" t="n"/>
      <c r="H252" s="7" t="n"/>
      <c r="I252" s="6" t="n"/>
      <c r="J252" s="9">
        <f>IF(NOT(ISNUMBER($G252)),"",IF(AND(ASH_CORRECTED="Yes",ISNUMBER($H252)),$G252*(1-$H252),$G252))</f>
        <v/>
      </c>
      <c r="K252" s="9">
        <f>IF($B252="","",IFERROR(AVERAGEIFS('2. Soil Data'!$G$5:$G$604,'2. Soil Data'!$B$5:$B$604,$B252),""))</f>
        <v/>
      </c>
      <c r="L252" s="9">
        <f>IF(NOT(ISNUMBER($K252)),"",PI()*($K252/2)^2)</f>
        <v/>
      </c>
      <c r="M252" s="9">
        <f>IF(OR(NOT(ISNUMBER($J252)),NOT(ISNUMBER($L252)),$L252=0),"",$J252/$L252*10000)</f>
        <v/>
      </c>
      <c r="N252" s="9">
        <f>IF(NOT(ISNUMBER($M252)),"",$M252*CARBON_FRACTION_ROOT/1000)</f>
        <v/>
      </c>
      <c r="O252" s="11">
        <f>IF(AND($A252="",$B252="",$G252=""),"",IF(AND($B252&lt;&gt;"",COUNTIFS('2. Soil Data'!$B$5:$B$604,$B252)=0),"Core ID not found in Soil Data, so the corer diameter cannot be looked up. ","")&amp;IF(ASH_CORRECTED&lt;&gt;"Yes","Root mass is NOT ash-corrected, so it includes adhering mineral soil and is too high. Set ASH_CORRECTED once you have done it. ","")&amp;IF(AND(ASH_CORRECTED="Yes",NOT(ISNUMBER($H252))),"Ash correction is switched on but no ash fraction is given for this row. ","")&amp;IF($I252="","Sieve mesh not recorded — a fine-root figure cannot be interpreted without it. ","")&amp;IF(AND(ISNUMBER($H252),$H252&gt;0.5),"Ash fraction above 0.5 — over half this sample was mineral soil. Re-wash. ","")&amp;IF($F252="Not separated","Live and dead not separated. Fine for a stock, but "&amp;"note it in reporting. ",""))</f>
        <v/>
      </c>
      <c r="P252" s="6" t="n"/>
      <c r="Q252" s="9">
        <f>IF($B252="",0,IF(COUNTIFS($B$5:$B252,$B252)=1,1,0))</f>
        <v/>
      </c>
    </row>
    <row r="253">
      <c r="A253" s="6" t="n"/>
      <c r="B253" s="6" t="n"/>
      <c r="C253" s="6" t="n"/>
      <c r="D253" s="6" t="n"/>
      <c r="E253" s="6" t="n"/>
      <c r="F253" s="6" t="n"/>
      <c r="G253" s="7" t="n"/>
      <c r="H253" s="7" t="n"/>
      <c r="I253" s="6" t="n"/>
      <c r="J253" s="9">
        <f>IF(NOT(ISNUMBER($G253)),"",IF(AND(ASH_CORRECTED="Yes",ISNUMBER($H253)),$G253*(1-$H253),$G253))</f>
        <v/>
      </c>
      <c r="K253" s="9">
        <f>IF($B253="","",IFERROR(AVERAGEIFS('2. Soil Data'!$G$5:$G$604,'2. Soil Data'!$B$5:$B$604,$B253),""))</f>
        <v/>
      </c>
      <c r="L253" s="9">
        <f>IF(NOT(ISNUMBER($K253)),"",PI()*($K253/2)^2)</f>
        <v/>
      </c>
      <c r="M253" s="9">
        <f>IF(OR(NOT(ISNUMBER($J253)),NOT(ISNUMBER($L253)),$L253=0),"",$J253/$L253*10000)</f>
        <v/>
      </c>
      <c r="N253" s="9">
        <f>IF(NOT(ISNUMBER($M253)),"",$M253*CARBON_FRACTION_ROOT/1000)</f>
        <v/>
      </c>
      <c r="O253" s="11">
        <f>IF(AND($A253="",$B253="",$G253=""),"",IF(AND($B253&lt;&gt;"",COUNTIFS('2. Soil Data'!$B$5:$B$604,$B253)=0),"Core ID not found in Soil Data, so the corer diameter cannot be looked up. ","")&amp;IF(ASH_CORRECTED&lt;&gt;"Yes","Root mass is NOT ash-corrected, so it includes adhering mineral soil and is too high. Set ASH_CORRECTED once you have done it. ","")&amp;IF(AND(ASH_CORRECTED="Yes",NOT(ISNUMBER($H253))),"Ash correction is switched on but no ash fraction is given for this row. ","")&amp;IF($I253="","Sieve mesh not recorded — a fine-root figure cannot be interpreted without it. ","")&amp;IF(AND(ISNUMBER($H253),$H253&gt;0.5),"Ash fraction above 0.5 — over half this sample was mineral soil. Re-wash. ","")&amp;IF($F253="Not separated","Live and dead not separated. Fine for a stock, but "&amp;"note it in reporting. ",""))</f>
        <v/>
      </c>
      <c r="P253" s="6" t="n"/>
      <c r="Q253" s="9">
        <f>IF($B253="",0,IF(COUNTIFS($B$5:$B253,$B253)=1,1,0))</f>
        <v/>
      </c>
    </row>
    <row r="254">
      <c r="A254" s="6" t="n"/>
      <c r="B254" s="6" t="n"/>
      <c r="C254" s="6" t="n"/>
      <c r="D254" s="6" t="n"/>
      <c r="E254" s="6" t="n"/>
      <c r="F254" s="6" t="n"/>
      <c r="G254" s="7" t="n"/>
      <c r="H254" s="7" t="n"/>
      <c r="I254" s="6" t="n"/>
      <c r="J254" s="9">
        <f>IF(NOT(ISNUMBER($G254)),"",IF(AND(ASH_CORRECTED="Yes",ISNUMBER($H254)),$G254*(1-$H254),$G254))</f>
        <v/>
      </c>
      <c r="K254" s="9">
        <f>IF($B254="","",IFERROR(AVERAGEIFS('2. Soil Data'!$G$5:$G$604,'2. Soil Data'!$B$5:$B$604,$B254),""))</f>
        <v/>
      </c>
      <c r="L254" s="9">
        <f>IF(NOT(ISNUMBER($K254)),"",PI()*($K254/2)^2)</f>
        <v/>
      </c>
      <c r="M254" s="9">
        <f>IF(OR(NOT(ISNUMBER($J254)),NOT(ISNUMBER($L254)),$L254=0),"",$J254/$L254*10000)</f>
        <v/>
      </c>
      <c r="N254" s="9">
        <f>IF(NOT(ISNUMBER($M254)),"",$M254*CARBON_FRACTION_ROOT/1000)</f>
        <v/>
      </c>
      <c r="O254" s="11">
        <f>IF(AND($A254="",$B254="",$G254=""),"",IF(AND($B254&lt;&gt;"",COUNTIFS('2. Soil Data'!$B$5:$B$604,$B254)=0),"Core ID not found in Soil Data, so the corer diameter cannot be looked up. ","")&amp;IF(ASH_CORRECTED&lt;&gt;"Yes","Root mass is NOT ash-corrected, so it includes adhering mineral soil and is too high. Set ASH_CORRECTED once you have done it. ","")&amp;IF(AND(ASH_CORRECTED="Yes",NOT(ISNUMBER($H254))),"Ash correction is switched on but no ash fraction is given for this row. ","")&amp;IF($I254="","Sieve mesh not recorded — a fine-root figure cannot be interpreted without it. ","")&amp;IF(AND(ISNUMBER($H254),$H254&gt;0.5),"Ash fraction above 0.5 — over half this sample was mineral soil. Re-wash. ","")&amp;IF($F254="Not separated","Live and dead not separated. Fine for a stock, but "&amp;"note it in reporting. ",""))</f>
        <v/>
      </c>
      <c r="P254" s="6" t="n"/>
      <c r="Q254" s="9">
        <f>IF($B254="",0,IF(COUNTIFS($B$5:$B254,$B254)=1,1,0))</f>
        <v/>
      </c>
    </row>
    <row r="255">
      <c r="A255" s="6" t="n"/>
      <c r="B255" s="6" t="n"/>
      <c r="C255" s="6" t="n"/>
      <c r="D255" s="6" t="n"/>
      <c r="E255" s="6" t="n"/>
      <c r="F255" s="6" t="n"/>
      <c r="G255" s="7" t="n"/>
      <c r="H255" s="7" t="n"/>
      <c r="I255" s="6" t="n"/>
      <c r="J255" s="9">
        <f>IF(NOT(ISNUMBER($G255)),"",IF(AND(ASH_CORRECTED="Yes",ISNUMBER($H255)),$G255*(1-$H255),$G255))</f>
        <v/>
      </c>
      <c r="K255" s="9">
        <f>IF($B255="","",IFERROR(AVERAGEIFS('2. Soil Data'!$G$5:$G$604,'2. Soil Data'!$B$5:$B$604,$B255),""))</f>
        <v/>
      </c>
      <c r="L255" s="9">
        <f>IF(NOT(ISNUMBER($K255)),"",PI()*($K255/2)^2)</f>
        <v/>
      </c>
      <c r="M255" s="9">
        <f>IF(OR(NOT(ISNUMBER($J255)),NOT(ISNUMBER($L255)),$L255=0),"",$J255/$L255*10000)</f>
        <v/>
      </c>
      <c r="N255" s="9">
        <f>IF(NOT(ISNUMBER($M255)),"",$M255*CARBON_FRACTION_ROOT/1000)</f>
        <v/>
      </c>
      <c r="O255" s="11">
        <f>IF(AND($A255="",$B255="",$G255=""),"",IF(AND($B255&lt;&gt;"",COUNTIFS('2. Soil Data'!$B$5:$B$604,$B255)=0),"Core ID not found in Soil Data, so the corer diameter cannot be looked up. ","")&amp;IF(ASH_CORRECTED&lt;&gt;"Yes","Root mass is NOT ash-corrected, so it includes adhering mineral soil and is too high. Set ASH_CORRECTED once you have done it. ","")&amp;IF(AND(ASH_CORRECTED="Yes",NOT(ISNUMBER($H255))),"Ash correction is switched on but no ash fraction is given for this row. ","")&amp;IF($I255="","Sieve mesh not recorded — a fine-root figure cannot be interpreted without it. ","")&amp;IF(AND(ISNUMBER($H255),$H255&gt;0.5),"Ash fraction above 0.5 — over half this sample was mineral soil. Re-wash. ","")&amp;IF($F255="Not separated","Live and dead not separated. Fine for a stock, but "&amp;"note it in reporting. ",""))</f>
        <v/>
      </c>
      <c r="P255" s="6" t="n"/>
      <c r="Q255" s="9">
        <f>IF($B255="",0,IF(COUNTIFS($B$5:$B255,$B255)=1,1,0))</f>
        <v/>
      </c>
    </row>
    <row r="256">
      <c r="A256" s="6" t="n"/>
      <c r="B256" s="6" t="n"/>
      <c r="C256" s="6" t="n"/>
      <c r="D256" s="6" t="n"/>
      <c r="E256" s="6" t="n"/>
      <c r="F256" s="6" t="n"/>
      <c r="G256" s="7" t="n"/>
      <c r="H256" s="7" t="n"/>
      <c r="I256" s="6" t="n"/>
      <c r="J256" s="9">
        <f>IF(NOT(ISNUMBER($G256)),"",IF(AND(ASH_CORRECTED="Yes",ISNUMBER($H256)),$G256*(1-$H256),$G256))</f>
        <v/>
      </c>
      <c r="K256" s="9">
        <f>IF($B256="","",IFERROR(AVERAGEIFS('2. Soil Data'!$G$5:$G$604,'2. Soil Data'!$B$5:$B$604,$B256),""))</f>
        <v/>
      </c>
      <c r="L256" s="9">
        <f>IF(NOT(ISNUMBER($K256)),"",PI()*($K256/2)^2)</f>
        <v/>
      </c>
      <c r="M256" s="9">
        <f>IF(OR(NOT(ISNUMBER($J256)),NOT(ISNUMBER($L256)),$L256=0),"",$J256/$L256*10000)</f>
        <v/>
      </c>
      <c r="N256" s="9">
        <f>IF(NOT(ISNUMBER($M256)),"",$M256*CARBON_FRACTION_ROOT/1000)</f>
        <v/>
      </c>
      <c r="O256" s="11">
        <f>IF(AND($A256="",$B256="",$G256=""),"",IF(AND($B256&lt;&gt;"",COUNTIFS('2. Soil Data'!$B$5:$B$604,$B256)=0),"Core ID not found in Soil Data, so the corer diameter cannot be looked up. ","")&amp;IF(ASH_CORRECTED&lt;&gt;"Yes","Root mass is NOT ash-corrected, so it includes adhering mineral soil and is too high. Set ASH_CORRECTED once you have done it. ","")&amp;IF(AND(ASH_CORRECTED="Yes",NOT(ISNUMBER($H256))),"Ash correction is switched on but no ash fraction is given for this row. ","")&amp;IF($I256="","Sieve mesh not recorded — a fine-root figure cannot be interpreted without it. ","")&amp;IF(AND(ISNUMBER($H256),$H256&gt;0.5),"Ash fraction above 0.5 — over half this sample was mineral soil. Re-wash. ","")&amp;IF($F256="Not separated","Live and dead not separated. Fine for a stock, but "&amp;"note it in reporting. ",""))</f>
        <v/>
      </c>
      <c r="P256" s="6" t="n"/>
      <c r="Q256" s="9">
        <f>IF($B256="",0,IF(COUNTIFS($B$5:$B256,$B256)=1,1,0))</f>
        <v/>
      </c>
    </row>
    <row r="257">
      <c r="A257" s="6" t="n"/>
      <c r="B257" s="6" t="n"/>
      <c r="C257" s="6" t="n"/>
      <c r="D257" s="6" t="n"/>
      <c r="E257" s="6" t="n"/>
      <c r="F257" s="6" t="n"/>
      <c r="G257" s="7" t="n"/>
      <c r="H257" s="7" t="n"/>
      <c r="I257" s="6" t="n"/>
      <c r="J257" s="9">
        <f>IF(NOT(ISNUMBER($G257)),"",IF(AND(ASH_CORRECTED="Yes",ISNUMBER($H257)),$G257*(1-$H257),$G257))</f>
        <v/>
      </c>
      <c r="K257" s="9">
        <f>IF($B257="","",IFERROR(AVERAGEIFS('2. Soil Data'!$G$5:$G$604,'2. Soil Data'!$B$5:$B$604,$B257),""))</f>
        <v/>
      </c>
      <c r="L257" s="9">
        <f>IF(NOT(ISNUMBER($K257)),"",PI()*($K257/2)^2)</f>
        <v/>
      </c>
      <c r="M257" s="9">
        <f>IF(OR(NOT(ISNUMBER($J257)),NOT(ISNUMBER($L257)),$L257=0),"",$J257/$L257*10000)</f>
        <v/>
      </c>
      <c r="N257" s="9">
        <f>IF(NOT(ISNUMBER($M257)),"",$M257*CARBON_FRACTION_ROOT/1000)</f>
        <v/>
      </c>
      <c r="O257" s="11">
        <f>IF(AND($A257="",$B257="",$G257=""),"",IF(AND($B257&lt;&gt;"",COUNTIFS('2. Soil Data'!$B$5:$B$604,$B257)=0),"Core ID not found in Soil Data, so the corer diameter cannot be looked up. ","")&amp;IF(ASH_CORRECTED&lt;&gt;"Yes","Root mass is NOT ash-corrected, so it includes adhering mineral soil and is too high. Set ASH_CORRECTED once you have done it. ","")&amp;IF(AND(ASH_CORRECTED="Yes",NOT(ISNUMBER($H257))),"Ash correction is switched on but no ash fraction is given for this row. ","")&amp;IF($I257="","Sieve mesh not recorded — a fine-root figure cannot be interpreted without it. ","")&amp;IF(AND(ISNUMBER($H257),$H257&gt;0.5),"Ash fraction above 0.5 — over half this sample was mineral soil. Re-wash. ","")&amp;IF($F257="Not separated","Live and dead not separated. Fine for a stock, but "&amp;"note it in reporting. ",""))</f>
        <v/>
      </c>
      <c r="P257" s="6" t="n"/>
      <c r="Q257" s="9">
        <f>IF($B257="",0,IF(COUNTIFS($B$5:$B257,$B257)=1,1,0))</f>
        <v/>
      </c>
    </row>
    <row r="258">
      <c r="A258" s="6" t="n"/>
      <c r="B258" s="6" t="n"/>
      <c r="C258" s="6" t="n"/>
      <c r="D258" s="6" t="n"/>
      <c r="E258" s="6" t="n"/>
      <c r="F258" s="6" t="n"/>
      <c r="G258" s="7" t="n"/>
      <c r="H258" s="7" t="n"/>
      <c r="I258" s="6" t="n"/>
      <c r="J258" s="9">
        <f>IF(NOT(ISNUMBER($G258)),"",IF(AND(ASH_CORRECTED="Yes",ISNUMBER($H258)),$G258*(1-$H258),$G258))</f>
        <v/>
      </c>
      <c r="K258" s="9">
        <f>IF($B258="","",IFERROR(AVERAGEIFS('2. Soil Data'!$G$5:$G$604,'2. Soil Data'!$B$5:$B$604,$B258),""))</f>
        <v/>
      </c>
      <c r="L258" s="9">
        <f>IF(NOT(ISNUMBER($K258)),"",PI()*($K258/2)^2)</f>
        <v/>
      </c>
      <c r="M258" s="9">
        <f>IF(OR(NOT(ISNUMBER($J258)),NOT(ISNUMBER($L258)),$L258=0),"",$J258/$L258*10000)</f>
        <v/>
      </c>
      <c r="N258" s="9">
        <f>IF(NOT(ISNUMBER($M258)),"",$M258*CARBON_FRACTION_ROOT/1000)</f>
        <v/>
      </c>
      <c r="O258" s="11">
        <f>IF(AND($A258="",$B258="",$G258=""),"",IF(AND($B258&lt;&gt;"",COUNTIFS('2. Soil Data'!$B$5:$B$604,$B258)=0),"Core ID not found in Soil Data, so the corer diameter cannot be looked up. ","")&amp;IF(ASH_CORRECTED&lt;&gt;"Yes","Root mass is NOT ash-corrected, so it includes adhering mineral soil and is too high. Set ASH_CORRECTED once you have done it. ","")&amp;IF(AND(ASH_CORRECTED="Yes",NOT(ISNUMBER($H258))),"Ash correction is switched on but no ash fraction is given for this row. ","")&amp;IF($I258="","Sieve mesh not recorded — a fine-root figure cannot be interpreted without it. ","")&amp;IF(AND(ISNUMBER($H258),$H258&gt;0.5),"Ash fraction above 0.5 — over half this sample was mineral soil. Re-wash. ","")&amp;IF($F258="Not separated","Live and dead not separated. Fine for a stock, but "&amp;"note it in reporting. ",""))</f>
        <v/>
      </c>
      <c r="P258" s="6" t="n"/>
      <c r="Q258" s="9">
        <f>IF($B258="",0,IF(COUNTIFS($B$5:$B258,$B258)=1,1,0))</f>
        <v/>
      </c>
    </row>
    <row r="259">
      <c r="A259" s="6" t="n"/>
      <c r="B259" s="6" t="n"/>
      <c r="C259" s="6" t="n"/>
      <c r="D259" s="6" t="n"/>
      <c r="E259" s="6" t="n"/>
      <c r="F259" s="6" t="n"/>
      <c r="G259" s="7" t="n"/>
      <c r="H259" s="7" t="n"/>
      <c r="I259" s="6" t="n"/>
      <c r="J259" s="9">
        <f>IF(NOT(ISNUMBER($G259)),"",IF(AND(ASH_CORRECTED="Yes",ISNUMBER($H259)),$G259*(1-$H259),$G259))</f>
        <v/>
      </c>
      <c r="K259" s="9">
        <f>IF($B259="","",IFERROR(AVERAGEIFS('2. Soil Data'!$G$5:$G$604,'2. Soil Data'!$B$5:$B$604,$B259),""))</f>
        <v/>
      </c>
      <c r="L259" s="9">
        <f>IF(NOT(ISNUMBER($K259)),"",PI()*($K259/2)^2)</f>
        <v/>
      </c>
      <c r="M259" s="9">
        <f>IF(OR(NOT(ISNUMBER($J259)),NOT(ISNUMBER($L259)),$L259=0),"",$J259/$L259*10000)</f>
        <v/>
      </c>
      <c r="N259" s="9">
        <f>IF(NOT(ISNUMBER($M259)),"",$M259*CARBON_FRACTION_ROOT/1000)</f>
        <v/>
      </c>
      <c r="O259" s="11">
        <f>IF(AND($A259="",$B259="",$G259=""),"",IF(AND($B259&lt;&gt;"",COUNTIFS('2. Soil Data'!$B$5:$B$604,$B259)=0),"Core ID not found in Soil Data, so the corer diameter cannot be looked up. ","")&amp;IF(ASH_CORRECTED&lt;&gt;"Yes","Root mass is NOT ash-corrected, so it includes adhering mineral soil and is too high. Set ASH_CORRECTED once you have done it. ","")&amp;IF(AND(ASH_CORRECTED="Yes",NOT(ISNUMBER($H259))),"Ash correction is switched on but no ash fraction is given for this row. ","")&amp;IF($I259="","Sieve mesh not recorded — a fine-root figure cannot be interpreted without it. ","")&amp;IF(AND(ISNUMBER($H259),$H259&gt;0.5),"Ash fraction above 0.5 — over half this sample was mineral soil. Re-wash. ","")&amp;IF($F259="Not separated","Live and dead not separated. Fine for a stock, but "&amp;"note it in reporting. ",""))</f>
        <v/>
      </c>
      <c r="P259" s="6" t="n"/>
      <c r="Q259" s="9">
        <f>IF($B259="",0,IF(COUNTIFS($B$5:$B259,$B259)=1,1,0))</f>
        <v/>
      </c>
    </row>
    <row r="260">
      <c r="A260" s="6" t="n"/>
      <c r="B260" s="6" t="n"/>
      <c r="C260" s="6" t="n"/>
      <c r="D260" s="6" t="n"/>
      <c r="E260" s="6" t="n"/>
      <c r="F260" s="6" t="n"/>
      <c r="G260" s="7" t="n"/>
      <c r="H260" s="7" t="n"/>
      <c r="I260" s="6" t="n"/>
      <c r="J260" s="9">
        <f>IF(NOT(ISNUMBER($G260)),"",IF(AND(ASH_CORRECTED="Yes",ISNUMBER($H260)),$G260*(1-$H260),$G260))</f>
        <v/>
      </c>
      <c r="K260" s="9">
        <f>IF($B260="","",IFERROR(AVERAGEIFS('2. Soil Data'!$G$5:$G$604,'2. Soil Data'!$B$5:$B$604,$B260),""))</f>
        <v/>
      </c>
      <c r="L260" s="9">
        <f>IF(NOT(ISNUMBER($K260)),"",PI()*($K260/2)^2)</f>
        <v/>
      </c>
      <c r="M260" s="9">
        <f>IF(OR(NOT(ISNUMBER($J260)),NOT(ISNUMBER($L260)),$L260=0),"",$J260/$L260*10000)</f>
        <v/>
      </c>
      <c r="N260" s="9">
        <f>IF(NOT(ISNUMBER($M260)),"",$M260*CARBON_FRACTION_ROOT/1000)</f>
        <v/>
      </c>
      <c r="O260" s="11">
        <f>IF(AND($A260="",$B260="",$G260=""),"",IF(AND($B260&lt;&gt;"",COUNTIFS('2. Soil Data'!$B$5:$B$604,$B260)=0),"Core ID not found in Soil Data, so the corer diameter cannot be looked up. ","")&amp;IF(ASH_CORRECTED&lt;&gt;"Yes","Root mass is NOT ash-corrected, so it includes adhering mineral soil and is too high. Set ASH_CORRECTED once you have done it. ","")&amp;IF(AND(ASH_CORRECTED="Yes",NOT(ISNUMBER($H260))),"Ash correction is switched on but no ash fraction is given for this row. ","")&amp;IF($I260="","Sieve mesh not recorded — a fine-root figure cannot be interpreted without it. ","")&amp;IF(AND(ISNUMBER($H260),$H260&gt;0.5),"Ash fraction above 0.5 — over half this sample was mineral soil. Re-wash. ","")&amp;IF($F260="Not separated","Live and dead not separated. Fine for a stock, but "&amp;"note it in reporting. ",""))</f>
        <v/>
      </c>
      <c r="P260" s="6" t="n"/>
      <c r="Q260" s="9">
        <f>IF($B260="",0,IF(COUNTIFS($B$5:$B260,$B260)=1,1,0))</f>
        <v/>
      </c>
    </row>
    <row r="261">
      <c r="A261" s="6" t="n"/>
      <c r="B261" s="6" t="n"/>
      <c r="C261" s="6" t="n"/>
      <c r="D261" s="6" t="n"/>
      <c r="E261" s="6" t="n"/>
      <c r="F261" s="6" t="n"/>
      <c r="G261" s="7" t="n"/>
      <c r="H261" s="7" t="n"/>
      <c r="I261" s="6" t="n"/>
      <c r="J261" s="9">
        <f>IF(NOT(ISNUMBER($G261)),"",IF(AND(ASH_CORRECTED="Yes",ISNUMBER($H261)),$G261*(1-$H261),$G261))</f>
        <v/>
      </c>
      <c r="K261" s="9">
        <f>IF($B261="","",IFERROR(AVERAGEIFS('2. Soil Data'!$G$5:$G$604,'2. Soil Data'!$B$5:$B$604,$B261),""))</f>
        <v/>
      </c>
      <c r="L261" s="9">
        <f>IF(NOT(ISNUMBER($K261)),"",PI()*($K261/2)^2)</f>
        <v/>
      </c>
      <c r="M261" s="9">
        <f>IF(OR(NOT(ISNUMBER($J261)),NOT(ISNUMBER($L261)),$L261=0),"",$J261/$L261*10000)</f>
        <v/>
      </c>
      <c r="N261" s="9">
        <f>IF(NOT(ISNUMBER($M261)),"",$M261*CARBON_FRACTION_ROOT/1000)</f>
        <v/>
      </c>
      <c r="O261" s="11">
        <f>IF(AND($A261="",$B261="",$G261=""),"",IF(AND($B261&lt;&gt;"",COUNTIFS('2. Soil Data'!$B$5:$B$604,$B261)=0),"Core ID not found in Soil Data, so the corer diameter cannot be looked up. ","")&amp;IF(ASH_CORRECTED&lt;&gt;"Yes","Root mass is NOT ash-corrected, so it includes adhering mineral soil and is too high. Set ASH_CORRECTED once you have done it. ","")&amp;IF(AND(ASH_CORRECTED="Yes",NOT(ISNUMBER($H261))),"Ash correction is switched on but no ash fraction is given for this row. ","")&amp;IF($I261="","Sieve mesh not recorded — a fine-root figure cannot be interpreted without it. ","")&amp;IF(AND(ISNUMBER($H261),$H261&gt;0.5),"Ash fraction above 0.5 — over half this sample was mineral soil. Re-wash. ","")&amp;IF($F261="Not separated","Live and dead not separated. Fine for a stock, but "&amp;"note it in reporting. ",""))</f>
        <v/>
      </c>
      <c r="P261" s="6" t="n"/>
      <c r="Q261" s="9">
        <f>IF($B261="",0,IF(COUNTIFS($B$5:$B261,$B261)=1,1,0))</f>
        <v/>
      </c>
    </row>
    <row r="262">
      <c r="A262" s="6" t="n"/>
      <c r="B262" s="6" t="n"/>
      <c r="C262" s="6" t="n"/>
      <c r="D262" s="6" t="n"/>
      <c r="E262" s="6" t="n"/>
      <c r="F262" s="6" t="n"/>
      <c r="G262" s="7" t="n"/>
      <c r="H262" s="7" t="n"/>
      <c r="I262" s="6" t="n"/>
      <c r="J262" s="9">
        <f>IF(NOT(ISNUMBER($G262)),"",IF(AND(ASH_CORRECTED="Yes",ISNUMBER($H262)),$G262*(1-$H262),$G262))</f>
        <v/>
      </c>
      <c r="K262" s="9">
        <f>IF($B262="","",IFERROR(AVERAGEIFS('2. Soil Data'!$G$5:$G$604,'2. Soil Data'!$B$5:$B$604,$B262),""))</f>
        <v/>
      </c>
      <c r="L262" s="9">
        <f>IF(NOT(ISNUMBER($K262)),"",PI()*($K262/2)^2)</f>
        <v/>
      </c>
      <c r="M262" s="9">
        <f>IF(OR(NOT(ISNUMBER($J262)),NOT(ISNUMBER($L262)),$L262=0),"",$J262/$L262*10000)</f>
        <v/>
      </c>
      <c r="N262" s="9">
        <f>IF(NOT(ISNUMBER($M262)),"",$M262*CARBON_FRACTION_ROOT/1000)</f>
        <v/>
      </c>
      <c r="O262" s="11">
        <f>IF(AND($A262="",$B262="",$G262=""),"",IF(AND($B262&lt;&gt;"",COUNTIFS('2. Soil Data'!$B$5:$B$604,$B262)=0),"Core ID not found in Soil Data, so the corer diameter cannot be looked up. ","")&amp;IF(ASH_CORRECTED&lt;&gt;"Yes","Root mass is NOT ash-corrected, so it includes adhering mineral soil and is too high. Set ASH_CORRECTED once you have done it. ","")&amp;IF(AND(ASH_CORRECTED="Yes",NOT(ISNUMBER($H262))),"Ash correction is switched on but no ash fraction is given for this row. ","")&amp;IF($I262="","Sieve mesh not recorded — a fine-root figure cannot be interpreted without it. ","")&amp;IF(AND(ISNUMBER($H262),$H262&gt;0.5),"Ash fraction above 0.5 — over half this sample was mineral soil. Re-wash. ","")&amp;IF($F262="Not separated","Live and dead not separated. Fine for a stock, but "&amp;"note it in reporting. ",""))</f>
        <v/>
      </c>
      <c r="P262" s="6" t="n"/>
      <c r="Q262" s="9">
        <f>IF($B262="",0,IF(COUNTIFS($B$5:$B262,$B262)=1,1,0))</f>
        <v/>
      </c>
    </row>
    <row r="263">
      <c r="A263" s="6" t="n"/>
      <c r="B263" s="6" t="n"/>
      <c r="C263" s="6" t="n"/>
      <c r="D263" s="6" t="n"/>
      <c r="E263" s="6" t="n"/>
      <c r="F263" s="6" t="n"/>
      <c r="G263" s="7" t="n"/>
      <c r="H263" s="7" t="n"/>
      <c r="I263" s="6" t="n"/>
      <c r="J263" s="9">
        <f>IF(NOT(ISNUMBER($G263)),"",IF(AND(ASH_CORRECTED="Yes",ISNUMBER($H263)),$G263*(1-$H263),$G263))</f>
        <v/>
      </c>
      <c r="K263" s="9">
        <f>IF($B263="","",IFERROR(AVERAGEIFS('2. Soil Data'!$G$5:$G$604,'2. Soil Data'!$B$5:$B$604,$B263),""))</f>
        <v/>
      </c>
      <c r="L263" s="9">
        <f>IF(NOT(ISNUMBER($K263)),"",PI()*($K263/2)^2)</f>
        <v/>
      </c>
      <c r="M263" s="9">
        <f>IF(OR(NOT(ISNUMBER($J263)),NOT(ISNUMBER($L263)),$L263=0),"",$J263/$L263*10000)</f>
        <v/>
      </c>
      <c r="N263" s="9">
        <f>IF(NOT(ISNUMBER($M263)),"",$M263*CARBON_FRACTION_ROOT/1000)</f>
        <v/>
      </c>
      <c r="O263" s="11">
        <f>IF(AND($A263="",$B263="",$G263=""),"",IF(AND($B263&lt;&gt;"",COUNTIFS('2. Soil Data'!$B$5:$B$604,$B263)=0),"Core ID not found in Soil Data, so the corer diameter cannot be looked up. ","")&amp;IF(ASH_CORRECTED&lt;&gt;"Yes","Root mass is NOT ash-corrected, so it includes adhering mineral soil and is too high. Set ASH_CORRECTED once you have done it. ","")&amp;IF(AND(ASH_CORRECTED="Yes",NOT(ISNUMBER($H263))),"Ash correction is switched on but no ash fraction is given for this row. ","")&amp;IF($I263="","Sieve mesh not recorded — a fine-root figure cannot be interpreted without it. ","")&amp;IF(AND(ISNUMBER($H263),$H263&gt;0.5),"Ash fraction above 0.5 — over half this sample was mineral soil. Re-wash. ","")&amp;IF($F263="Not separated","Live and dead not separated. Fine for a stock, but "&amp;"note it in reporting. ",""))</f>
        <v/>
      </c>
      <c r="P263" s="6" t="n"/>
      <c r="Q263" s="9">
        <f>IF($B263="",0,IF(COUNTIFS($B$5:$B263,$B263)=1,1,0))</f>
        <v/>
      </c>
    </row>
    <row r="264">
      <c r="A264" s="6" t="n"/>
      <c r="B264" s="6" t="n"/>
      <c r="C264" s="6" t="n"/>
      <c r="D264" s="6" t="n"/>
      <c r="E264" s="6" t="n"/>
      <c r="F264" s="6" t="n"/>
      <c r="G264" s="7" t="n"/>
      <c r="H264" s="7" t="n"/>
      <c r="I264" s="6" t="n"/>
      <c r="J264" s="9">
        <f>IF(NOT(ISNUMBER($G264)),"",IF(AND(ASH_CORRECTED="Yes",ISNUMBER($H264)),$G264*(1-$H264),$G264))</f>
        <v/>
      </c>
      <c r="K264" s="9">
        <f>IF($B264="","",IFERROR(AVERAGEIFS('2. Soil Data'!$G$5:$G$604,'2. Soil Data'!$B$5:$B$604,$B264),""))</f>
        <v/>
      </c>
      <c r="L264" s="9">
        <f>IF(NOT(ISNUMBER($K264)),"",PI()*($K264/2)^2)</f>
        <v/>
      </c>
      <c r="M264" s="9">
        <f>IF(OR(NOT(ISNUMBER($J264)),NOT(ISNUMBER($L264)),$L264=0),"",$J264/$L264*10000)</f>
        <v/>
      </c>
      <c r="N264" s="9">
        <f>IF(NOT(ISNUMBER($M264)),"",$M264*CARBON_FRACTION_ROOT/1000)</f>
        <v/>
      </c>
      <c r="O264" s="11">
        <f>IF(AND($A264="",$B264="",$G264=""),"",IF(AND($B264&lt;&gt;"",COUNTIFS('2. Soil Data'!$B$5:$B$604,$B264)=0),"Core ID not found in Soil Data, so the corer diameter cannot be looked up. ","")&amp;IF(ASH_CORRECTED&lt;&gt;"Yes","Root mass is NOT ash-corrected, so it includes adhering mineral soil and is too high. Set ASH_CORRECTED once you have done it. ","")&amp;IF(AND(ASH_CORRECTED="Yes",NOT(ISNUMBER($H264))),"Ash correction is switched on but no ash fraction is given for this row. ","")&amp;IF($I264="","Sieve mesh not recorded — a fine-root figure cannot be interpreted without it. ","")&amp;IF(AND(ISNUMBER($H264),$H264&gt;0.5),"Ash fraction above 0.5 — over half this sample was mineral soil. Re-wash. ","")&amp;IF($F264="Not separated","Live and dead not separated. Fine for a stock, but "&amp;"note it in reporting. ",""))</f>
        <v/>
      </c>
      <c r="P264" s="6" t="n"/>
      <c r="Q264" s="9">
        <f>IF($B264="",0,IF(COUNTIFS($B$5:$B264,$B264)=1,1,0))</f>
        <v/>
      </c>
    </row>
    <row r="265">
      <c r="A265" s="6" t="n"/>
      <c r="B265" s="6" t="n"/>
      <c r="C265" s="6" t="n"/>
      <c r="D265" s="6" t="n"/>
      <c r="E265" s="6" t="n"/>
      <c r="F265" s="6" t="n"/>
      <c r="G265" s="7" t="n"/>
      <c r="H265" s="7" t="n"/>
      <c r="I265" s="6" t="n"/>
      <c r="J265" s="9">
        <f>IF(NOT(ISNUMBER($G265)),"",IF(AND(ASH_CORRECTED="Yes",ISNUMBER($H265)),$G265*(1-$H265),$G265))</f>
        <v/>
      </c>
      <c r="K265" s="9">
        <f>IF($B265="","",IFERROR(AVERAGEIFS('2. Soil Data'!$G$5:$G$604,'2. Soil Data'!$B$5:$B$604,$B265),""))</f>
        <v/>
      </c>
      <c r="L265" s="9">
        <f>IF(NOT(ISNUMBER($K265)),"",PI()*($K265/2)^2)</f>
        <v/>
      </c>
      <c r="M265" s="9">
        <f>IF(OR(NOT(ISNUMBER($J265)),NOT(ISNUMBER($L265)),$L265=0),"",$J265/$L265*10000)</f>
        <v/>
      </c>
      <c r="N265" s="9">
        <f>IF(NOT(ISNUMBER($M265)),"",$M265*CARBON_FRACTION_ROOT/1000)</f>
        <v/>
      </c>
      <c r="O265" s="11">
        <f>IF(AND($A265="",$B265="",$G265=""),"",IF(AND($B265&lt;&gt;"",COUNTIFS('2. Soil Data'!$B$5:$B$604,$B265)=0),"Core ID not found in Soil Data, so the corer diameter cannot be looked up. ","")&amp;IF(ASH_CORRECTED&lt;&gt;"Yes","Root mass is NOT ash-corrected, so it includes adhering mineral soil and is too high. Set ASH_CORRECTED once you have done it. ","")&amp;IF(AND(ASH_CORRECTED="Yes",NOT(ISNUMBER($H265))),"Ash correction is switched on but no ash fraction is given for this row. ","")&amp;IF($I265="","Sieve mesh not recorded — a fine-root figure cannot be interpreted without it. ","")&amp;IF(AND(ISNUMBER($H265),$H265&gt;0.5),"Ash fraction above 0.5 — over half this sample was mineral soil. Re-wash. ","")&amp;IF($F265="Not separated","Live and dead not separated. Fine for a stock, but "&amp;"note it in reporting. ",""))</f>
        <v/>
      </c>
      <c r="P265" s="6" t="n"/>
      <c r="Q265" s="9">
        <f>IF($B265="",0,IF(COUNTIFS($B$5:$B265,$B265)=1,1,0))</f>
        <v/>
      </c>
    </row>
    <row r="266">
      <c r="A266" s="6" t="n"/>
      <c r="B266" s="6" t="n"/>
      <c r="C266" s="6" t="n"/>
      <c r="D266" s="6" t="n"/>
      <c r="E266" s="6" t="n"/>
      <c r="F266" s="6" t="n"/>
      <c r="G266" s="7" t="n"/>
      <c r="H266" s="7" t="n"/>
      <c r="I266" s="6" t="n"/>
      <c r="J266" s="9">
        <f>IF(NOT(ISNUMBER($G266)),"",IF(AND(ASH_CORRECTED="Yes",ISNUMBER($H266)),$G266*(1-$H266),$G266))</f>
        <v/>
      </c>
      <c r="K266" s="9">
        <f>IF($B266="","",IFERROR(AVERAGEIFS('2. Soil Data'!$G$5:$G$604,'2. Soil Data'!$B$5:$B$604,$B266),""))</f>
        <v/>
      </c>
      <c r="L266" s="9">
        <f>IF(NOT(ISNUMBER($K266)),"",PI()*($K266/2)^2)</f>
        <v/>
      </c>
      <c r="M266" s="9">
        <f>IF(OR(NOT(ISNUMBER($J266)),NOT(ISNUMBER($L266)),$L266=0),"",$J266/$L266*10000)</f>
        <v/>
      </c>
      <c r="N266" s="9">
        <f>IF(NOT(ISNUMBER($M266)),"",$M266*CARBON_FRACTION_ROOT/1000)</f>
        <v/>
      </c>
      <c r="O266" s="11">
        <f>IF(AND($A266="",$B266="",$G266=""),"",IF(AND($B266&lt;&gt;"",COUNTIFS('2. Soil Data'!$B$5:$B$604,$B266)=0),"Core ID not found in Soil Data, so the corer diameter cannot be looked up. ","")&amp;IF(ASH_CORRECTED&lt;&gt;"Yes","Root mass is NOT ash-corrected, so it includes adhering mineral soil and is too high. Set ASH_CORRECTED once you have done it. ","")&amp;IF(AND(ASH_CORRECTED="Yes",NOT(ISNUMBER($H266))),"Ash correction is switched on but no ash fraction is given for this row. ","")&amp;IF($I266="","Sieve mesh not recorded — a fine-root figure cannot be interpreted without it. ","")&amp;IF(AND(ISNUMBER($H266),$H266&gt;0.5),"Ash fraction above 0.5 — over half this sample was mineral soil. Re-wash. ","")&amp;IF($F266="Not separated","Live and dead not separated. Fine for a stock, but "&amp;"note it in reporting. ",""))</f>
        <v/>
      </c>
      <c r="P266" s="6" t="n"/>
      <c r="Q266" s="9">
        <f>IF($B266="",0,IF(COUNTIFS($B$5:$B266,$B266)=1,1,0))</f>
        <v/>
      </c>
    </row>
    <row r="267">
      <c r="A267" s="6" t="n"/>
      <c r="B267" s="6" t="n"/>
      <c r="C267" s="6" t="n"/>
      <c r="D267" s="6" t="n"/>
      <c r="E267" s="6" t="n"/>
      <c r="F267" s="6" t="n"/>
      <c r="G267" s="7" t="n"/>
      <c r="H267" s="7" t="n"/>
      <c r="I267" s="6" t="n"/>
      <c r="J267" s="9">
        <f>IF(NOT(ISNUMBER($G267)),"",IF(AND(ASH_CORRECTED="Yes",ISNUMBER($H267)),$G267*(1-$H267),$G267))</f>
        <v/>
      </c>
      <c r="K267" s="9">
        <f>IF($B267="","",IFERROR(AVERAGEIFS('2. Soil Data'!$G$5:$G$604,'2. Soil Data'!$B$5:$B$604,$B267),""))</f>
        <v/>
      </c>
      <c r="L267" s="9">
        <f>IF(NOT(ISNUMBER($K267)),"",PI()*($K267/2)^2)</f>
        <v/>
      </c>
      <c r="M267" s="9">
        <f>IF(OR(NOT(ISNUMBER($J267)),NOT(ISNUMBER($L267)),$L267=0),"",$J267/$L267*10000)</f>
        <v/>
      </c>
      <c r="N267" s="9">
        <f>IF(NOT(ISNUMBER($M267)),"",$M267*CARBON_FRACTION_ROOT/1000)</f>
        <v/>
      </c>
      <c r="O267" s="11">
        <f>IF(AND($A267="",$B267="",$G267=""),"",IF(AND($B267&lt;&gt;"",COUNTIFS('2. Soil Data'!$B$5:$B$604,$B267)=0),"Core ID not found in Soil Data, so the corer diameter cannot be looked up. ","")&amp;IF(ASH_CORRECTED&lt;&gt;"Yes","Root mass is NOT ash-corrected, so it includes adhering mineral soil and is too high. Set ASH_CORRECTED once you have done it. ","")&amp;IF(AND(ASH_CORRECTED="Yes",NOT(ISNUMBER($H267))),"Ash correction is switched on but no ash fraction is given for this row. ","")&amp;IF($I267="","Sieve mesh not recorded — a fine-root figure cannot be interpreted without it. ","")&amp;IF(AND(ISNUMBER($H267),$H267&gt;0.5),"Ash fraction above 0.5 — over half this sample was mineral soil. Re-wash. ","")&amp;IF($F267="Not separated","Live and dead not separated. Fine for a stock, but "&amp;"note it in reporting. ",""))</f>
        <v/>
      </c>
      <c r="P267" s="6" t="n"/>
      <c r="Q267" s="9">
        <f>IF($B267="",0,IF(COUNTIFS($B$5:$B267,$B267)=1,1,0))</f>
        <v/>
      </c>
    </row>
    <row r="268">
      <c r="A268" s="6" t="n"/>
      <c r="B268" s="6" t="n"/>
      <c r="C268" s="6" t="n"/>
      <c r="D268" s="6" t="n"/>
      <c r="E268" s="6" t="n"/>
      <c r="F268" s="6" t="n"/>
      <c r="G268" s="7" t="n"/>
      <c r="H268" s="7" t="n"/>
      <c r="I268" s="6" t="n"/>
      <c r="J268" s="9">
        <f>IF(NOT(ISNUMBER($G268)),"",IF(AND(ASH_CORRECTED="Yes",ISNUMBER($H268)),$G268*(1-$H268),$G268))</f>
        <v/>
      </c>
      <c r="K268" s="9">
        <f>IF($B268="","",IFERROR(AVERAGEIFS('2. Soil Data'!$G$5:$G$604,'2. Soil Data'!$B$5:$B$604,$B268),""))</f>
        <v/>
      </c>
      <c r="L268" s="9">
        <f>IF(NOT(ISNUMBER($K268)),"",PI()*($K268/2)^2)</f>
        <v/>
      </c>
      <c r="M268" s="9">
        <f>IF(OR(NOT(ISNUMBER($J268)),NOT(ISNUMBER($L268)),$L268=0),"",$J268/$L268*10000)</f>
        <v/>
      </c>
      <c r="N268" s="9">
        <f>IF(NOT(ISNUMBER($M268)),"",$M268*CARBON_FRACTION_ROOT/1000)</f>
        <v/>
      </c>
      <c r="O268" s="11">
        <f>IF(AND($A268="",$B268="",$G268=""),"",IF(AND($B268&lt;&gt;"",COUNTIFS('2. Soil Data'!$B$5:$B$604,$B268)=0),"Core ID not found in Soil Data, so the corer diameter cannot be looked up. ","")&amp;IF(ASH_CORRECTED&lt;&gt;"Yes","Root mass is NOT ash-corrected, so it includes adhering mineral soil and is too high. Set ASH_CORRECTED once you have done it. ","")&amp;IF(AND(ASH_CORRECTED="Yes",NOT(ISNUMBER($H268))),"Ash correction is switched on but no ash fraction is given for this row. ","")&amp;IF($I268="","Sieve mesh not recorded — a fine-root figure cannot be interpreted without it. ","")&amp;IF(AND(ISNUMBER($H268),$H268&gt;0.5),"Ash fraction above 0.5 — over half this sample was mineral soil. Re-wash. ","")&amp;IF($F268="Not separated","Live and dead not separated. Fine for a stock, but "&amp;"note it in reporting. ",""))</f>
        <v/>
      </c>
      <c r="P268" s="6" t="n"/>
      <c r="Q268" s="9">
        <f>IF($B268="",0,IF(COUNTIFS($B$5:$B268,$B268)=1,1,0))</f>
        <v/>
      </c>
    </row>
    <row r="269">
      <c r="A269" s="6" t="n"/>
      <c r="B269" s="6" t="n"/>
      <c r="C269" s="6" t="n"/>
      <c r="D269" s="6" t="n"/>
      <c r="E269" s="6" t="n"/>
      <c r="F269" s="6" t="n"/>
      <c r="G269" s="7" t="n"/>
      <c r="H269" s="7" t="n"/>
      <c r="I269" s="6" t="n"/>
      <c r="J269" s="9">
        <f>IF(NOT(ISNUMBER($G269)),"",IF(AND(ASH_CORRECTED="Yes",ISNUMBER($H269)),$G269*(1-$H269),$G269))</f>
        <v/>
      </c>
      <c r="K269" s="9">
        <f>IF($B269="","",IFERROR(AVERAGEIFS('2. Soil Data'!$G$5:$G$604,'2. Soil Data'!$B$5:$B$604,$B269),""))</f>
        <v/>
      </c>
      <c r="L269" s="9">
        <f>IF(NOT(ISNUMBER($K269)),"",PI()*($K269/2)^2)</f>
        <v/>
      </c>
      <c r="M269" s="9">
        <f>IF(OR(NOT(ISNUMBER($J269)),NOT(ISNUMBER($L269)),$L269=0),"",$J269/$L269*10000)</f>
        <v/>
      </c>
      <c r="N269" s="9">
        <f>IF(NOT(ISNUMBER($M269)),"",$M269*CARBON_FRACTION_ROOT/1000)</f>
        <v/>
      </c>
      <c r="O269" s="11">
        <f>IF(AND($A269="",$B269="",$G269=""),"",IF(AND($B269&lt;&gt;"",COUNTIFS('2. Soil Data'!$B$5:$B$604,$B269)=0),"Core ID not found in Soil Data, so the corer diameter cannot be looked up. ","")&amp;IF(ASH_CORRECTED&lt;&gt;"Yes","Root mass is NOT ash-corrected, so it includes adhering mineral soil and is too high. Set ASH_CORRECTED once you have done it. ","")&amp;IF(AND(ASH_CORRECTED="Yes",NOT(ISNUMBER($H269))),"Ash correction is switched on but no ash fraction is given for this row. ","")&amp;IF($I269="","Sieve mesh not recorded — a fine-root figure cannot be interpreted without it. ","")&amp;IF(AND(ISNUMBER($H269),$H269&gt;0.5),"Ash fraction above 0.5 — over half this sample was mineral soil. Re-wash. ","")&amp;IF($F269="Not separated","Live and dead not separated. Fine for a stock, but "&amp;"note it in reporting. ",""))</f>
        <v/>
      </c>
      <c r="P269" s="6" t="n"/>
      <c r="Q269" s="9">
        <f>IF($B269="",0,IF(COUNTIFS($B$5:$B269,$B269)=1,1,0))</f>
        <v/>
      </c>
    </row>
    <row r="270">
      <c r="A270" s="6" t="n"/>
      <c r="B270" s="6" t="n"/>
      <c r="C270" s="6" t="n"/>
      <c r="D270" s="6" t="n"/>
      <c r="E270" s="6" t="n"/>
      <c r="F270" s="6" t="n"/>
      <c r="G270" s="7" t="n"/>
      <c r="H270" s="7" t="n"/>
      <c r="I270" s="6" t="n"/>
      <c r="J270" s="9">
        <f>IF(NOT(ISNUMBER($G270)),"",IF(AND(ASH_CORRECTED="Yes",ISNUMBER($H270)),$G270*(1-$H270),$G270))</f>
        <v/>
      </c>
      <c r="K270" s="9">
        <f>IF($B270="","",IFERROR(AVERAGEIFS('2. Soil Data'!$G$5:$G$604,'2. Soil Data'!$B$5:$B$604,$B270),""))</f>
        <v/>
      </c>
      <c r="L270" s="9">
        <f>IF(NOT(ISNUMBER($K270)),"",PI()*($K270/2)^2)</f>
        <v/>
      </c>
      <c r="M270" s="9">
        <f>IF(OR(NOT(ISNUMBER($J270)),NOT(ISNUMBER($L270)),$L270=0),"",$J270/$L270*10000)</f>
        <v/>
      </c>
      <c r="N270" s="9">
        <f>IF(NOT(ISNUMBER($M270)),"",$M270*CARBON_FRACTION_ROOT/1000)</f>
        <v/>
      </c>
      <c r="O270" s="11">
        <f>IF(AND($A270="",$B270="",$G270=""),"",IF(AND($B270&lt;&gt;"",COUNTIFS('2. Soil Data'!$B$5:$B$604,$B270)=0),"Core ID not found in Soil Data, so the corer diameter cannot be looked up. ","")&amp;IF(ASH_CORRECTED&lt;&gt;"Yes","Root mass is NOT ash-corrected, so it includes adhering mineral soil and is too high. Set ASH_CORRECTED once you have done it. ","")&amp;IF(AND(ASH_CORRECTED="Yes",NOT(ISNUMBER($H270))),"Ash correction is switched on but no ash fraction is given for this row. ","")&amp;IF($I270="","Sieve mesh not recorded — a fine-root figure cannot be interpreted without it. ","")&amp;IF(AND(ISNUMBER($H270),$H270&gt;0.5),"Ash fraction above 0.5 — over half this sample was mineral soil. Re-wash. ","")&amp;IF($F270="Not separated","Live and dead not separated. Fine for a stock, but "&amp;"note it in reporting. ",""))</f>
        <v/>
      </c>
      <c r="P270" s="6" t="n"/>
      <c r="Q270" s="9">
        <f>IF($B270="",0,IF(COUNTIFS($B$5:$B270,$B270)=1,1,0))</f>
        <v/>
      </c>
    </row>
    <row r="271">
      <c r="A271" s="6" t="n"/>
      <c r="B271" s="6" t="n"/>
      <c r="C271" s="6" t="n"/>
      <c r="D271" s="6" t="n"/>
      <c r="E271" s="6" t="n"/>
      <c r="F271" s="6" t="n"/>
      <c r="G271" s="7" t="n"/>
      <c r="H271" s="7" t="n"/>
      <c r="I271" s="6" t="n"/>
      <c r="J271" s="9">
        <f>IF(NOT(ISNUMBER($G271)),"",IF(AND(ASH_CORRECTED="Yes",ISNUMBER($H271)),$G271*(1-$H271),$G271))</f>
        <v/>
      </c>
      <c r="K271" s="9">
        <f>IF($B271="","",IFERROR(AVERAGEIFS('2. Soil Data'!$G$5:$G$604,'2. Soil Data'!$B$5:$B$604,$B271),""))</f>
        <v/>
      </c>
      <c r="L271" s="9">
        <f>IF(NOT(ISNUMBER($K271)),"",PI()*($K271/2)^2)</f>
        <v/>
      </c>
      <c r="M271" s="9">
        <f>IF(OR(NOT(ISNUMBER($J271)),NOT(ISNUMBER($L271)),$L271=0),"",$J271/$L271*10000)</f>
        <v/>
      </c>
      <c r="N271" s="9">
        <f>IF(NOT(ISNUMBER($M271)),"",$M271*CARBON_FRACTION_ROOT/1000)</f>
        <v/>
      </c>
      <c r="O271" s="11">
        <f>IF(AND($A271="",$B271="",$G271=""),"",IF(AND($B271&lt;&gt;"",COUNTIFS('2. Soil Data'!$B$5:$B$604,$B271)=0),"Core ID not found in Soil Data, so the corer diameter cannot be looked up. ","")&amp;IF(ASH_CORRECTED&lt;&gt;"Yes","Root mass is NOT ash-corrected, so it includes adhering mineral soil and is too high. Set ASH_CORRECTED once you have done it. ","")&amp;IF(AND(ASH_CORRECTED="Yes",NOT(ISNUMBER($H271))),"Ash correction is switched on but no ash fraction is given for this row. ","")&amp;IF($I271="","Sieve mesh not recorded — a fine-root figure cannot be interpreted without it. ","")&amp;IF(AND(ISNUMBER($H271),$H271&gt;0.5),"Ash fraction above 0.5 — over half this sample was mineral soil. Re-wash. ","")&amp;IF($F271="Not separated","Live and dead not separated. Fine for a stock, but "&amp;"note it in reporting. ",""))</f>
        <v/>
      </c>
      <c r="P271" s="6" t="n"/>
      <c r="Q271" s="9">
        <f>IF($B271="",0,IF(COUNTIFS($B$5:$B271,$B271)=1,1,0))</f>
        <v/>
      </c>
    </row>
    <row r="272">
      <c r="A272" s="6" t="n"/>
      <c r="B272" s="6" t="n"/>
      <c r="C272" s="6" t="n"/>
      <c r="D272" s="6" t="n"/>
      <c r="E272" s="6" t="n"/>
      <c r="F272" s="6" t="n"/>
      <c r="G272" s="7" t="n"/>
      <c r="H272" s="7" t="n"/>
      <c r="I272" s="6" t="n"/>
      <c r="J272" s="9">
        <f>IF(NOT(ISNUMBER($G272)),"",IF(AND(ASH_CORRECTED="Yes",ISNUMBER($H272)),$G272*(1-$H272),$G272))</f>
        <v/>
      </c>
      <c r="K272" s="9">
        <f>IF($B272="","",IFERROR(AVERAGEIFS('2. Soil Data'!$G$5:$G$604,'2. Soil Data'!$B$5:$B$604,$B272),""))</f>
        <v/>
      </c>
      <c r="L272" s="9">
        <f>IF(NOT(ISNUMBER($K272)),"",PI()*($K272/2)^2)</f>
        <v/>
      </c>
      <c r="M272" s="9">
        <f>IF(OR(NOT(ISNUMBER($J272)),NOT(ISNUMBER($L272)),$L272=0),"",$J272/$L272*10000)</f>
        <v/>
      </c>
      <c r="N272" s="9">
        <f>IF(NOT(ISNUMBER($M272)),"",$M272*CARBON_FRACTION_ROOT/1000)</f>
        <v/>
      </c>
      <c r="O272" s="11">
        <f>IF(AND($A272="",$B272="",$G272=""),"",IF(AND($B272&lt;&gt;"",COUNTIFS('2. Soil Data'!$B$5:$B$604,$B272)=0),"Core ID not found in Soil Data, so the corer diameter cannot be looked up. ","")&amp;IF(ASH_CORRECTED&lt;&gt;"Yes","Root mass is NOT ash-corrected, so it includes adhering mineral soil and is too high. Set ASH_CORRECTED once you have done it. ","")&amp;IF(AND(ASH_CORRECTED="Yes",NOT(ISNUMBER($H272))),"Ash correction is switched on but no ash fraction is given for this row. ","")&amp;IF($I272="","Sieve mesh not recorded — a fine-root figure cannot be interpreted without it. ","")&amp;IF(AND(ISNUMBER($H272),$H272&gt;0.5),"Ash fraction above 0.5 — over half this sample was mineral soil. Re-wash. ","")&amp;IF($F272="Not separated","Live and dead not separated. Fine for a stock, but "&amp;"note it in reporting. ",""))</f>
        <v/>
      </c>
      <c r="P272" s="6" t="n"/>
      <c r="Q272" s="9">
        <f>IF($B272="",0,IF(COUNTIFS($B$5:$B272,$B272)=1,1,0))</f>
        <v/>
      </c>
    </row>
    <row r="273">
      <c r="A273" s="6" t="n"/>
      <c r="B273" s="6" t="n"/>
      <c r="C273" s="6" t="n"/>
      <c r="D273" s="6" t="n"/>
      <c r="E273" s="6" t="n"/>
      <c r="F273" s="6" t="n"/>
      <c r="G273" s="7" t="n"/>
      <c r="H273" s="7" t="n"/>
      <c r="I273" s="6" t="n"/>
      <c r="J273" s="9">
        <f>IF(NOT(ISNUMBER($G273)),"",IF(AND(ASH_CORRECTED="Yes",ISNUMBER($H273)),$G273*(1-$H273),$G273))</f>
        <v/>
      </c>
      <c r="K273" s="9">
        <f>IF($B273="","",IFERROR(AVERAGEIFS('2. Soil Data'!$G$5:$G$604,'2. Soil Data'!$B$5:$B$604,$B273),""))</f>
        <v/>
      </c>
      <c r="L273" s="9">
        <f>IF(NOT(ISNUMBER($K273)),"",PI()*($K273/2)^2)</f>
        <v/>
      </c>
      <c r="M273" s="9">
        <f>IF(OR(NOT(ISNUMBER($J273)),NOT(ISNUMBER($L273)),$L273=0),"",$J273/$L273*10000)</f>
        <v/>
      </c>
      <c r="N273" s="9">
        <f>IF(NOT(ISNUMBER($M273)),"",$M273*CARBON_FRACTION_ROOT/1000)</f>
        <v/>
      </c>
      <c r="O273" s="11">
        <f>IF(AND($A273="",$B273="",$G273=""),"",IF(AND($B273&lt;&gt;"",COUNTIFS('2. Soil Data'!$B$5:$B$604,$B273)=0),"Core ID not found in Soil Data, so the corer diameter cannot be looked up. ","")&amp;IF(ASH_CORRECTED&lt;&gt;"Yes","Root mass is NOT ash-corrected, so it includes adhering mineral soil and is too high. Set ASH_CORRECTED once you have done it. ","")&amp;IF(AND(ASH_CORRECTED="Yes",NOT(ISNUMBER($H273))),"Ash correction is switched on but no ash fraction is given for this row. ","")&amp;IF($I273="","Sieve mesh not recorded — a fine-root figure cannot be interpreted without it. ","")&amp;IF(AND(ISNUMBER($H273),$H273&gt;0.5),"Ash fraction above 0.5 — over half this sample was mineral soil. Re-wash. ","")&amp;IF($F273="Not separated","Live and dead not separated. Fine for a stock, but "&amp;"note it in reporting. ",""))</f>
        <v/>
      </c>
      <c r="P273" s="6" t="n"/>
      <c r="Q273" s="9">
        <f>IF($B273="",0,IF(COUNTIFS($B$5:$B273,$B273)=1,1,0))</f>
        <v/>
      </c>
    </row>
    <row r="274">
      <c r="A274" s="6" t="n"/>
      <c r="B274" s="6" t="n"/>
      <c r="C274" s="6" t="n"/>
      <c r="D274" s="6" t="n"/>
      <c r="E274" s="6" t="n"/>
      <c r="F274" s="6" t="n"/>
      <c r="G274" s="7" t="n"/>
      <c r="H274" s="7" t="n"/>
      <c r="I274" s="6" t="n"/>
      <c r="J274" s="9">
        <f>IF(NOT(ISNUMBER($G274)),"",IF(AND(ASH_CORRECTED="Yes",ISNUMBER($H274)),$G274*(1-$H274),$G274))</f>
        <v/>
      </c>
      <c r="K274" s="9">
        <f>IF($B274="","",IFERROR(AVERAGEIFS('2. Soil Data'!$G$5:$G$604,'2. Soil Data'!$B$5:$B$604,$B274),""))</f>
        <v/>
      </c>
      <c r="L274" s="9">
        <f>IF(NOT(ISNUMBER($K274)),"",PI()*($K274/2)^2)</f>
        <v/>
      </c>
      <c r="M274" s="9">
        <f>IF(OR(NOT(ISNUMBER($J274)),NOT(ISNUMBER($L274)),$L274=0),"",$J274/$L274*10000)</f>
        <v/>
      </c>
      <c r="N274" s="9">
        <f>IF(NOT(ISNUMBER($M274)),"",$M274*CARBON_FRACTION_ROOT/1000)</f>
        <v/>
      </c>
      <c r="O274" s="11">
        <f>IF(AND($A274="",$B274="",$G274=""),"",IF(AND($B274&lt;&gt;"",COUNTIFS('2. Soil Data'!$B$5:$B$604,$B274)=0),"Core ID not found in Soil Data, so the corer diameter cannot be looked up. ","")&amp;IF(ASH_CORRECTED&lt;&gt;"Yes","Root mass is NOT ash-corrected, so it includes adhering mineral soil and is too high. Set ASH_CORRECTED once you have done it. ","")&amp;IF(AND(ASH_CORRECTED="Yes",NOT(ISNUMBER($H274))),"Ash correction is switched on but no ash fraction is given for this row. ","")&amp;IF($I274="","Sieve mesh not recorded — a fine-root figure cannot be interpreted without it. ","")&amp;IF(AND(ISNUMBER($H274),$H274&gt;0.5),"Ash fraction above 0.5 — over half this sample was mineral soil. Re-wash. ","")&amp;IF($F274="Not separated","Live and dead not separated. Fine for a stock, but "&amp;"note it in reporting. ",""))</f>
        <v/>
      </c>
      <c r="P274" s="6" t="n"/>
      <c r="Q274" s="9">
        <f>IF($B274="",0,IF(COUNTIFS($B$5:$B274,$B274)=1,1,0))</f>
        <v/>
      </c>
    </row>
    <row r="275">
      <c r="A275" s="6" t="n"/>
      <c r="B275" s="6" t="n"/>
      <c r="C275" s="6" t="n"/>
      <c r="D275" s="6" t="n"/>
      <c r="E275" s="6" t="n"/>
      <c r="F275" s="6" t="n"/>
      <c r="G275" s="7" t="n"/>
      <c r="H275" s="7" t="n"/>
      <c r="I275" s="6" t="n"/>
      <c r="J275" s="9">
        <f>IF(NOT(ISNUMBER($G275)),"",IF(AND(ASH_CORRECTED="Yes",ISNUMBER($H275)),$G275*(1-$H275),$G275))</f>
        <v/>
      </c>
      <c r="K275" s="9">
        <f>IF($B275="","",IFERROR(AVERAGEIFS('2. Soil Data'!$G$5:$G$604,'2. Soil Data'!$B$5:$B$604,$B275),""))</f>
        <v/>
      </c>
      <c r="L275" s="9">
        <f>IF(NOT(ISNUMBER($K275)),"",PI()*($K275/2)^2)</f>
        <v/>
      </c>
      <c r="M275" s="9">
        <f>IF(OR(NOT(ISNUMBER($J275)),NOT(ISNUMBER($L275)),$L275=0),"",$J275/$L275*10000)</f>
        <v/>
      </c>
      <c r="N275" s="9">
        <f>IF(NOT(ISNUMBER($M275)),"",$M275*CARBON_FRACTION_ROOT/1000)</f>
        <v/>
      </c>
      <c r="O275" s="11">
        <f>IF(AND($A275="",$B275="",$G275=""),"",IF(AND($B275&lt;&gt;"",COUNTIFS('2. Soil Data'!$B$5:$B$604,$B275)=0),"Core ID not found in Soil Data, so the corer diameter cannot be looked up. ","")&amp;IF(ASH_CORRECTED&lt;&gt;"Yes","Root mass is NOT ash-corrected, so it includes adhering mineral soil and is too high. Set ASH_CORRECTED once you have done it. ","")&amp;IF(AND(ASH_CORRECTED="Yes",NOT(ISNUMBER($H275))),"Ash correction is switched on but no ash fraction is given for this row. ","")&amp;IF($I275="","Sieve mesh not recorded — a fine-root figure cannot be interpreted without it. ","")&amp;IF(AND(ISNUMBER($H275),$H275&gt;0.5),"Ash fraction above 0.5 — over half this sample was mineral soil. Re-wash. ","")&amp;IF($F275="Not separated","Live and dead not separated. Fine for a stock, but "&amp;"note it in reporting. ",""))</f>
        <v/>
      </c>
      <c r="P275" s="6" t="n"/>
      <c r="Q275" s="9">
        <f>IF($B275="",0,IF(COUNTIFS($B$5:$B275,$B275)=1,1,0))</f>
        <v/>
      </c>
    </row>
    <row r="276">
      <c r="A276" s="6" t="n"/>
      <c r="B276" s="6" t="n"/>
      <c r="C276" s="6" t="n"/>
      <c r="D276" s="6" t="n"/>
      <c r="E276" s="6" t="n"/>
      <c r="F276" s="6" t="n"/>
      <c r="G276" s="7" t="n"/>
      <c r="H276" s="7" t="n"/>
      <c r="I276" s="6" t="n"/>
      <c r="J276" s="9">
        <f>IF(NOT(ISNUMBER($G276)),"",IF(AND(ASH_CORRECTED="Yes",ISNUMBER($H276)),$G276*(1-$H276),$G276))</f>
        <v/>
      </c>
      <c r="K276" s="9">
        <f>IF($B276="","",IFERROR(AVERAGEIFS('2. Soil Data'!$G$5:$G$604,'2. Soil Data'!$B$5:$B$604,$B276),""))</f>
        <v/>
      </c>
      <c r="L276" s="9">
        <f>IF(NOT(ISNUMBER($K276)),"",PI()*($K276/2)^2)</f>
        <v/>
      </c>
      <c r="M276" s="9">
        <f>IF(OR(NOT(ISNUMBER($J276)),NOT(ISNUMBER($L276)),$L276=0),"",$J276/$L276*10000)</f>
        <v/>
      </c>
      <c r="N276" s="9">
        <f>IF(NOT(ISNUMBER($M276)),"",$M276*CARBON_FRACTION_ROOT/1000)</f>
        <v/>
      </c>
      <c r="O276" s="11">
        <f>IF(AND($A276="",$B276="",$G276=""),"",IF(AND($B276&lt;&gt;"",COUNTIFS('2. Soil Data'!$B$5:$B$604,$B276)=0),"Core ID not found in Soil Data, so the corer diameter cannot be looked up. ","")&amp;IF(ASH_CORRECTED&lt;&gt;"Yes","Root mass is NOT ash-corrected, so it includes adhering mineral soil and is too high. Set ASH_CORRECTED once you have done it. ","")&amp;IF(AND(ASH_CORRECTED="Yes",NOT(ISNUMBER($H276))),"Ash correction is switched on but no ash fraction is given for this row. ","")&amp;IF($I276="","Sieve mesh not recorded — a fine-root figure cannot be interpreted without it. ","")&amp;IF(AND(ISNUMBER($H276),$H276&gt;0.5),"Ash fraction above 0.5 — over half this sample was mineral soil. Re-wash. ","")&amp;IF($F276="Not separated","Live and dead not separated. Fine for a stock, but "&amp;"note it in reporting. ",""))</f>
        <v/>
      </c>
      <c r="P276" s="6" t="n"/>
      <c r="Q276" s="9">
        <f>IF($B276="",0,IF(COUNTIFS($B$5:$B276,$B276)=1,1,0))</f>
        <v/>
      </c>
    </row>
    <row r="277">
      <c r="A277" s="6" t="n"/>
      <c r="B277" s="6" t="n"/>
      <c r="C277" s="6" t="n"/>
      <c r="D277" s="6" t="n"/>
      <c r="E277" s="6" t="n"/>
      <c r="F277" s="6" t="n"/>
      <c r="G277" s="7" t="n"/>
      <c r="H277" s="7" t="n"/>
      <c r="I277" s="6" t="n"/>
      <c r="J277" s="9">
        <f>IF(NOT(ISNUMBER($G277)),"",IF(AND(ASH_CORRECTED="Yes",ISNUMBER($H277)),$G277*(1-$H277),$G277))</f>
        <v/>
      </c>
      <c r="K277" s="9">
        <f>IF($B277="","",IFERROR(AVERAGEIFS('2. Soil Data'!$G$5:$G$604,'2. Soil Data'!$B$5:$B$604,$B277),""))</f>
        <v/>
      </c>
      <c r="L277" s="9">
        <f>IF(NOT(ISNUMBER($K277)),"",PI()*($K277/2)^2)</f>
        <v/>
      </c>
      <c r="M277" s="9">
        <f>IF(OR(NOT(ISNUMBER($J277)),NOT(ISNUMBER($L277)),$L277=0),"",$J277/$L277*10000)</f>
        <v/>
      </c>
      <c r="N277" s="9">
        <f>IF(NOT(ISNUMBER($M277)),"",$M277*CARBON_FRACTION_ROOT/1000)</f>
        <v/>
      </c>
      <c r="O277" s="11">
        <f>IF(AND($A277="",$B277="",$G277=""),"",IF(AND($B277&lt;&gt;"",COUNTIFS('2. Soil Data'!$B$5:$B$604,$B277)=0),"Core ID not found in Soil Data, so the corer diameter cannot be looked up. ","")&amp;IF(ASH_CORRECTED&lt;&gt;"Yes","Root mass is NOT ash-corrected, so it includes adhering mineral soil and is too high. Set ASH_CORRECTED once you have done it. ","")&amp;IF(AND(ASH_CORRECTED="Yes",NOT(ISNUMBER($H277))),"Ash correction is switched on but no ash fraction is given for this row. ","")&amp;IF($I277="","Sieve mesh not recorded — a fine-root figure cannot be interpreted without it. ","")&amp;IF(AND(ISNUMBER($H277),$H277&gt;0.5),"Ash fraction above 0.5 — over half this sample was mineral soil. Re-wash. ","")&amp;IF($F277="Not separated","Live and dead not separated. Fine for a stock, but "&amp;"note it in reporting. ",""))</f>
        <v/>
      </c>
      <c r="P277" s="6" t="n"/>
      <c r="Q277" s="9">
        <f>IF($B277="",0,IF(COUNTIFS($B$5:$B277,$B277)=1,1,0))</f>
        <v/>
      </c>
    </row>
    <row r="278">
      <c r="A278" s="6" t="n"/>
      <c r="B278" s="6" t="n"/>
      <c r="C278" s="6" t="n"/>
      <c r="D278" s="6" t="n"/>
      <c r="E278" s="6" t="n"/>
      <c r="F278" s="6" t="n"/>
      <c r="G278" s="7" t="n"/>
      <c r="H278" s="7" t="n"/>
      <c r="I278" s="6" t="n"/>
      <c r="J278" s="9">
        <f>IF(NOT(ISNUMBER($G278)),"",IF(AND(ASH_CORRECTED="Yes",ISNUMBER($H278)),$G278*(1-$H278),$G278))</f>
        <v/>
      </c>
      <c r="K278" s="9">
        <f>IF($B278="","",IFERROR(AVERAGEIFS('2. Soil Data'!$G$5:$G$604,'2. Soil Data'!$B$5:$B$604,$B278),""))</f>
        <v/>
      </c>
      <c r="L278" s="9">
        <f>IF(NOT(ISNUMBER($K278)),"",PI()*($K278/2)^2)</f>
        <v/>
      </c>
      <c r="M278" s="9">
        <f>IF(OR(NOT(ISNUMBER($J278)),NOT(ISNUMBER($L278)),$L278=0),"",$J278/$L278*10000)</f>
        <v/>
      </c>
      <c r="N278" s="9">
        <f>IF(NOT(ISNUMBER($M278)),"",$M278*CARBON_FRACTION_ROOT/1000)</f>
        <v/>
      </c>
      <c r="O278" s="11">
        <f>IF(AND($A278="",$B278="",$G278=""),"",IF(AND($B278&lt;&gt;"",COUNTIFS('2. Soil Data'!$B$5:$B$604,$B278)=0),"Core ID not found in Soil Data, so the corer diameter cannot be looked up. ","")&amp;IF(ASH_CORRECTED&lt;&gt;"Yes","Root mass is NOT ash-corrected, so it includes adhering mineral soil and is too high. Set ASH_CORRECTED once you have done it. ","")&amp;IF(AND(ASH_CORRECTED="Yes",NOT(ISNUMBER($H278))),"Ash correction is switched on but no ash fraction is given for this row. ","")&amp;IF($I278="","Sieve mesh not recorded — a fine-root figure cannot be interpreted without it. ","")&amp;IF(AND(ISNUMBER($H278),$H278&gt;0.5),"Ash fraction above 0.5 — over half this sample was mineral soil. Re-wash. ","")&amp;IF($F278="Not separated","Live and dead not separated. Fine for a stock, but "&amp;"note it in reporting. ",""))</f>
        <v/>
      </c>
      <c r="P278" s="6" t="n"/>
      <c r="Q278" s="9">
        <f>IF($B278="",0,IF(COUNTIFS($B$5:$B278,$B278)=1,1,0))</f>
        <v/>
      </c>
    </row>
    <row r="279">
      <c r="A279" s="6" t="n"/>
      <c r="B279" s="6" t="n"/>
      <c r="C279" s="6" t="n"/>
      <c r="D279" s="6" t="n"/>
      <c r="E279" s="6" t="n"/>
      <c r="F279" s="6" t="n"/>
      <c r="G279" s="7" t="n"/>
      <c r="H279" s="7" t="n"/>
      <c r="I279" s="6" t="n"/>
      <c r="J279" s="9">
        <f>IF(NOT(ISNUMBER($G279)),"",IF(AND(ASH_CORRECTED="Yes",ISNUMBER($H279)),$G279*(1-$H279),$G279))</f>
        <v/>
      </c>
      <c r="K279" s="9">
        <f>IF($B279="","",IFERROR(AVERAGEIFS('2. Soil Data'!$G$5:$G$604,'2. Soil Data'!$B$5:$B$604,$B279),""))</f>
        <v/>
      </c>
      <c r="L279" s="9">
        <f>IF(NOT(ISNUMBER($K279)),"",PI()*($K279/2)^2)</f>
        <v/>
      </c>
      <c r="M279" s="9">
        <f>IF(OR(NOT(ISNUMBER($J279)),NOT(ISNUMBER($L279)),$L279=0),"",$J279/$L279*10000)</f>
        <v/>
      </c>
      <c r="N279" s="9">
        <f>IF(NOT(ISNUMBER($M279)),"",$M279*CARBON_FRACTION_ROOT/1000)</f>
        <v/>
      </c>
      <c r="O279" s="11">
        <f>IF(AND($A279="",$B279="",$G279=""),"",IF(AND($B279&lt;&gt;"",COUNTIFS('2. Soil Data'!$B$5:$B$604,$B279)=0),"Core ID not found in Soil Data, so the corer diameter cannot be looked up. ","")&amp;IF(ASH_CORRECTED&lt;&gt;"Yes","Root mass is NOT ash-corrected, so it includes adhering mineral soil and is too high. Set ASH_CORRECTED once you have done it. ","")&amp;IF(AND(ASH_CORRECTED="Yes",NOT(ISNUMBER($H279))),"Ash correction is switched on but no ash fraction is given for this row. ","")&amp;IF($I279="","Sieve mesh not recorded — a fine-root figure cannot be interpreted without it. ","")&amp;IF(AND(ISNUMBER($H279),$H279&gt;0.5),"Ash fraction above 0.5 — over half this sample was mineral soil. Re-wash. ","")&amp;IF($F279="Not separated","Live and dead not separated. Fine for a stock, but "&amp;"note it in reporting. ",""))</f>
        <v/>
      </c>
      <c r="P279" s="6" t="n"/>
      <c r="Q279" s="9">
        <f>IF($B279="",0,IF(COUNTIFS($B$5:$B279,$B279)=1,1,0))</f>
        <v/>
      </c>
    </row>
    <row r="280">
      <c r="A280" s="6" t="n"/>
      <c r="B280" s="6" t="n"/>
      <c r="C280" s="6" t="n"/>
      <c r="D280" s="6" t="n"/>
      <c r="E280" s="6" t="n"/>
      <c r="F280" s="6" t="n"/>
      <c r="G280" s="7" t="n"/>
      <c r="H280" s="7" t="n"/>
      <c r="I280" s="6" t="n"/>
      <c r="J280" s="9">
        <f>IF(NOT(ISNUMBER($G280)),"",IF(AND(ASH_CORRECTED="Yes",ISNUMBER($H280)),$G280*(1-$H280),$G280))</f>
        <v/>
      </c>
      <c r="K280" s="9">
        <f>IF($B280="","",IFERROR(AVERAGEIFS('2. Soil Data'!$G$5:$G$604,'2. Soil Data'!$B$5:$B$604,$B280),""))</f>
        <v/>
      </c>
      <c r="L280" s="9">
        <f>IF(NOT(ISNUMBER($K280)),"",PI()*($K280/2)^2)</f>
        <v/>
      </c>
      <c r="M280" s="9">
        <f>IF(OR(NOT(ISNUMBER($J280)),NOT(ISNUMBER($L280)),$L280=0),"",$J280/$L280*10000)</f>
        <v/>
      </c>
      <c r="N280" s="9">
        <f>IF(NOT(ISNUMBER($M280)),"",$M280*CARBON_FRACTION_ROOT/1000)</f>
        <v/>
      </c>
      <c r="O280" s="11">
        <f>IF(AND($A280="",$B280="",$G280=""),"",IF(AND($B280&lt;&gt;"",COUNTIFS('2. Soil Data'!$B$5:$B$604,$B280)=0),"Core ID not found in Soil Data, so the corer diameter cannot be looked up. ","")&amp;IF(ASH_CORRECTED&lt;&gt;"Yes","Root mass is NOT ash-corrected, so it includes adhering mineral soil and is too high. Set ASH_CORRECTED once you have done it. ","")&amp;IF(AND(ASH_CORRECTED="Yes",NOT(ISNUMBER($H280))),"Ash correction is switched on but no ash fraction is given for this row. ","")&amp;IF($I280="","Sieve mesh not recorded — a fine-root figure cannot be interpreted without it. ","")&amp;IF(AND(ISNUMBER($H280),$H280&gt;0.5),"Ash fraction above 0.5 — over half this sample was mineral soil. Re-wash. ","")&amp;IF($F280="Not separated","Live and dead not separated. Fine for a stock, but "&amp;"note it in reporting. ",""))</f>
        <v/>
      </c>
      <c r="P280" s="6" t="n"/>
      <c r="Q280" s="9">
        <f>IF($B280="",0,IF(COUNTIFS($B$5:$B280,$B280)=1,1,0))</f>
        <v/>
      </c>
    </row>
    <row r="281">
      <c r="A281" s="6" t="n"/>
      <c r="B281" s="6" t="n"/>
      <c r="C281" s="6" t="n"/>
      <c r="D281" s="6" t="n"/>
      <c r="E281" s="6" t="n"/>
      <c r="F281" s="6" t="n"/>
      <c r="G281" s="7" t="n"/>
      <c r="H281" s="7" t="n"/>
      <c r="I281" s="6" t="n"/>
      <c r="J281" s="9">
        <f>IF(NOT(ISNUMBER($G281)),"",IF(AND(ASH_CORRECTED="Yes",ISNUMBER($H281)),$G281*(1-$H281),$G281))</f>
        <v/>
      </c>
      <c r="K281" s="9">
        <f>IF($B281="","",IFERROR(AVERAGEIFS('2. Soil Data'!$G$5:$G$604,'2. Soil Data'!$B$5:$B$604,$B281),""))</f>
        <v/>
      </c>
      <c r="L281" s="9">
        <f>IF(NOT(ISNUMBER($K281)),"",PI()*($K281/2)^2)</f>
        <v/>
      </c>
      <c r="M281" s="9">
        <f>IF(OR(NOT(ISNUMBER($J281)),NOT(ISNUMBER($L281)),$L281=0),"",$J281/$L281*10000)</f>
        <v/>
      </c>
      <c r="N281" s="9">
        <f>IF(NOT(ISNUMBER($M281)),"",$M281*CARBON_FRACTION_ROOT/1000)</f>
        <v/>
      </c>
      <c r="O281" s="11">
        <f>IF(AND($A281="",$B281="",$G281=""),"",IF(AND($B281&lt;&gt;"",COUNTIFS('2. Soil Data'!$B$5:$B$604,$B281)=0),"Core ID not found in Soil Data, so the corer diameter cannot be looked up. ","")&amp;IF(ASH_CORRECTED&lt;&gt;"Yes","Root mass is NOT ash-corrected, so it includes adhering mineral soil and is too high. Set ASH_CORRECTED once you have done it. ","")&amp;IF(AND(ASH_CORRECTED="Yes",NOT(ISNUMBER($H281))),"Ash correction is switched on but no ash fraction is given for this row. ","")&amp;IF($I281="","Sieve mesh not recorded — a fine-root figure cannot be interpreted without it. ","")&amp;IF(AND(ISNUMBER($H281),$H281&gt;0.5),"Ash fraction above 0.5 — over half this sample was mineral soil. Re-wash. ","")&amp;IF($F281="Not separated","Live and dead not separated. Fine for a stock, but "&amp;"note it in reporting. ",""))</f>
        <v/>
      </c>
      <c r="P281" s="6" t="n"/>
      <c r="Q281" s="9">
        <f>IF($B281="",0,IF(COUNTIFS($B$5:$B281,$B281)=1,1,0))</f>
        <v/>
      </c>
    </row>
    <row r="282">
      <c r="A282" s="6" t="n"/>
      <c r="B282" s="6" t="n"/>
      <c r="C282" s="6" t="n"/>
      <c r="D282" s="6" t="n"/>
      <c r="E282" s="6" t="n"/>
      <c r="F282" s="6" t="n"/>
      <c r="G282" s="7" t="n"/>
      <c r="H282" s="7" t="n"/>
      <c r="I282" s="6" t="n"/>
      <c r="J282" s="9">
        <f>IF(NOT(ISNUMBER($G282)),"",IF(AND(ASH_CORRECTED="Yes",ISNUMBER($H282)),$G282*(1-$H282),$G282))</f>
        <v/>
      </c>
      <c r="K282" s="9">
        <f>IF($B282="","",IFERROR(AVERAGEIFS('2. Soil Data'!$G$5:$G$604,'2. Soil Data'!$B$5:$B$604,$B282),""))</f>
        <v/>
      </c>
      <c r="L282" s="9">
        <f>IF(NOT(ISNUMBER($K282)),"",PI()*($K282/2)^2)</f>
        <v/>
      </c>
      <c r="M282" s="9">
        <f>IF(OR(NOT(ISNUMBER($J282)),NOT(ISNUMBER($L282)),$L282=0),"",$J282/$L282*10000)</f>
        <v/>
      </c>
      <c r="N282" s="9">
        <f>IF(NOT(ISNUMBER($M282)),"",$M282*CARBON_FRACTION_ROOT/1000)</f>
        <v/>
      </c>
      <c r="O282" s="11">
        <f>IF(AND($A282="",$B282="",$G282=""),"",IF(AND($B282&lt;&gt;"",COUNTIFS('2. Soil Data'!$B$5:$B$604,$B282)=0),"Core ID not found in Soil Data, so the corer diameter cannot be looked up. ","")&amp;IF(ASH_CORRECTED&lt;&gt;"Yes","Root mass is NOT ash-corrected, so it includes adhering mineral soil and is too high. Set ASH_CORRECTED once you have done it. ","")&amp;IF(AND(ASH_CORRECTED="Yes",NOT(ISNUMBER($H282))),"Ash correction is switched on but no ash fraction is given for this row. ","")&amp;IF($I282="","Sieve mesh not recorded — a fine-root figure cannot be interpreted without it. ","")&amp;IF(AND(ISNUMBER($H282),$H282&gt;0.5),"Ash fraction above 0.5 — over half this sample was mineral soil. Re-wash. ","")&amp;IF($F282="Not separated","Live and dead not separated. Fine for a stock, but "&amp;"note it in reporting. ",""))</f>
        <v/>
      </c>
      <c r="P282" s="6" t="n"/>
      <c r="Q282" s="9">
        <f>IF($B282="",0,IF(COUNTIFS($B$5:$B282,$B282)=1,1,0))</f>
        <v/>
      </c>
    </row>
    <row r="283">
      <c r="A283" s="6" t="n"/>
      <c r="B283" s="6" t="n"/>
      <c r="C283" s="6" t="n"/>
      <c r="D283" s="6" t="n"/>
      <c r="E283" s="6" t="n"/>
      <c r="F283" s="6" t="n"/>
      <c r="G283" s="7" t="n"/>
      <c r="H283" s="7" t="n"/>
      <c r="I283" s="6" t="n"/>
      <c r="J283" s="9">
        <f>IF(NOT(ISNUMBER($G283)),"",IF(AND(ASH_CORRECTED="Yes",ISNUMBER($H283)),$G283*(1-$H283),$G283))</f>
        <v/>
      </c>
      <c r="K283" s="9">
        <f>IF($B283="","",IFERROR(AVERAGEIFS('2. Soil Data'!$G$5:$G$604,'2. Soil Data'!$B$5:$B$604,$B283),""))</f>
        <v/>
      </c>
      <c r="L283" s="9">
        <f>IF(NOT(ISNUMBER($K283)),"",PI()*($K283/2)^2)</f>
        <v/>
      </c>
      <c r="M283" s="9">
        <f>IF(OR(NOT(ISNUMBER($J283)),NOT(ISNUMBER($L283)),$L283=0),"",$J283/$L283*10000)</f>
        <v/>
      </c>
      <c r="N283" s="9">
        <f>IF(NOT(ISNUMBER($M283)),"",$M283*CARBON_FRACTION_ROOT/1000)</f>
        <v/>
      </c>
      <c r="O283" s="11">
        <f>IF(AND($A283="",$B283="",$G283=""),"",IF(AND($B283&lt;&gt;"",COUNTIFS('2. Soil Data'!$B$5:$B$604,$B283)=0),"Core ID not found in Soil Data, so the corer diameter cannot be looked up. ","")&amp;IF(ASH_CORRECTED&lt;&gt;"Yes","Root mass is NOT ash-corrected, so it includes adhering mineral soil and is too high. Set ASH_CORRECTED once you have done it. ","")&amp;IF(AND(ASH_CORRECTED="Yes",NOT(ISNUMBER($H283))),"Ash correction is switched on but no ash fraction is given for this row. ","")&amp;IF($I283="","Sieve mesh not recorded — a fine-root figure cannot be interpreted without it. ","")&amp;IF(AND(ISNUMBER($H283),$H283&gt;0.5),"Ash fraction above 0.5 — over half this sample was mineral soil. Re-wash. ","")&amp;IF($F283="Not separated","Live and dead not separated. Fine for a stock, but "&amp;"note it in reporting. ",""))</f>
        <v/>
      </c>
      <c r="P283" s="6" t="n"/>
      <c r="Q283" s="9">
        <f>IF($B283="",0,IF(COUNTIFS($B$5:$B283,$B283)=1,1,0))</f>
        <v/>
      </c>
    </row>
    <row r="284">
      <c r="A284" s="6" t="n"/>
      <c r="B284" s="6" t="n"/>
      <c r="C284" s="6" t="n"/>
      <c r="D284" s="6" t="n"/>
      <c r="E284" s="6" t="n"/>
      <c r="F284" s="6" t="n"/>
      <c r="G284" s="7" t="n"/>
      <c r="H284" s="7" t="n"/>
      <c r="I284" s="6" t="n"/>
      <c r="J284" s="9">
        <f>IF(NOT(ISNUMBER($G284)),"",IF(AND(ASH_CORRECTED="Yes",ISNUMBER($H284)),$G284*(1-$H284),$G284))</f>
        <v/>
      </c>
      <c r="K284" s="9">
        <f>IF($B284="","",IFERROR(AVERAGEIFS('2. Soil Data'!$G$5:$G$604,'2. Soil Data'!$B$5:$B$604,$B284),""))</f>
        <v/>
      </c>
      <c r="L284" s="9">
        <f>IF(NOT(ISNUMBER($K284)),"",PI()*($K284/2)^2)</f>
        <v/>
      </c>
      <c r="M284" s="9">
        <f>IF(OR(NOT(ISNUMBER($J284)),NOT(ISNUMBER($L284)),$L284=0),"",$J284/$L284*10000)</f>
        <v/>
      </c>
      <c r="N284" s="9">
        <f>IF(NOT(ISNUMBER($M284)),"",$M284*CARBON_FRACTION_ROOT/1000)</f>
        <v/>
      </c>
      <c r="O284" s="11">
        <f>IF(AND($A284="",$B284="",$G284=""),"",IF(AND($B284&lt;&gt;"",COUNTIFS('2. Soil Data'!$B$5:$B$604,$B284)=0),"Core ID not found in Soil Data, so the corer diameter cannot be looked up. ","")&amp;IF(ASH_CORRECTED&lt;&gt;"Yes","Root mass is NOT ash-corrected, so it includes adhering mineral soil and is too high. Set ASH_CORRECTED once you have done it. ","")&amp;IF(AND(ASH_CORRECTED="Yes",NOT(ISNUMBER($H284))),"Ash correction is switched on but no ash fraction is given for this row. ","")&amp;IF($I284="","Sieve mesh not recorded — a fine-root figure cannot be interpreted without it. ","")&amp;IF(AND(ISNUMBER($H284),$H284&gt;0.5),"Ash fraction above 0.5 — over half this sample was mineral soil. Re-wash. ","")&amp;IF($F284="Not separated","Live and dead not separated. Fine for a stock, but "&amp;"note it in reporting. ",""))</f>
        <v/>
      </c>
      <c r="P284" s="6" t="n"/>
      <c r="Q284" s="9">
        <f>IF($B284="",0,IF(COUNTIFS($B$5:$B284,$B284)=1,1,0))</f>
        <v/>
      </c>
    </row>
    <row r="285">
      <c r="A285" s="6" t="n"/>
      <c r="B285" s="6" t="n"/>
      <c r="C285" s="6" t="n"/>
      <c r="D285" s="6" t="n"/>
      <c r="E285" s="6" t="n"/>
      <c r="F285" s="6" t="n"/>
      <c r="G285" s="7" t="n"/>
      <c r="H285" s="7" t="n"/>
      <c r="I285" s="6" t="n"/>
      <c r="J285" s="9">
        <f>IF(NOT(ISNUMBER($G285)),"",IF(AND(ASH_CORRECTED="Yes",ISNUMBER($H285)),$G285*(1-$H285),$G285))</f>
        <v/>
      </c>
      <c r="K285" s="9">
        <f>IF($B285="","",IFERROR(AVERAGEIFS('2. Soil Data'!$G$5:$G$604,'2. Soil Data'!$B$5:$B$604,$B285),""))</f>
        <v/>
      </c>
      <c r="L285" s="9">
        <f>IF(NOT(ISNUMBER($K285)),"",PI()*($K285/2)^2)</f>
        <v/>
      </c>
      <c r="M285" s="9">
        <f>IF(OR(NOT(ISNUMBER($J285)),NOT(ISNUMBER($L285)),$L285=0),"",$J285/$L285*10000)</f>
        <v/>
      </c>
      <c r="N285" s="9">
        <f>IF(NOT(ISNUMBER($M285)),"",$M285*CARBON_FRACTION_ROOT/1000)</f>
        <v/>
      </c>
      <c r="O285" s="11">
        <f>IF(AND($A285="",$B285="",$G285=""),"",IF(AND($B285&lt;&gt;"",COUNTIFS('2. Soil Data'!$B$5:$B$604,$B285)=0),"Core ID not found in Soil Data, so the corer diameter cannot be looked up. ","")&amp;IF(ASH_CORRECTED&lt;&gt;"Yes","Root mass is NOT ash-corrected, so it includes adhering mineral soil and is too high. Set ASH_CORRECTED once you have done it. ","")&amp;IF(AND(ASH_CORRECTED="Yes",NOT(ISNUMBER($H285))),"Ash correction is switched on but no ash fraction is given for this row. ","")&amp;IF($I285="","Sieve mesh not recorded — a fine-root figure cannot be interpreted without it. ","")&amp;IF(AND(ISNUMBER($H285),$H285&gt;0.5),"Ash fraction above 0.5 — over half this sample was mineral soil. Re-wash. ","")&amp;IF($F285="Not separated","Live and dead not separated. Fine for a stock, but "&amp;"note it in reporting. ",""))</f>
        <v/>
      </c>
      <c r="P285" s="6" t="n"/>
      <c r="Q285" s="9">
        <f>IF($B285="",0,IF(COUNTIFS($B$5:$B285,$B285)=1,1,0))</f>
        <v/>
      </c>
    </row>
    <row r="286">
      <c r="A286" s="6" t="n"/>
      <c r="B286" s="6" t="n"/>
      <c r="C286" s="6" t="n"/>
      <c r="D286" s="6" t="n"/>
      <c r="E286" s="6" t="n"/>
      <c r="F286" s="6" t="n"/>
      <c r="G286" s="7" t="n"/>
      <c r="H286" s="7" t="n"/>
      <c r="I286" s="6" t="n"/>
      <c r="J286" s="9">
        <f>IF(NOT(ISNUMBER($G286)),"",IF(AND(ASH_CORRECTED="Yes",ISNUMBER($H286)),$G286*(1-$H286),$G286))</f>
        <v/>
      </c>
      <c r="K286" s="9">
        <f>IF($B286="","",IFERROR(AVERAGEIFS('2. Soil Data'!$G$5:$G$604,'2. Soil Data'!$B$5:$B$604,$B286),""))</f>
        <v/>
      </c>
      <c r="L286" s="9">
        <f>IF(NOT(ISNUMBER($K286)),"",PI()*($K286/2)^2)</f>
        <v/>
      </c>
      <c r="M286" s="9">
        <f>IF(OR(NOT(ISNUMBER($J286)),NOT(ISNUMBER($L286)),$L286=0),"",$J286/$L286*10000)</f>
        <v/>
      </c>
      <c r="N286" s="9">
        <f>IF(NOT(ISNUMBER($M286)),"",$M286*CARBON_FRACTION_ROOT/1000)</f>
        <v/>
      </c>
      <c r="O286" s="11">
        <f>IF(AND($A286="",$B286="",$G286=""),"",IF(AND($B286&lt;&gt;"",COUNTIFS('2. Soil Data'!$B$5:$B$604,$B286)=0),"Core ID not found in Soil Data, so the corer diameter cannot be looked up. ","")&amp;IF(ASH_CORRECTED&lt;&gt;"Yes","Root mass is NOT ash-corrected, so it includes adhering mineral soil and is too high. Set ASH_CORRECTED once you have done it. ","")&amp;IF(AND(ASH_CORRECTED="Yes",NOT(ISNUMBER($H286))),"Ash correction is switched on but no ash fraction is given for this row. ","")&amp;IF($I286="","Sieve mesh not recorded — a fine-root figure cannot be interpreted without it. ","")&amp;IF(AND(ISNUMBER($H286),$H286&gt;0.5),"Ash fraction above 0.5 — over half this sample was mineral soil. Re-wash. ","")&amp;IF($F286="Not separated","Live and dead not separated. Fine for a stock, but "&amp;"note it in reporting. ",""))</f>
        <v/>
      </c>
      <c r="P286" s="6" t="n"/>
      <c r="Q286" s="9">
        <f>IF($B286="",0,IF(COUNTIFS($B$5:$B286,$B286)=1,1,0))</f>
        <v/>
      </c>
    </row>
    <row r="287">
      <c r="A287" s="6" t="n"/>
      <c r="B287" s="6" t="n"/>
      <c r="C287" s="6" t="n"/>
      <c r="D287" s="6" t="n"/>
      <c r="E287" s="6" t="n"/>
      <c r="F287" s="6" t="n"/>
      <c r="G287" s="7" t="n"/>
      <c r="H287" s="7" t="n"/>
      <c r="I287" s="6" t="n"/>
      <c r="J287" s="9">
        <f>IF(NOT(ISNUMBER($G287)),"",IF(AND(ASH_CORRECTED="Yes",ISNUMBER($H287)),$G287*(1-$H287),$G287))</f>
        <v/>
      </c>
      <c r="K287" s="9">
        <f>IF($B287="","",IFERROR(AVERAGEIFS('2. Soil Data'!$G$5:$G$604,'2. Soil Data'!$B$5:$B$604,$B287),""))</f>
        <v/>
      </c>
      <c r="L287" s="9">
        <f>IF(NOT(ISNUMBER($K287)),"",PI()*($K287/2)^2)</f>
        <v/>
      </c>
      <c r="M287" s="9">
        <f>IF(OR(NOT(ISNUMBER($J287)),NOT(ISNUMBER($L287)),$L287=0),"",$J287/$L287*10000)</f>
        <v/>
      </c>
      <c r="N287" s="9">
        <f>IF(NOT(ISNUMBER($M287)),"",$M287*CARBON_FRACTION_ROOT/1000)</f>
        <v/>
      </c>
      <c r="O287" s="11">
        <f>IF(AND($A287="",$B287="",$G287=""),"",IF(AND($B287&lt;&gt;"",COUNTIFS('2. Soil Data'!$B$5:$B$604,$B287)=0),"Core ID not found in Soil Data, so the corer diameter cannot be looked up. ","")&amp;IF(ASH_CORRECTED&lt;&gt;"Yes","Root mass is NOT ash-corrected, so it includes adhering mineral soil and is too high. Set ASH_CORRECTED once you have done it. ","")&amp;IF(AND(ASH_CORRECTED="Yes",NOT(ISNUMBER($H287))),"Ash correction is switched on but no ash fraction is given for this row. ","")&amp;IF($I287="","Sieve mesh not recorded — a fine-root figure cannot be interpreted without it. ","")&amp;IF(AND(ISNUMBER($H287),$H287&gt;0.5),"Ash fraction above 0.5 — over half this sample was mineral soil. Re-wash. ","")&amp;IF($F287="Not separated","Live and dead not separated. Fine for a stock, but "&amp;"note it in reporting. ",""))</f>
        <v/>
      </c>
      <c r="P287" s="6" t="n"/>
      <c r="Q287" s="9">
        <f>IF($B287="",0,IF(COUNTIFS($B$5:$B287,$B287)=1,1,0))</f>
        <v/>
      </c>
    </row>
    <row r="288">
      <c r="A288" s="6" t="n"/>
      <c r="B288" s="6" t="n"/>
      <c r="C288" s="6" t="n"/>
      <c r="D288" s="6" t="n"/>
      <c r="E288" s="6" t="n"/>
      <c r="F288" s="6" t="n"/>
      <c r="G288" s="7" t="n"/>
      <c r="H288" s="7" t="n"/>
      <c r="I288" s="6" t="n"/>
      <c r="J288" s="9">
        <f>IF(NOT(ISNUMBER($G288)),"",IF(AND(ASH_CORRECTED="Yes",ISNUMBER($H288)),$G288*(1-$H288),$G288))</f>
        <v/>
      </c>
      <c r="K288" s="9">
        <f>IF($B288="","",IFERROR(AVERAGEIFS('2. Soil Data'!$G$5:$G$604,'2. Soil Data'!$B$5:$B$604,$B288),""))</f>
        <v/>
      </c>
      <c r="L288" s="9">
        <f>IF(NOT(ISNUMBER($K288)),"",PI()*($K288/2)^2)</f>
        <v/>
      </c>
      <c r="M288" s="9">
        <f>IF(OR(NOT(ISNUMBER($J288)),NOT(ISNUMBER($L288)),$L288=0),"",$J288/$L288*10000)</f>
        <v/>
      </c>
      <c r="N288" s="9">
        <f>IF(NOT(ISNUMBER($M288)),"",$M288*CARBON_FRACTION_ROOT/1000)</f>
        <v/>
      </c>
      <c r="O288" s="11">
        <f>IF(AND($A288="",$B288="",$G288=""),"",IF(AND($B288&lt;&gt;"",COUNTIFS('2. Soil Data'!$B$5:$B$604,$B288)=0),"Core ID not found in Soil Data, so the corer diameter cannot be looked up. ","")&amp;IF(ASH_CORRECTED&lt;&gt;"Yes","Root mass is NOT ash-corrected, so it includes adhering mineral soil and is too high. Set ASH_CORRECTED once you have done it. ","")&amp;IF(AND(ASH_CORRECTED="Yes",NOT(ISNUMBER($H288))),"Ash correction is switched on but no ash fraction is given for this row. ","")&amp;IF($I288="","Sieve mesh not recorded — a fine-root figure cannot be interpreted without it. ","")&amp;IF(AND(ISNUMBER($H288),$H288&gt;0.5),"Ash fraction above 0.5 — over half this sample was mineral soil. Re-wash. ","")&amp;IF($F288="Not separated","Live and dead not separated. Fine for a stock, but "&amp;"note it in reporting. ",""))</f>
        <v/>
      </c>
      <c r="P288" s="6" t="n"/>
      <c r="Q288" s="9">
        <f>IF($B288="",0,IF(COUNTIFS($B$5:$B288,$B288)=1,1,0))</f>
        <v/>
      </c>
    </row>
    <row r="289">
      <c r="A289" s="6" t="n"/>
      <c r="B289" s="6" t="n"/>
      <c r="C289" s="6" t="n"/>
      <c r="D289" s="6" t="n"/>
      <c r="E289" s="6" t="n"/>
      <c r="F289" s="6" t="n"/>
      <c r="G289" s="7" t="n"/>
      <c r="H289" s="7" t="n"/>
      <c r="I289" s="6" t="n"/>
      <c r="J289" s="9">
        <f>IF(NOT(ISNUMBER($G289)),"",IF(AND(ASH_CORRECTED="Yes",ISNUMBER($H289)),$G289*(1-$H289),$G289))</f>
        <v/>
      </c>
      <c r="K289" s="9">
        <f>IF($B289="","",IFERROR(AVERAGEIFS('2. Soil Data'!$G$5:$G$604,'2. Soil Data'!$B$5:$B$604,$B289),""))</f>
        <v/>
      </c>
      <c r="L289" s="9">
        <f>IF(NOT(ISNUMBER($K289)),"",PI()*($K289/2)^2)</f>
        <v/>
      </c>
      <c r="M289" s="9">
        <f>IF(OR(NOT(ISNUMBER($J289)),NOT(ISNUMBER($L289)),$L289=0),"",$J289/$L289*10000)</f>
        <v/>
      </c>
      <c r="N289" s="9">
        <f>IF(NOT(ISNUMBER($M289)),"",$M289*CARBON_FRACTION_ROOT/1000)</f>
        <v/>
      </c>
      <c r="O289" s="11">
        <f>IF(AND($A289="",$B289="",$G289=""),"",IF(AND($B289&lt;&gt;"",COUNTIFS('2. Soil Data'!$B$5:$B$604,$B289)=0),"Core ID not found in Soil Data, so the corer diameter cannot be looked up. ","")&amp;IF(ASH_CORRECTED&lt;&gt;"Yes","Root mass is NOT ash-corrected, so it includes adhering mineral soil and is too high. Set ASH_CORRECTED once you have done it. ","")&amp;IF(AND(ASH_CORRECTED="Yes",NOT(ISNUMBER($H289))),"Ash correction is switched on but no ash fraction is given for this row. ","")&amp;IF($I289="","Sieve mesh not recorded — a fine-root figure cannot be interpreted without it. ","")&amp;IF(AND(ISNUMBER($H289),$H289&gt;0.5),"Ash fraction above 0.5 — over half this sample was mineral soil. Re-wash. ","")&amp;IF($F289="Not separated","Live and dead not separated. Fine for a stock, but "&amp;"note it in reporting. ",""))</f>
        <v/>
      </c>
      <c r="P289" s="6" t="n"/>
      <c r="Q289" s="9">
        <f>IF($B289="",0,IF(COUNTIFS($B$5:$B289,$B289)=1,1,0))</f>
        <v/>
      </c>
    </row>
    <row r="290">
      <c r="A290" s="6" t="n"/>
      <c r="B290" s="6" t="n"/>
      <c r="C290" s="6" t="n"/>
      <c r="D290" s="6" t="n"/>
      <c r="E290" s="6" t="n"/>
      <c r="F290" s="6" t="n"/>
      <c r="G290" s="7" t="n"/>
      <c r="H290" s="7" t="n"/>
      <c r="I290" s="6" t="n"/>
      <c r="J290" s="9">
        <f>IF(NOT(ISNUMBER($G290)),"",IF(AND(ASH_CORRECTED="Yes",ISNUMBER($H290)),$G290*(1-$H290),$G290))</f>
        <v/>
      </c>
      <c r="K290" s="9">
        <f>IF($B290="","",IFERROR(AVERAGEIFS('2. Soil Data'!$G$5:$G$604,'2. Soil Data'!$B$5:$B$604,$B290),""))</f>
        <v/>
      </c>
      <c r="L290" s="9">
        <f>IF(NOT(ISNUMBER($K290)),"",PI()*($K290/2)^2)</f>
        <v/>
      </c>
      <c r="M290" s="9">
        <f>IF(OR(NOT(ISNUMBER($J290)),NOT(ISNUMBER($L290)),$L290=0),"",$J290/$L290*10000)</f>
        <v/>
      </c>
      <c r="N290" s="9">
        <f>IF(NOT(ISNUMBER($M290)),"",$M290*CARBON_FRACTION_ROOT/1000)</f>
        <v/>
      </c>
      <c r="O290" s="11">
        <f>IF(AND($A290="",$B290="",$G290=""),"",IF(AND($B290&lt;&gt;"",COUNTIFS('2. Soil Data'!$B$5:$B$604,$B290)=0),"Core ID not found in Soil Data, so the corer diameter cannot be looked up. ","")&amp;IF(ASH_CORRECTED&lt;&gt;"Yes","Root mass is NOT ash-corrected, so it includes adhering mineral soil and is too high. Set ASH_CORRECTED once you have done it. ","")&amp;IF(AND(ASH_CORRECTED="Yes",NOT(ISNUMBER($H290))),"Ash correction is switched on but no ash fraction is given for this row. ","")&amp;IF($I290="","Sieve mesh not recorded — a fine-root figure cannot be interpreted without it. ","")&amp;IF(AND(ISNUMBER($H290),$H290&gt;0.5),"Ash fraction above 0.5 — over half this sample was mineral soil. Re-wash. ","")&amp;IF($F290="Not separated","Live and dead not separated. Fine for a stock, but "&amp;"note it in reporting. ",""))</f>
        <v/>
      </c>
      <c r="P290" s="6" t="n"/>
      <c r="Q290" s="9">
        <f>IF($B290="",0,IF(COUNTIFS($B$5:$B290,$B290)=1,1,0))</f>
        <v/>
      </c>
    </row>
    <row r="291">
      <c r="A291" s="6" t="n"/>
      <c r="B291" s="6" t="n"/>
      <c r="C291" s="6" t="n"/>
      <c r="D291" s="6" t="n"/>
      <c r="E291" s="6" t="n"/>
      <c r="F291" s="6" t="n"/>
      <c r="G291" s="7" t="n"/>
      <c r="H291" s="7" t="n"/>
      <c r="I291" s="6" t="n"/>
      <c r="J291" s="9">
        <f>IF(NOT(ISNUMBER($G291)),"",IF(AND(ASH_CORRECTED="Yes",ISNUMBER($H291)),$G291*(1-$H291),$G291))</f>
        <v/>
      </c>
      <c r="K291" s="9">
        <f>IF($B291="","",IFERROR(AVERAGEIFS('2. Soil Data'!$G$5:$G$604,'2. Soil Data'!$B$5:$B$604,$B291),""))</f>
        <v/>
      </c>
      <c r="L291" s="9">
        <f>IF(NOT(ISNUMBER($K291)),"",PI()*($K291/2)^2)</f>
        <v/>
      </c>
      <c r="M291" s="9">
        <f>IF(OR(NOT(ISNUMBER($J291)),NOT(ISNUMBER($L291)),$L291=0),"",$J291/$L291*10000)</f>
        <v/>
      </c>
      <c r="N291" s="9">
        <f>IF(NOT(ISNUMBER($M291)),"",$M291*CARBON_FRACTION_ROOT/1000)</f>
        <v/>
      </c>
      <c r="O291" s="11">
        <f>IF(AND($A291="",$B291="",$G291=""),"",IF(AND($B291&lt;&gt;"",COUNTIFS('2. Soil Data'!$B$5:$B$604,$B291)=0),"Core ID not found in Soil Data, so the corer diameter cannot be looked up. ","")&amp;IF(ASH_CORRECTED&lt;&gt;"Yes","Root mass is NOT ash-corrected, so it includes adhering mineral soil and is too high. Set ASH_CORRECTED once you have done it. ","")&amp;IF(AND(ASH_CORRECTED="Yes",NOT(ISNUMBER($H291))),"Ash correction is switched on but no ash fraction is given for this row. ","")&amp;IF($I291="","Sieve mesh not recorded — a fine-root figure cannot be interpreted without it. ","")&amp;IF(AND(ISNUMBER($H291),$H291&gt;0.5),"Ash fraction above 0.5 — over half this sample was mineral soil. Re-wash. ","")&amp;IF($F291="Not separated","Live and dead not separated. Fine for a stock, but "&amp;"note it in reporting. ",""))</f>
        <v/>
      </c>
      <c r="P291" s="6" t="n"/>
      <c r="Q291" s="9">
        <f>IF($B291="",0,IF(COUNTIFS($B$5:$B291,$B291)=1,1,0))</f>
        <v/>
      </c>
    </row>
    <row r="292">
      <c r="A292" s="6" t="n"/>
      <c r="B292" s="6" t="n"/>
      <c r="C292" s="6" t="n"/>
      <c r="D292" s="6" t="n"/>
      <c r="E292" s="6" t="n"/>
      <c r="F292" s="6" t="n"/>
      <c r="G292" s="7" t="n"/>
      <c r="H292" s="7" t="n"/>
      <c r="I292" s="6" t="n"/>
      <c r="J292" s="9">
        <f>IF(NOT(ISNUMBER($G292)),"",IF(AND(ASH_CORRECTED="Yes",ISNUMBER($H292)),$G292*(1-$H292),$G292))</f>
        <v/>
      </c>
      <c r="K292" s="9">
        <f>IF($B292="","",IFERROR(AVERAGEIFS('2. Soil Data'!$G$5:$G$604,'2. Soil Data'!$B$5:$B$604,$B292),""))</f>
        <v/>
      </c>
      <c r="L292" s="9">
        <f>IF(NOT(ISNUMBER($K292)),"",PI()*($K292/2)^2)</f>
        <v/>
      </c>
      <c r="M292" s="9">
        <f>IF(OR(NOT(ISNUMBER($J292)),NOT(ISNUMBER($L292)),$L292=0),"",$J292/$L292*10000)</f>
        <v/>
      </c>
      <c r="N292" s="9">
        <f>IF(NOT(ISNUMBER($M292)),"",$M292*CARBON_FRACTION_ROOT/1000)</f>
        <v/>
      </c>
      <c r="O292" s="11">
        <f>IF(AND($A292="",$B292="",$G292=""),"",IF(AND($B292&lt;&gt;"",COUNTIFS('2. Soil Data'!$B$5:$B$604,$B292)=0),"Core ID not found in Soil Data, so the corer diameter cannot be looked up. ","")&amp;IF(ASH_CORRECTED&lt;&gt;"Yes","Root mass is NOT ash-corrected, so it includes adhering mineral soil and is too high. Set ASH_CORRECTED once you have done it. ","")&amp;IF(AND(ASH_CORRECTED="Yes",NOT(ISNUMBER($H292))),"Ash correction is switched on but no ash fraction is given for this row. ","")&amp;IF($I292="","Sieve mesh not recorded — a fine-root figure cannot be interpreted without it. ","")&amp;IF(AND(ISNUMBER($H292),$H292&gt;0.5),"Ash fraction above 0.5 — over half this sample was mineral soil. Re-wash. ","")&amp;IF($F292="Not separated","Live and dead not separated. Fine for a stock, but "&amp;"note it in reporting. ",""))</f>
        <v/>
      </c>
      <c r="P292" s="6" t="n"/>
      <c r="Q292" s="9">
        <f>IF($B292="",0,IF(COUNTIFS($B$5:$B292,$B292)=1,1,0))</f>
        <v/>
      </c>
    </row>
    <row r="293">
      <c r="A293" s="6" t="n"/>
      <c r="B293" s="6" t="n"/>
      <c r="C293" s="6" t="n"/>
      <c r="D293" s="6" t="n"/>
      <c r="E293" s="6" t="n"/>
      <c r="F293" s="6" t="n"/>
      <c r="G293" s="7" t="n"/>
      <c r="H293" s="7" t="n"/>
      <c r="I293" s="6" t="n"/>
      <c r="J293" s="9">
        <f>IF(NOT(ISNUMBER($G293)),"",IF(AND(ASH_CORRECTED="Yes",ISNUMBER($H293)),$G293*(1-$H293),$G293))</f>
        <v/>
      </c>
      <c r="K293" s="9">
        <f>IF($B293="","",IFERROR(AVERAGEIFS('2. Soil Data'!$G$5:$G$604,'2. Soil Data'!$B$5:$B$604,$B293),""))</f>
        <v/>
      </c>
      <c r="L293" s="9">
        <f>IF(NOT(ISNUMBER($K293)),"",PI()*($K293/2)^2)</f>
        <v/>
      </c>
      <c r="M293" s="9">
        <f>IF(OR(NOT(ISNUMBER($J293)),NOT(ISNUMBER($L293)),$L293=0),"",$J293/$L293*10000)</f>
        <v/>
      </c>
      <c r="N293" s="9">
        <f>IF(NOT(ISNUMBER($M293)),"",$M293*CARBON_FRACTION_ROOT/1000)</f>
        <v/>
      </c>
      <c r="O293" s="11">
        <f>IF(AND($A293="",$B293="",$G293=""),"",IF(AND($B293&lt;&gt;"",COUNTIFS('2. Soil Data'!$B$5:$B$604,$B293)=0),"Core ID not found in Soil Data, so the corer diameter cannot be looked up. ","")&amp;IF(ASH_CORRECTED&lt;&gt;"Yes","Root mass is NOT ash-corrected, so it includes adhering mineral soil and is too high. Set ASH_CORRECTED once you have done it. ","")&amp;IF(AND(ASH_CORRECTED="Yes",NOT(ISNUMBER($H293))),"Ash correction is switched on but no ash fraction is given for this row. ","")&amp;IF($I293="","Sieve mesh not recorded — a fine-root figure cannot be interpreted without it. ","")&amp;IF(AND(ISNUMBER($H293),$H293&gt;0.5),"Ash fraction above 0.5 — over half this sample was mineral soil. Re-wash. ","")&amp;IF($F293="Not separated","Live and dead not separated. Fine for a stock, but "&amp;"note it in reporting. ",""))</f>
        <v/>
      </c>
      <c r="P293" s="6" t="n"/>
      <c r="Q293" s="9">
        <f>IF($B293="",0,IF(COUNTIFS($B$5:$B293,$B293)=1,1,0))</f>
        <v/>
      </c>
    </row>
    <row r="294">
      <c r="A294" s="6" t="n"/>
      <c r="B294" s="6" t="n"/>
      <c r="C294" s="6" t="n"/>
      <c r="D294" s="6" t="n"/>
      <c r="E294" s="6" t="n"/>
      <c r="F294" s="6" t="n"/>
      <c r="G294" s="7" t="n"/>
      <c r="H294" s="7" t="n"/>
      <c r="I294" s="6" t="n"/>
      <c r="J294" s="9">
        <f>IF(NOT(ISNUMBER($G294)),"",IF(AND(ASH_CORRECTED="Yes",ISNUMBER($H294)),$G294*(1-$H294),$G294))</f>
        <v/>
      </c>
      <c r="K294" s="9">
        <f>IF($B294="","",IFERROR(AVERAGEIFS('2. Soil Data'!$G$5:$G$604,'2. Soil Data'!$B$5:$B$604,$B294),""))</f>
        <v/>
      </c>
      <c r="L294" s="9">
        <f>IF(NOT(ISNUMBER($K294)),"",PI()*($K294/2)^2)</f>
        <v/>
      </c>
      <c r="M294" s="9">
        <f>IF(OR(NOT(ISNUMBER($J294)),NOT(ISNUMBER($L294)),$L294=0),"",$J294/$L294*10000)</f>
        <v/>
      </c>
      <c r="N294" s="9">
        <f>IF(NOT(ISNUMBER($M294)),"",$M294*CARBON_FRACTION_ROOT/1000)</f>
        <v/>
      </c>
      <c r="O294" s="11">
        <f>IF(AND($A294="",$B294="",$G294=""),"",IF(AND($B294&lt;&gt;"",COUNTIFS('2. Soil Data'!$B$5:$B$604,$B294)=0),"Core ID not found in Soil Data, so the corer diameter cannot be looked up. ","")&amp;IF(ASH_CORRECTED&lt;&gt;"Yes","Root mass is NOT ash-corrected, so it includes adhering mineral soil and is too high. Set ASH_CORRECTED once you have done it. ","")&amp;IF(AND(ASH_CORRECTED="Yes",NOT(ISNUMBER($H294))),"Ash correction is switched on but no ash fraction is given for this row. ","")&amp;IF($I294="","Sieve mesh not recorded — a fine-root figure cannot be interpreted without it. ","")&amp;IF(AND(ISNUMBER($H294),$H294&gt;0.5),"Ash fraction above 0.5 — over half this sample was mineral soil. Re-wash. ","")&amp;IF($F294="Not separated","Live and dead not separated. Fine for a stock, but "&amp;"note it in reporting. ",""))</f>
        <v/>
      </c>
      <c r="P294" s="6" t="n"/>
      <c r="Q294" s="9">
        <f>IF($B294="",0,IF(COUNTIFS($B$5:$B294,$B294)=1,1,0))</f>
        <v/>
      </c>
    </row>
    <row r="295">
      <c r="A295" s="6" t="n"/>
      <c r="B295" s="6" t="n"/>
      <c r="C295" s="6" t="n"/>
      <c r="D295" s="6" t="n"/>
      <c r="E295" s="6" t="n"/>
      <c r="F295" s="6" t="n"/>
      <c r="G295" s="7" t="n"/>
      <c r="H295" s="7" t="n"/>
      <c r="I295" s="6" t="n"/>
      <c r="J295" s="9">
        <f>IF(NOT(ISNUMBER($G295)),"",IF(AND(ASH_CORRECTED="Yes",ISNUMBER($H295)),$G295*(1-$H295),$G295))</f>
        <v/>
      </c>
      <c r="K295" s="9">
        <f>IF($B295="","",IFERROR(AVERAGEIFS('2. Soil Data'!$G$5:$G$604,'2. Soil Data'!$B$5:$B$604,$B295),""))</f>
        <v/>
      </c>
      <c r="L295" s="9">
        <f>IF(NOT(ISNUMBER($K295)),"",PI()*($K295/2)^2)</f>
        <v/>
      </c>
      <c r="M295" s="9">
        <f>IF(OR(NOT(ISNUMBER($J295)),NOT(ISNUMBER($L295)),$L295=0),"",$J295/$L295*10000)</f>
        <v/>
      </c>
      <c r="N295" s="9">
        <f>IF(NOT(ISNUMBER($M295)),"",$M295*CARBON_FRACTION_ROOT/1000)</f>
        <v/>
      </c>
      <c r="O295" s="11">
        <f>IF(AND($A295="",$B295="",$G295=""),"",IF(AND($B295&lt;&gt;"",COUNTIFS('2. Soil Data'!$B$5:$B$604,$B295)=0),"Core ID not found in Soil Data, so the corer diameter cannot be looked up. ","")&amp;IF(ASH_CORRECTED&lt;&gt;"Yes","Root mass is NOT ash-corrected, so it includes adhering mineral soil and is too high. Set ASH_CORRECTED once you have done it. ","")&amp;IF(AND(ASH_CORRECTED="Yes",NOT(ISNUMBER($H295))),"Ash correction is switched on but no ash fraction is given for this row. ","")&amp;IF($I295="","Sieve mesh not recorded — a fine-root figure cannot be interpreted without it. ","")&amp;IF(AND(ISNUMBER($H295),$H295&gt;0.5),"Ash fraction above 0.5 — over half this sample was mineral soil. Re-wash. ","")&amp;IF($F295="Not separated","Live and dead not separated. Fine for a stock, but "&amp;"note it in reporting. ",""))</f>
        <v/>
      </c>
      <c r="P295" s="6" t="n"/>
      <c r="Q295" s="9">
        <f>IF($B295="",0,IF(COUNTIFS($B$5:$B295,$B295)=1,1,0))</f>
        <v/>
      </c>
    </row>
    <row r="296">
      <c r="A296" s="6" t="n"/>
      <c r="B296" s="6" t="n"/>
      <c r="C296" s="6" t="n"/>
      <c r="D296" s="6" t="n"/>
      <c r="E296" s="6" t="n"/>
      <c r="F296" s="6" t="n"/>
      <c r="G296" s="7" t="n"/>
      <c r="H296" s="7" t="n"/>
      <c r="I296" s="6" t="n"/>
      <c r="J296" s="9">
        <f>IF(NOT(ISNUMBER($G296)),"",IF(AND(ASH_CORRECTED="Yes",ISNUMBER($H296)),$G296*(1-$H296),$G296))</f>
        <v/>
      </c>
      <c r="K296" s="9">
        <f>IF($B296="","",IFERROR(AVERAGEIFS('2. Soil Data'!$G$5:$G$604,'2. Soil Data'!$B$5:$B$604,$B296),""))</f>
        <v/>
      </c>
      <c r="L296" s="9">
        <f>IF(NOT(ISNUMBER($K296)),"",PI()*($K296/2)^2)</f>
        <v/>
      </c>
      <c r="M296" s="9">
        <f>IF(OR(NOT(ISNUMBER($J296)),NOT(ISNUMBER($L296)),$L296=0),"",$J296/$L296*10000)</f>
        <v/>
      </c>
      <c r="N296" s="9">
        <f>IF(NOT(ISNUMBER($M296)),"",$M296*CARBON_FRACTION_ROOT/1000)</f>
        <v/>
      </c>
      <c r="O296" s="11">
        <f>IF(AND($A296="",$B296="",$G296=""),"",IF(AND($B296&lt;&gt;"",COUNTIFS('2. Soil Data'!$B$5:$B$604,$B296)=0),"Core ID not found in Soil Data, so the corer diameter cannot be looked up. ","")&amp;IF(ASH_CORRECTED&lt;&gt;"Yes","Root mass is NOT ash-corrected, so it includes adhering mineral soil and is too high. Set ASH_CORRECTED once you have done it. ","")&amp;IF(AND(ASH_CORRECTED="Yes",NOT(ISNUMBER($H296))),"Ash correction is switched on but no ash fraction is given for this row. ","")&amp;IF($I296="","Sieve mesh not recorded — a fine-root figure cannot be interpreted without it. ","")&amp;IF(AND(ISNUMBER($H296),$H296&gt;0.5),"Ash fraction above 0.5 — over half this sample was mineral soil. Re-wash. ","")&amp;IF($F296="Not separated","Live and dead not separated. Fine for a stock, but "&amp;"note it in reporting. ",""))</f>
        <v/>
      </c>
      <c r="P296" s="6" t="n"/>
      <c r="Q296" s="9">
        <f>IF($B296="",0,IF(COUNTIFS($B$5:$B296,$B296)=1,1,0))</f>
        <v/>
      </c>
    </row>
    <row r="297">
      <c r="A297" s="6" t="n"/>
      <c r="B297" s="6" t="n"/>
      <c r="C297" s="6" t="n"/>
      <c r="D297" s="6" t="n"/>
      <c r="E297" s="6" t="n"/>
      <c r="F297" s="6" t="n"/>
      <c r="G297" s="7" t="n"/>
      <c r="H297" s="7" t="n"/>
      <c r="I297" s="6" t="n"/>
      <c r="J297" s="9">
        <f>IF(NOT(ISNUMBER($G297)),"",IF(AND(ASH_CORRECTED="Yes",ISNUMBER($H297)),$G297*(1-$H297),$G297))</f>
        <v/>
      </c>
      <c r="K297" s="9">
        <f>IF($B297="","",IFERROR(AVERAGEIFS('2. Soil Data'!$G$5:$G$604,'2. Soil Data'!$B$5:$B$604,$B297),""))</f>
        <v/>
      </c>
      <c r="L297" s="9">
        <f>IF(NOT(ISNUMBER($K297)),"",PI()*($K297/2)^2)</f>
        <v/>
      </c>
      <c r="M297" s="9">
        <f>IF(OR(NOT(ISNUMBER($J297)),NOT(ISNUMBER($L297)),$L297=0),"",$J297/$L297*10000)</f>
        <v/>
      </c>
      <c r="N297" s="9">
        <f>IF(NOT(ISNUMBER($M297)),"",$M297*CARBON_FRACTION_ROOT/1000)</f>
        <v/>
      </c>
      <c r="O297" s="11">
        <f>IF(AND($A297="",$B297="",$G297=""),"",IF(AND($B297&lt;&gt;"",COUNTIFS('2. Soil Data'!$B$5:$B$604,$B297)=0),"Core ID not found in Soil Data, so the corer diameter cannot be looked up. ","")&amp;IF(ASH_CORRECTED&lt;&gt;"Yes","Root mass is NOT ash-corrected, so it includes adhering mineral soil and is too high. Set ASH_CORRECTED once you have done it. ","")&amp;IF(AND(ASH_CORRECTED="Yes",NOT(ISNUMBER($H297))),"Ash correction is switched on but no ash fraction is given for this row. ","")&amp;IF($I297="","Sieve mesh not recorded — a fine-root figure cannot be interpreted without it. ","")&amp;IF(AND(ISNUMBER($H297),$H297&gt;0.5),"Ash fraction above 0.5 — over half this sample was mineral soil. Re-wash. ","")&amp;IF($F297="Not separated","Live and dead not separated. Fine for a stock, but "&amp;"note it in reporting. ",""))</f>
        <v/>
      </c>
      <c r="P297" s="6" t="n"/>
      <c r="Q297" s="9">
        <f>IF($B297="",0,IF(COUNTIFS($B$5:$B297,$B297)=1,1,0))</f>
        <v/>
      </c>
    </row>
    <row r="298">
      <c r="A298" s="6" t="n"/>
      <c r="B298" s="6" t="n"/>
      <c r="C298" s="6" t="n"/>
      <c r="D298" s="6" t="n"/>
      <c r="E298" s="6" t="n"/>
      <c r="F298" s="6" t="n"/>
      <c r="G298" s="7" t="n"/>
      <c r="H298" s="7" t="n"/>
      <c r="I298" s="6" t="n"/>
      <c r="J298" s="9">
        <f>IF(NOT(ISNUMBER($G298)),"",IF(AND(ASH_CORRECTED="Yes",ISNUMBER($H298)),$G298*(1-$H298),$G298))</f>
        <v/>
      </c>
      <c r="K298" s="9">
        <f>IF($B298="","",IFERROR(AVERAGEIFS('2. Soil Data'!$G$5:$G$604,'2. Soil Data'!$B$5:$B$604,$B298),""))</f>
        <v/>
      </c>
      <c r="L298" s="9">
        <f>IF(NOT(ISNUMBER($K298)),"",PI()*($K298/2)^2)</f>
        <v/>
      </c>
      <c r="M298" s="9">
        <f>IF(OR(NOT(ISNUMBER($J298)),NOT(ISNUMBER($L298)),$L298=0),"",$J298/$L298*10000)</f>
        <v/>
      </c>
      <c r="N298" s="9">
        <f>IF(NOT(ISNUMBER($M298)),"",$M298*CARBON_FRACTION_ROOT/1000)</f>
        <v/>
      </c>
      <c r="O298" s="11">
        <f>IF(AND($A298="",$B298="",$G298=""),"",IF(AND($B298&lt;&gt;"",COUNTIFS('2. Soil Data'!$B$5:$B$604,$B298)=0),"Core ID not found in Soil Data, so the corer diameter cannot be looked up. ","")&amp;IF(ASH_CORRECTED&lt;&gt;"Yes","Root mass is NOT ash-corrected, so it includes adhering mineral soil and is too high. Set ASH_CORRECTED once you have done it. ","")&amp;IF(AND(ASH_CORRECTED="Yes",NOT(ISNUMBER($H298))),"Ash correction is switched on but no ash fraction is given for this row. ","")&amp;IF($I298="","Sieve mesh not recorded — a fine-root figure cannot be interpreted without it. ","")&amp;IF(AND(ISNUMBER($H298),$H298&gt;0.5),"Ash fraction above 0.5 — over half this sample was mineral soil. Re-wash. ","")&amp;IF($F298="Not separated","Live and dead not separated. Fine for a stock, but "&amp;"note it in reporting. ",""))</f>
        <v/>
      </c>
      <c r="P298" s="6" t="n"/>
      <c r="Q298" s="9">
        <f>IF($B298="",0,IF(COUNTIFS($B$5:$B298,$B298)=1,1,0))</f>
        <v/>
      </c>
    </row>
    <row r="299">
      <c r="A299" s="6" t="n"/>
      <c r="B299" s="6" t="n"/>
      <c r="C299" s="6" t="n"/>
      <c r="D299" s="6" t="n"/>
      <c r="E299" s="6" t="n"/>
      <c r="F299" s="6" t="n"/>
      <c r="G299" s="7" t="n"/>
      <c r="H299" s="7" t="n"/>
      <c r="I299" s="6" t="n"/>
      <c r="J299" s="9">
        <f>IF(NOT(ISNUMBER($G299)),"",IF(AND(ASH_CORRECTED="Yes",ISNUMBER($H299)),$G299*(1-$H299),$G299))</f>
        <v/>
      </c>
      <c r="K299" s="9">
        <f>IF($B299="","",IFERROR(AVERAGEIFS('2. Soil Data'!$G$5:$G$604,'2. Soil Data'!$B$5:$B$604,$B299),""))</f>
        <v/>
      </c>
      <c r="L299" s="9">
        <f>IF(NOT(ISNUMBER($K299)),"",PI()*($K299/2)^2)</f>
        <v/>
      </c>
      <c r="M299" s="9">
        <f>IF(OR(NOT(ISNUMBER($J299)),NOT(ISNUMBER($L299)),$L299=0),"",$J299/$L299*10000)</f>
        <v/>
      </c>
      <c r="N299" s="9">
        <f>IF(NOT(ISNUMBER($M299)),"",$M299*CARBON_FRACTION_ROOT/1000)</f>
        <v/>
      </c>
      <c r="O299" s="11">
        <f>IF(AND($A299="",$B299="",$G299=""),"",IF(AND($B299&lt;&gt;"",COUNTIFS('2. Soil Data'!$B$5:$B$604,$B299)=0),"Core ID not found in Soil Data, so the corer diameter cannot be looked up. ","")&amp;IF(ASH_CORRECTED&lt;&gt;"Yes","Root mass is NOT ash-corrected, so it includes adhering mineral soil and is too high. Set ASH_CORRECTED once you have done it. ","")&amp;IF(AND(ASH_CORRECTED="Yes",NOT(ISNUMBER($H299))),"Ash correction is switched on but no ash fraction is given for this row. ","")&amp;IF($I299="","Sieve mesh not recorded — a fine-root figure cannot be interpreted without it. ","")&amp;IF(AND(ISNUMBER($H299),$H299&gt;0.5),"Ash fraction above 0.5 — over half this sample was mineral soil. Re-wash. ","")&amp;IF($F299="Not separated","Live and dead not separated. Fine for a stock, but "&amp;"note it in reporting. ",""))</f>
        <v/>
      </c>
      <c r="P299" s="6" t="n"/>
      <c r="Q299" s="9">
        <f>IF($B299="",0,IF(COUNTIFS($B$5:$B299,$B299)=1,1,0))</f>
        <v/>
      </c>
    </row>
    <row r="300">
      <c r="A300" s="6" t="n"/>
      <c r="B300" s="6" t="n"/>
      <c r="C300" s="6" t="n"/>
      <c r="D300" s="6" t="n"/>
      <c r="E300" s="6" t="n"/>
      <c r="F300" s="6" t="n"/>
      <c r="G300" s="7" t="n"/>
      <c r="H300" s="7" t="n"/>
      <c r="I300" s="6" t="n"/>
      <c r="J300" s="9">
        <f>IF(NOT(ISNUMBER($G300)),"",IF(AND(ASH_CORRECTED="Yes",ISNUMBER($H300)),$G300*(1-$H300),$G300))</f>
        <v/>
      </c>
      <c r="K300" s="9">
        <f>IF($B300="","",IFERROR(AVERAGEIFS('2. Soil Data'!$G$5:$G$604,'2. Soil Data'!$B$5:$B$604,$B300),""))</f>
        <v/>
      </c>
      <c r="L300" s="9">
        <f>IF(NOT(ISNUMBER($K300)),"",PI()*($K300/2)^2)</f>
        <v/>
      </c>
      <c r="M300" s="9">
        <f>IF(OR(NOT(ISNUMBER($J300)),NOT(ISNUMBER($L300)),$L300=0),"",$J300/$L300*10000)</f>
        <v/>
      </c>
      <c r="N300" s="9">
        <f>IF(NOT(ISNUMBER($M300)),"",$M300*CARBON_FRACTION_ROOT/1000)</f>
        <v/>
      </c>
      <c r="O300" s="11">
        <f>IF(AND($A300="",$B300="",$G300=""),"",IF(AND($B300&lt;&gt;"",COUNTIFS('2. Soil Data'!$B$5:$B$604,$B300)=0),"Core ID not found in Soil Data, so the corer diameter cannot be looked up. ","")&amp;IF(ASH_CORRECTED&lt;&gt;"Yes","Root mass is NOT ash-corrected, so it includes adhering mineral soil and is too high. Set ASH_CORRECTED once you have done it. ","")&amp;IF(AND(ASH_CORRECTED="Yes",NOT(ISNUMBER($H300))),"Ash correction is switched on but no ash fraction is given for this row. ","")&amp;IF($I300="","Sieve mesh not recorded — a fine-root figure cannot be interpreted without it. ","")&amp;IF(AND(ISNUMBER($H300),$H300&gt;0.5),"Ash fraction above 0.5 — over half this sample was mineral soil. Re-wash. ","")&amp;IF($F300="Not separated","Live and dead not separated. Fine for a stock, but "&amp;"note it in reporting. ",""))</f>
        <v/>
      </c>
      <c r="P300" s="6" t="n"/>
      <c r="Q300" s="9">
        <f>IF($B300="",0,IF(COUNTIFS($B$5:$B300,$B300)=1,1,0))</f>
        <v/>
      </c>
    </row>
    <row r="301">
      <c r="A301" s="6" t="n"/>
      <c r="B301" s="6" t="n"/>
      <c r="C301" s="6" t="n"/>
      <c r="D301" s="6" t="n"/>
      <c r="E301" s="6" t="n"/>
      <c r="F301" s="6" t="n"/>
      <c r="G301" s="7" t="n"/>
      <c r="H301" s="7" t="n"/>
      <c r="I301" s="6" t="n"/>
      <c r="J301" s="9">
        <f>IF(NOT(ISNUMBER($G301)),"",IF(AND(ASH_CORRECTED="Yes",ISNUMBER($H301)),$G301*(1-$H301),$G301))</f>
        <v/>
      </c>
      <c r="K301" s="9">
        <f>IF($B301="","",IFERROR(AVERAGEIFS('2. Soil Data'!$G$5:$G$604,'2. Soil Data'!$B$5:$B$604,$B301),""))</f>
        <v/>
      </c>
      <c r="L301" s="9">
        <f>IF(NOT(ISNUMBER($K301)),"",PI()*($K301/2)^2)</f>
        <v/>
      </c>
      <c r="M301" s="9">
        <f>IF(OR(NOT(ISNUMBER($J301)),NOT(ISNUMBER($L301)),$L301=0),"",$J301/$L301*10000)</f>
        <v/>
      </c>
      <c r="N301" s="9">
        <f>IF(NOT(ISNUMBER($M301)),"",$M301*CARBON_FRACTION_ROOT/1000)</f>
        <v/>
      </c>
      <c r="O301" s="11">
        <f>IF(AND($A301="",$B301="",$G301=""),"",IF(AND($B301&lt;&gt;"",COUNTIFS('2. Soil Data'!$B$5:$B$604,$B301)=0),"Core ID not found in Soil Data, so the corer diameter cannot be looked up. ","")&amp;IF(ASH_CORRECTED&lt;&gt;"Yes","Root mass is NOT ash-corrected, so it includes adhering mineral soil and is too high. Set ASH_CORRECTED once you have done it. ","")&amp;IF(AND(ASH_CORRECTED="Yes",NOT(ISNUMBER($H301))),"Ash correction is switched on but no ash fraction is given for this row. ","")&amp;IF($I301="","Sieve mesh not recorded — a fine-root figure cannot be interpreted without it. ","")&amp;IF(AND(ISNUMBER($H301),$H301&gt;0.5),"Ash fraction above 0.5 — over half this sample was mineral soil. Re-wash. ","")&amp;IF($F301="Not separated","Live and dead not separated. Fine for a stock, but "&amp;"note it in reporting. ",""))</f>
        <v/>
      </c>
      <c r="P301" s="6" t="n"/>
      <c r="Q301" s="9">
        <f>IF($B301="",0,IF(COUNTIFS($B$5:$B301,$B301)=1,1,0))</f>
        <v/>
      </c>
    </row>
    <row r="302">
      <c r="A302" s="6" t="n"/>
      <c r="B302" s="6" t="n"/>
      <c r="C302" s="6" t="n"/>
      <c r="D302" s="6" t="n"/>
      <c r="E302" s="6" t="n"/>
      <c r="F302" s="6" t="n"/>
      <c r="G302" s="7" t="n"/>
      <c r="H302" s="7" t="n"/>
      <c r="I302" s="6" t="n"/>
      <c r="J302" s="9">
        <f>IF(NOT(ISNUMBER($G302)),"",IF(AND(ASH_CORRECTED="Yes",ISNUMBER($H302)),$G302*(1-$H302),$G302))</f>
        <v/>
      </c>
      <c r="K302" s="9">
        <f>IF($B302="","",IFERROR(AVERAGEIFS('2. Soil Data'!$G$5:$G$604,'2. Soil Data'!$B$5:$B$604,$B302),""))</f>
        <v/>
      </c>
      <c r="L302" s="9">
        <f>IF(NOT(ISNUMBER($K302)),"",PI()*($K302/2)^2)</f>
        <v/>
      </c>
      <c r="M302" s="9">
        <f>IF(OR(NOT(ISNUMBER($J302)),NOT(ISNUMBER($L302)),$L302=0),"",$J302/$L302*10000)</f>
        <v/>
      </c>
      <c r="N302" s="9">
        <f>IF(NOT(ISNUMBER($M302)),"",$M302*CARBON_FRACTION_ROOT/1000)</f>
        <v/>
      </c>
      <c r="O302" s="11">
        <f>IF(AND($A302="",$B302="",$G302=""),"",IF(AND($B302&lt;&gt;"",COUNTIFS('2. Soil Data'!$B$5:$B$604,$B302)=0),"Core ID not found in Soil Data, so the corer diameter cannot be looked up. ","")&amp;IF(ASH_CORRECTED&lt;&gt;"Yes","Root mass is NOT ash-corrected, so it includes adhering mineral soil and is too high. Set ASH_CORRECTED once you have done it. ","")&amp;IF(AND(ASH_CORRECTED="Yes",NOT(ISNUMBER($H302))),"Ash correction is switched on but no ash fraction is given for this row. ","")&amp;IF($I302="","Sieve mesh not recorded — a fine-root figure cannot be interpreted without it. ","")&amp;IF(AND(ISNUMBER($H302),$H302&gt;0.5),"Ash fraction above 0.5 — over half this sample was mineral soil. Re-wash. ","")&amp;IF($F302="Not separated","Live and dead not separated. Fine for a stock, but "&amp;"note it in reporting. ",""))</f>
        <v/>
      </c>
      <c r="P302" s="6" t="n"/>
      <c r="Q302" s="9">
        <f>IF($B302="",0,IF(COUNTIFS($B$5:$B302,$B302)=1,1,0))</f>
        <v/>
      </c>
    </row>
    <row r="303">
      <c r="A303" s="6" t="n"/>
      <c r="B303" s="6" t="n"/>
      <c r="C303" s="6" t="n"/>
      <c r="D303" s="6" t="n"/>
      <c r="E303" s="6" t="n"/>
      <c r="F303" s="6" t="n"/>
      <c r="G303" s="7" t="n"/>
      <c r="H303" s="7" t="n"/>
      <c r="I303" s="6" t="n"/>
      <c r="J303" s="9">
        <f>IF(NOT(ISNUMBER($G303)),"",IF(AND(ASH_CORRECTED="Yes",ISNUMBER($H303)),$G303*(1-$H303),$G303))</f>
        <v/>
      </c>
      <c r="K303" s="9">
        <f>IF($B303="","",IFERROR(AVERAGEIFS('2. Soil Data'!$G$5:$G$604,'2. Soil Data'!$B$5:$B$604,$B303),""))</f>
        <v/>
      </c>
      <c r="L303" s="9">
        <f>IF(NOT(ISNUMBER($K303)),"",PI()*($K303/2)^2)</f>
        <v/>
      </c>
      <c r="M303" s="9">
        <f>IF(OR(NOT(ISNUMBER($J303)),NOT(ISNUMBER($L303)),$L303=0),"",$J303/$L303*10000)</f>
        <v/>
      </c>
      <c r="N303" s="9">
        <f>IF(NOT(ISNUMBER($M303)),"",$M303*CARBON_FRACTION_ROOT/1000)</f>
        <v/>
      </c>
      <c r="O303" s="11">
        <f>IF(AND($A303="",$B303="",$G303=""),"",IF(AND($B303&lt;&gt;"",COUNTIFS('2. Soil Data'!$B$5:$B$604,$B303)=0),"Core ID not found in Soil Data, so the corer diameter cannot be looked up. ","")&amp;IF(ASH_CORRECTED&lt;&gt;"Yes","Root mass is NOT ash-corrected, so it includes adhering mineral soil and is too high. Set ASH_CORRECTED once you have done it. ","")&amp;IF(AND(ASH_CORRECTED="Yes",NOT(ISNUMBER($H303))),"Ash correction is switched on but no ash fraction is given for this row. ","")&amp;IF($I303="","Sieve mesh not recorded — a fine-root figure cannot be interpreted without it. ","")&amp;IF(AND(ISNUMBER($H303),$H303&gt;0.5),"Ash fraction above 0.5 — over half this sample was mineral soil. Re-wash. ","")&amp;IF($F303="Not separated","Live and dead not separated. Fine for a stock, but "&amp;"note it in reporting. ",""))</f>
        <v/>
      </c>
      <c r="P303" s="6" t="n"/>
      <c r="Q303" s="9">
        <f>IF($B303="",0,IF(COUNTIFS($B$5:$B303,$B303)=1,1,0))</f>
        <v/>
      </c>
    </row>
    <row r="304">
      <c r="A304" s="6" t="n"/>
      <c r="B304" s="6" t="n"/>
      <c r="C304" s="6" t="n"/>
      <c r="D304" s="6" t="n"/>
      <c r="E304" s="6" t="n"/>
      <c r="F304" s="6" t="n"/>
      <c r="G304" s="7" t="n"/>
      <c r="H304" s="7" t="n"/>
      <c r="I304" s="6" t="n"/>
      <c r="J304" s="9">
        <f>IF(NOT(ISNUMBER($G304)),"",IF(AND(ASH_CORRECTED="Yes",ISNUMBER($H304)),$G304*(1-$H304),$G304))</f>
        <v/>
      </c>
      <c r="K304" s="9">
        <f>IF($B304="","",IFERROR(AVERAGEIFS('2. Soil Data'!$G$5:$G$604,'2. Soil Data'!$B$5:$B$604,$B304),""))</f>
        <v/>
      </c>
      <c r="L304" s="9">
        <f>IF(NOT(ISNUMBER($K304)),"",PI()*($K304/2)^2)</f>
        <v/>
      </c>
      <c r="M304" s="9">
        <f>IF(OR(NOT(ISNUMBER($J304)),NOT(ISNUMBER($L304)),$L304=0),"",$J304/$L304*10000)</f>
        <v/>
      </c>
      <c r="N304" s="9">
        <f>IF(NOT(ISNUMBER($M304)),"",$M304*CARBON_FRACTION_ROOT/1000)</f>
        <v/>
      </c>
      <c r="O304" s="11">
        <f>IF(AND($A304="",$B304="",$G304=""),"",IF(AND($B304&lt;&gt;"",COUNTIFS('2. Soil Data'!$B$5:$B$604,$B304)=0),"Core ID not found in Soil Data, so the corer diameter cannot be looked up. ","")&amp;IF(ASH_CORRECTED&lt;&gt;"Yes","Root mass is NOT ash-corrected, so it includes adhering mineral soil and is too high. Set ASH_CORRECTED once you have done it. ","")&amp;IF(AND(ASH_CORRECTED="Yes",NOT(ISNUMBER($H304))),"Ash correction is switched on but no ash fraction is given for this row. ","")&amp;IF($I304="","Sieve mesh not recorded — a fine-root figure cannot be interpreted without it. ","")&amp;IF(AND(ISNUMBER($H304),$H304&gt;0.5),"Ash fraction above 0.5 — over half this sample was mineral soil. Re-wash. ","")&amp;IF($F304="Not separated","Live and dead not separated. Fine for a stock, but "&amp;"note it in reporting. ",""))</f>
        <v/>
      </c>
      <c r="P304" s="6" t="n"/>
      <c r="Q304" s="9">
        <f>IF($B304="",0,IF(COUNTIFS($B$5:$B304,$B304)=1,1,0))</f>
        <v/>
      </c>
    </row>
    <row r="305">
      <c r="A305" s="6" t="n"/>
      <c r="B305" s="6" t="n"/>
      <c r="C305" s="6" t="n"/>
      <c r="D305" s="6" t="n"/>
      <c r="E305" s="6" t="n"/>
      <c r="F305" s="6" t="n"/>
      <c r="G305" s="7" t="n"/>
      <c r="H305" s="7" t="n"/>
      <c r="I305" s="6" t="n"/>
      <c r="J305" s="9">
        <f>IF(NOT(ISNUMBER($G305)),"",IF(AND(ASH_CORRECTED="Yes",ISNUMBER($H305)),$G305*(1-$H305),$G305))</f>
        <v/>
      </c>
      <c r="K305" s="9">
        <f>IF($B305="","",IFERROR(AVERAGEIFS('2. Soil Data'!$G$5:$G$604,'2. Soil Data'!$B$5:$B$604,$B305),""))</f>
        <v/>
      </c>
      <c r="L305" s="9">
        <f>IF(NOT(ISNUMBER($K305)),"",PI()*($K305/2)^2)</f>
        <v/>
      </c>
      <c r="M305" s="9">
        <f>IF(OR(NOT(ISNUMBER($J305)),NOT(ISNUMBER($L305)),$L305=0),"",$J305/$L305*10000)</f>
        <v/>
      </c>
      <c r="N305" s="9">
        <f>IF(NOT(ISNUMBER($M305)),"",$M305*CARBON_FRACTION_ROOT/1000)</f>
        <v/>
      </c>
      <c r="O305" s="11">
        <f>IF(AND($A305="",$B305="",$G305=""),"",IF(AND($B305&lt;&gt;"",COUNTIFS('2. Soil Data'!$B$5:$B$604,$B305)=0),"Core ID not found in Soil Data, so the corer diameter cannot be looked up. ","")&amp;IF(ASH_CORRECTED&lt;&gt;"Yes","Root mass is NOT ash-corrected, so it includes adhering mineral soil and is too high. Set ASH_CORRECTED once you have done it. ","")&amp;IF(AND(ASH_CORRECTED="Yes",NOT(ISNUMBER($H305))),"Ash correction is switched on but no ash fraction is given for this row. ","")&amp;IF($I305="","Sieve mesh not recorded — a fine-root figure cannot be interpreted without it. ","")&amp;IF(AND(ISNUMBER($H305),$H305&gt;0.5),"Ash fraction above 0.5 — over half this sample was mineral soil. Re-wash. ","")&amp;IF($F305="Not separated","Live and dead not separated. Fine for a stock, but "&amp;"note it in reporting. ",""))</f>
        <v/>
      </c>
      <c r="P305" s="6" t="n"/>
      <c r="Q305" s="9">
        <f>IF($B305="",0,IF(COUNTIFS($B$5:$B305,$B305)=1,1,0))</f>
        <v/>
      </c>
    </row>
    <row r="306">
      <c r="A306" s="6" t="n"/>
      <c r="B306" s="6" t="n"/>
      <c r="C306" s="6" t="n"/>
      <c r="D306" s="6" t="n"/>
      <c r="E306" s="6" t="n"/>
      <c r="F306" s="6" t="n"/>
      <c r="G306" s="7" t="n"/>
      <c r="H306" s="7" t="n"/>
      <c r="I306" s="6" t="n"/>
      <c r="J306" s="9">
        <f>IF(NOT(ISNUMBER($G306)),"",IF(AND(ASH_CORRECTED="Yes",ISNUMBER($H306)),$G306*(1-$H306),$G306))</f>
        <v/>
      </c>
      <c r="K306" s="9">
        <f>IF($B306="","",IFERROR(AVERAGEIFS('2. Soil Data'!$G$5:$G$604,'2. Soil Data'!$B$5:$B$604,$B306),""))</f>
        <v/>
      </c>
      <c r="L306" s="9">
        <f>IF(NOT(ISNUMBER($K306)),"",PI()*($K306/2)^2)</f>
        <v/>
      </c>
      <c r="M306" s="9">
        <f>IF(OR(NOT(ISNUMBER($J306)),NOT(ISNUMBER($L306)),$L306=0),"",$J306/$L306*10000)</f>
        <v/>
      </c>
      <c r="N306" s="9">
        <f>IF(NOT(ISNUMBER($M306)),"",$M306*CARBON_FRACTION_ROOT/1000)</f>
        <v/>
      </c>
      <c r="O306" s="11">
        <f>IF(AND($A306="",$B306="",$G306=""),"",IF(AND($B306&lt;&gt;"",COUNTIFS('2. Soil Data'!$B$5:$B$604,$B306)=0),"Core ID not found in Soil Data, so the corer diameter cannot be looked up. ","")&amp;IF(ASH_CORRECTED&lt;&gt;"Yes","Root mass is NOT ash-corrected, so it includes adhering mineral soil and is too high. Set ASH_CORRECTED once you have done it. ","")&amp;IF(AND(ASH_CORRECTED="Yes",NOT(ISNUMBER($H306))),"Ash correction is switched on but no ash fraction is given for this row. ","")&amp;IF($I306="","Sieve mesh not recorded — a fine-root figure cannot be interpreted without it. ","")&amp;IF(AND(ISNUMBER($H306),$H306&gt;0.5),"Ash fraction above 0.5 — over half this sample was mineral soil. Re-wash. ","")&amp;IF($F306="Not separated","Live and dead not separated. Fine for a stock, but "&amp;"note it in reporting. ",""))</f>
        <v/>
      </c>
      <c r="P306" s="6" t="n"/>
      <c r="Q306" s="9">
        <f>IF($B306="",0,IF(COUNTIFS($B$5:$B306,$B306)=1,1,0))</f>
        <v/>
      </c>
    </row>
    <row r="307">
      <c r="A307" s="6" t="n"/>
      <c r="B307" s="6" t="n"/>
      <c r="C307" s="6" t="n"/>
      <c r="D307" s="6" t="n"/>
      <c r="E307" s="6" t="n"/>
      <c r="F307" s="6" t="n"/>
      <c r="G307" s="7" t="n"/>
      <c r="H307" s="7" t="n"/>
      <c r="I307" s="6" t="n"/>
      <c r="J307" s="9">
        <f>IF(NOT(ISNUMBER($G307)),"",IF(AND(ASH_CORRECTED="Yes",ISNUMBER($H307)),$G307*(1-$H307),$G307))</f>
        <v/>
      </c>
      <c r="K307" s="9">
        <f>IF($B307="","",IFERROR(AVERAGEIFS('2. Soil Data'!$G$5:$G$604,'2. Soil Data'!$B$5:$B$604,$B307),""))</f>
        <v/>
      </c>
      <c r="L307" s="9">
        <f>IF(NOT(ISNUMBER($K307)),"",PI()*($K307/2)^2)</f>
        <v/>
      </c>
      <c r="M307" s="9">
        <f>IF(OR(NOT(ISNUMBER($J307)),NOT(ISNUMBER($L307)),$L307=0),"",$J307/$L307*10000)</f>
        <v/>
      </c>
      <c r="N307" s="9">
        <f>IF(NOT(ISNUMBER($M307)),"",$M307*CARBON_FRACTION_ROOT/1000)</f>
        <v/>
      </c>
      <c r="O307" s="11">
        <f>IF(AND($A307="",$B307="",$G307=""),"",IF(AND($B307&lt;&gt;"",COUNTIFS('2. Soil Data'!$B$5:$B$604,$B307)=0),"Core ID not found in Soil Data, so the corer diameter cannot be looked up. ","")&amp;IF(ASH_CORRECTED&lt;&gt;"Yes","Root mass is NOT ash-corrected, so it includes adhering mineral soil and is too high. Set ASH_CORRECTED once you have done it. ","")&amp;IF(AND(ASH_CORRECTED="Yes",NOT(ISNUMBER($H307))),"Ash correction is switched on but no ash fraction is given for this row. ","")&amp;IF($I307="","Sieve mesh not recorded — a fine-root figure cannot be interpreted without it. ","")&amp;IF(AND(ISNUMBER($H307),$H307&gt;0.5),"Ash fraction above 0.5 — over half this sample was mineral soil. Re-wash. ","")&amp;IF($F307="Not separated","Live and dead not separated. Fine for a stock, but "&amp;"note it in reporting. ",""))</f>
        <v/>
      </c>
      <c r="P307" s="6" t="n"/>
      <c r="Q307" s="9">
        <f>IF($B307="",0,IF(COUNTIFS($B$5:$B307,$B307)=1,1,0))</f>
        <v/>
      </c>
    </row>
    <row r="308">
      <c r="A308" s="6" t="n"/>
      <c r="B308" s="6" t="n"/>
      <c r="C308" s="6" t="n"/>
      <c r="D308" s="6" t="n"/>
      <c r="E308" s="6" t="n"/>
      <c r="F308" s="6" t="n"/>
      <c r="G308" s="7" t="n"/>
      <c r="H308" s="7" t="n"/>
      <c r="I308" s="6" t="n"/>
      <c r="J308" s="9">
        <f>IF(NOT(ISNUMBER($G308)),"",IF(AND(ASH_CORRECTED="Yes",ISNUMBER($H308)),$G308*(1-$H308),$G308))</f>
        <v/>
      </c>
      <c r="K308" s="9">
        <f>IF($B308="","",IFERROR(AVERAGEIFS('2. Soil Data'!$G$5:$G$604,'2. Soil Data'!$B$5:$B$604,$B308),""))</f>
        <v/>
      </c>
      <c r="L308" s="9">
        <f>IF(NOT(ISNUMBER($K308)),"",PI()*($K308/2)^2)</f>
        <v/>
      </c>
      <c r="M308" s="9">
        <f>IF(OR(NOT(ISNUMBER($J308)),NOT(ISNUMBER($L308)),$L308=0),"",$J308/$L308*10000)</f>
        <v/>
      </c>
      <c r="N308" s="9">
        <f>IF(NOT(ISNUMBER($M308)),"",$M308*CARBON_FRACTION_ROOT/1000)</f>
        <v/>
      </c>
      <c r="O308" s="11">
        <f>IF(AND($A308="",$B308="",$G308=""),"",IF(AND($B308&lt;&gt;"",COUNTIFS('2. Soil Data'!$B$5:$B$604,$B308)=0),"Core ID not found in Soil Data, so the corer diameter cannot be looked up. ","")&amp;IF(ASH_CORRECTED&lt;&gt;"Yes","Root mass is NOT ash-corrected, so it includes adhering mineral soil and is too high. Set ASH_CORRECTED once you have done it. ","")&amp;IF(AND(ASH_CORRECTED="Yes",NOT(ISNUMBER($H308))),"Ash correction is switched on but no ash fraction is given for this row. ","")&amp;IF($I308="","Sieve mesh not recorded — a fine-root figure cannot be interpreted without it. ","")&amp;IF(AND(ISNUMBER($H308),$H308&gt;0.5),"Ash fraction above 0.5 — over half this sample was mineral soil. Re-wash. ","")&amp;IF($F308="Not separated","Live and dead not separated. Fine for a stock, but "&amp;"note it in reporting. ",""))</f>
        <v/>
      </c>
      <c r="P308" s="6" t="n"/>
      <c r="Q308" s="9">
        <f>IF($B308="",0,IF(COUNTIFS($B$5:$B308,$B308)=1,1,0))</f>
        <v/>
      </c>
    </row>
    <row r="309">
      <c r="A309" s="6" t="n"/>
      <c r="B309" s="6" t="n"/>
      <c r="C309" s="6" t="n"/>
      <c r="D309" s="6" t="n"/>
      <c r="E309" s="6" t="n"/>
      <c r="F309" s="6" t="n"/>
      <c r="G309" s="7" t="n"/>
      <c r="H309" s="7" t="n"/>
      <c r="I309" s="6" t="n"/>
      <c r="J309" s="9">
        <f>IF(NOT(ISNUMBER($G309)),"",IF(AND(ASH_CORRECTED="Yes",ISNUMBER($H309)),$G309*(1-$H309),$G309))</f>
        <v/>
      </c>
      <c r="K309" s="9">
        <f>IF($B309="","",IFERROR(AVERAGEIFS('2. Soil Data'!$G$5:$G$604,'2. Soil Data'!$B$5:$B$604,$B309),""))</f>
        <v/>
      </c>
      <c r="L309" s="9">
        <f>IF(NOT(ISNUMBER($K309)),"",PI()*($K309/2)^2)</f>
        <v/>
      </c>
      <c r="M309" s="9">
        <f>IF(OR(NOT(ISNUMBER($J309)),NOT(ISNUMBER($L309)),$L309=0),"",$J309/$L309*10000)</f>
        <v/>
      </c>
      <c r="N309" s="9">
        <f>IF(NOT(ISNUMBER($M309)),"",$M309*CARBON_FRACTION_ROOT/1000)</f>
        <v/>
      </c>
      <c r="O309" s="11">
        <f>IF(AND($A309="",$B309="",$G309=""),"",IF(AND($B309&lt;&gt;"",COUNTIFS('2. Soil Data'!$B$5:$B$604,$B309)=0),"Core ID not found in Soil Data, so the corer diameter cannot be looked up. ","")&amp;IF(ASH_CORRECTED&lt;&gt;"Yes","Root mass is NOT ash-corrected, so it includes adhering mineral soil and is too high. Set ASH_CORRECTED once you have done it. ","")&amp;IF(AND(ASH_CORRECTED="Yes",NOT(ISNUMBER($H309))),"Ash correction is switched on but no ash fraction is given for this row. ","")&amp;IF($I309="","Sieve mesh not recorded — a fine-root figure cannot be interpreted without it. ","")&amp;IF(AND(ISNUMBER($H309),$H309&gt;0.5),"Ash fraction above 0.5 — over half this sample was mineral soil. Re-wash. ","")&amp;IF($F309="Not separated","Live and dead not separated. Fine for a stock, but "&amp;"note it in reporting. ",""))</f>
        <v/>
      </c>
      <c r="P309" s="6" t="n"/>
      <c r="Q309" s="9">
        <f>IF($B309="",0,IF(COUNTIFS($B$5:$B309,$B309)=1,1,0))</f>
        <v/>
      </c>
    </row>
    <row r="310">
      <c r="A310" s="6" t="n"/>
      <c r="B310" s="6" t="n"/>
      <c r="C310" s="6" t="n"/>
      <c r="D310" s="6" t="n"/>
      <c r="E310" s="6" t="n"/>
      <c r="F310" s="6" t="n"/>
      <c r="G310" s="7" t="n"/>
      <c r="H310" s="7" t="n"/>
      <c r="I310" s="6" t="n"/>
      <c r="J310" s="9">
        <f>IF(NOT(ISNUMBER($G310)),"",IF(AND(ASH_CORRECTED="Yes",ISNUMBER($H310)),$G310*(1-$H310),$G310))</f>
        <v/>
      </c>
      <c r="K310" s="9">
        <f>IF($B310="","",IFERROR(AVERAGEIFS('2. Soil Data'!$G$5:$G$604,'2. Soil Data'!$B$5:$B$604,$B310),""))</f>
        <v/>
      </c>
      <c r="L310" s="9">
        <f>IF(NOT(ISNUMBER($K310)),"",PI()*($K310/2)^2)</f>
        <v/>
      </c>
      <c r="M310" s="9">
        <f>IF(OR(NOT(ISNUMBER($J310)),NOT(ISNUMBER($L310)),$L310=0),"",$J310/$L310*10000)</f>
        <v/>
      </c>
      <c r="N310" s="9">
        <f>IF(NOT(ISNUMBER($M310)),"",$M310*CARBON_FRACTION_ROOT/1000)</f>
        <v/>
      </c>
      <c r="O310" s="11">
        <f>IF(AND($A310="",$B310="",$G310=""),"",IF(AND($B310&lt;&gt;"",COUNTIFS('2. Soil Data'!$B$5:$B$604,$B310)=0),"Core ID not found in Soil Data, so the corer diameter cannot be looked up. ","")&amp;IF(ASH_CORRECTED&lt;&gt;"Yes","Root mass is NOT ash-corrected, so it includes adhering mineral soil and is too high. Set ASH_CORRECTED once you have done it. ","")&amp;IF(AND(ASH_CORRECTED="Yes",NOT(ISNUMBER($H310))),"Ash correction is switched on but no ash fraction is given for this row. ","")&amp;IF($I310="","Sieve mesh not recorded — a fine-root figure cannot be interpreted without it. ","")&amp;IF(AND(ISNUMBER($H310),$H310&gt;0.5),"Ash fraction above 0.5 — over half this sample was mineral soil. Re-wash. ","")&amp;IF($F310="Not separated","Live and dead not separated. Fine for a stock, but "&amp;"note it in reporting. ",""))</f>
        <v/>
      </c>
      <c r="P310" s="6" t="n"/>
      <c r="Q310" s="9">
        <f>IF($B310="",0,IF(COUNTIFS($B$5:$B310,$B310)=1,1,0))</f>
        <v/>
      </c>
    </row>
    <row r="311">
      <c r="A311" s="6" t="n"/>
      <c r="B311" s="6" t="n"/>
      <c r="C311" s="6" t="n"/>
      <c r="D311" s="6" t="n"/>
      <c r="E311" s="6" t="n"/>
      <c r="F311" s="6" t="n"/>
      <c r="G311" s="7" t="n"/>
      <c r="H311" s="7" t="n"/>
      <c r="I311" s="6" t="n"/>
      <c r="J311" s="9">
        <f>IF(NOT(ISNUMBER($G311)),"",IF(AND(ASH_CORRECTED="Yes",ISNUMBER($H311)),$G311*(1-$H311),$G311))</f>
        <v/>
      </c>
      <c r="K311" s="9">
        <f>IF($B311="","",IFERROR(AVERAGEIFS('2. Soil Data'!$G$5:$G$604,'2. Soil Data'!$B$5:$B$604,$B311),""))</f>
        <v/>
      </c>
      <c r="L311" s="9">
        <f>IF(NOT(ISNUMBER($K311)),"",PI()*($K311/2)^2)</f>
        <v/>
      </c>
      <c r="M311" s="9">
        <f>IF(OR(NOT(ISNUMBER($J311)),NOT(ISNUMBER($L311)),$L311=0),"",$J311/$L311*10000)</f>
        <v/>
      </c>
      <c r="N311" s="9">
        <f>IF(NOT(ISNUMBER($M311)),"",$M311*CARBON_FRACTION_ROOT/1000)</f>
        <v/>
      </c>
      <c r="O311" s="11">
        <f>IF(AND($A311="",$B311="",$G311=""),"",IF(AND($B311&lt;&gt;"",COUNTIFS('2. Soil Data'!$B$5:$B$604,$B311)=0),"Core ID not found in Soil Data, so the corer diameter cannot be looked up. ","")&amp;IF(ASH_CORRECTED&lt;&gt;"Yes","Root mass is NOT ash-corrected, so it includes adhering mineral soil and is too high. Set ASH_CORRECTED once you have done it. ","")&amp;IF(AND(ASH_CORRECTED="Yes",NOT(ISNUMBER($H311))),"Ash correction is switched on but no ash fraction is given for this row. ","")&amp;IF($I311="","Sieve mesh not recorded — a fine-root figure cannot be interpreted without it. ","")&amp;IF(AND(ISNUMBER($H311),$H311&gt;0.5),"Ash fraction above 0.5 — over half this sample was mineral soil. Re-wash. ","")&amp;IF($F311="Not separated","Live and dead not separated. Fine for a stock, but "&amp;"note it in reporting. ",""))</f>
        <v/>
      </c>
      <c r="P311" s="6" t="n"/>
      <c r="Q311" s="9">
        <f>IF($B311="",0,IF(COUNTIFS($B$5:$B311,$B311)=1,1,0))</f>
        <v/>
      </c>
    </row>
    <row r="312">
      <c r="A312" s="6" t="n"/>
      <c r="B312" s="6" t="n"/>
      <c r="C312" s="6" t="n"/>
      <c r="D312" s="6" t="n"/>
      <c r="E312" s="6" t="n"/>
      <c r="F312" s="6" t="n"/>
      <c r="G312" s="7" t="n"/>
      <c r="H312" s="7" t="n"/>
      <c r="I312" s="6" t="n"/>
      <c r="J312" s="9">
        <f>IF(NOT(ISNUMBER($G312)),"",IF(AND(ASH_CORRECTED="Yes",ISNUMBER($H312)),$G312*(1-$H312),$G312))</f>
        <v/>
      </c>
      <c r="K312" s="9">
        <f>IF($B312="","",IFERROR(AVERAGEIFS('2. Soil Data'!$G$5:$G$604,'2. Soil Data'!$B$5:$B$604,$B312),""))</f>
        <v/>
      </c>
      <c r="L312" s="9">
        <f>IF(NOT(ISNUMBER($K312)),"",PI()*($K312/2)^2)</f>
        <v/>
      </c>
      <c r="M312" s="9">
        <f>IF(OR(NOT(ISNUMBER($J312)),NOT(ISNUMBER($L312)),$L312=0),"",$J312/$L312*10000)</f>
        <v/>
      </c>
      <c r="N312" s="9">
        <f>IF(NOT(ISNUMBER($M312)),"",$M312*CARBON_FRACTION_ROOT/1000)</f>
        <v/>
      </c>
      <c r="O312" s="11">
        <f>IF(AND($A312="",$B312="",$G312=""),"",IF(AND($B312&lt;&gt;"",COUNTIFS('2. Soil Data'!$B$5:$B$604,$B312)=0),"Core ID not found in Soil Data, so the corer diameter cannot be looked up. ","")&amp;IF(ASH_CORRECTED&lt;&gt;"Yes","Root mass is NOT ash-corrected, so it includes adhering mineral soil and is too high. Set ASH_CORRECTED once you have done it. ","")&amp;IF(AND(ASH_CORRECTED="Yes",NOT(ISNUMBER($H312))),"Ash correction is switched on but no ash fraction is given for this row. ","")&amp;IF($I312="","Sieve mesh not recorded — a fine-root figure cannot be interpreted without it. ","")&amp;IF(AND(ISNUMBER($H312),$H312&gt;0.5),"Ash fraction above 0.5 — over half this sample was mineral soil. Re-wash. ","")&amp;IF($F312="Not separated","Live and dead not separated. Fine for a stock, but "&amp;"note it in reporting. ",""))</f>
        <v/>
      </c>
      <c r="P312" s="6" t="n"/>
      <c r="Q312" s="9">
        <f>IF($B312="",0,IF(COUNTIFS($B$5:$B312,$B312)=1,1,0))</f>
        <v/>
      </c>
    </row>
    <row r="313">
      <c r="A313" s="6" t="n"/>
      <c r="B313" s="6" t="n"/>
      <c r="C313" s="6" t="n"/>
      <c r="D313" s="6" t="n"/>
      <c r="E313" s="6" t="n"/>
      <c r="F313" s="6" t="n"/>
      <c r="G313" s="7" t="n"/>
      <c r="H313" s="7" t="n"/>
      <c r="I313" s="6" t="n"/>
      <c r="J313" s="9">
        <f>IF(NOT(ISNUMBER($G313)),"",IF(AND(ASH_CORRECTED="Yes",ISNUMBER($H313)),$G313*(1-$H313),$G313))</f>
        <v/>
      </c>
      <c r="K313" s="9">
        <f>IF($B313="","",IFERROR(AVERAGEIFS('2. Soil Data'!$G$5:$G$604,'2. Soil Data'!$B$5:$B$604,$B313),""))</f>
        <v/>
      </c>
      <c r="L313" s="9">
        <f>IF(NOT(ISNUMBER($K313)),"",PI()*($K313/2)^2)</f>
        <v/>
      </c>
      <c r="M313" s="9">
        <f>IF(OR(NOT(ISNUMBER($J313)),NOT(ISNUMBER($L313)),$L313=0),"",$J313/$L313*10000)</f>
        <v/>
      </c>
      <c r="N313" s="9">
        <f>IF(NOT(ISNUMBER($M313)),"",$M313*CARBON_FRACTION_ROOT/1000)</f>
        <v/>
      </c>
      <c r="O313" s="11">
        <f>IF(AND($A313="",$B313="",$G313=""),"",IF(AND($B313&lt;&gt;"",COUNTIFS('2. Soil Data'!$B$5:$B$604,$B313)=0),"Core ID not found in Soil Data, so the corer diameter cannot be looked up. ","")&amp;IF(ASH_CORRECTED&lt;&gt;"Yes","Root mass is NOT ash-corrected, so it includes adhering mineral soil and is too high. Set ASH_CORRECTED once you have done it. ","")&amp;IF(AND(ASH_CORRECTED="Yes",NOT(ISNUMBER($H313))),"Ash correction is switched on but no ash fraction is given for this row. ","")&amp;IF($I313="","Sieve mesh not recorded — a fine-root figure cannot be interpreted without it. ","")&amp;IF(AND(ISNUMBER($H313),$H313&gt;0.5),"Ash fraction above 0.5 — over half this sample was mineral soil. Re-wash. ","")&amp;IF($F313="Not separated","Live and dead not separated. Fine for a stock, but "&amp;"note it in reporting. ",""))</f>
        <v/>
      </c>
      <c r="P313" s="6" t="n"/>
      <c r="Q313" s="9">
        <f>IF($B313="",0,IF(COUNTIFS($B$5:$B313,$B313)=1,1,0))</f>
        <v/>
      </c>
    </row>
    <row r="314">
      <c r="A314" s="6" t="n"/>
      <c r="B314" s="6" t="n"/>
      <c r="C314" s="6" t="n"/>
      <c r="D314" s="6" t="n"/>
      <c r="E314" s="6" t="n"/>
      <c r="F314" s="6" t="n"/>
      <c r="G314" s="7" t="n"/>
      <c r="H314" s="7" t="n"/>
      <c r="I314" s="6" t="n"/>
      <c r="J314" s="9">
        <f>IF(NOT(ISNUMBER($G314)),"",IF(AND(ASH_CORRECTED="Yes",ISNUMBER($H314)),$G314*(1-$H314),$G314))</f>
        <v/>
      </c>
      <c r="K314" s="9">
        <f>IF($B314="","",IFERROR(AVERAGEIFS('2. Soil Data'!$G$5:$G$604,'2. Soil Data'!$B$5:$B$604,$B314),""))</f>
        <v/>
      </c>
      <c r="L314" s="9">
        <f>IF(NOT(ISNUMBER($K314)),"",PI()*($K314/2)^2)</f>
        <v/>
      </c>
      <c r="M314" s="9">
        <f>IF(OR(NOT(ISNUMBER($J314)),NOT(ISNUMBER($L314)),$L314=0),"",$J314/$L314*10000)</f>
        <v/>
      </c>
      <c r="N314" s="9">
        <f>IF(NOT(ISNUMBER($M314)),"",$M314*CARBON_FRACTION_ROOT/1000)</f>
        <v/>
      </c>
      <c r="O314" s="11">
        <f>IF(AND($A314="",$B314="",$G314=""),"",IF(AND($B314&lt;&gt;"",COUNTIFS('2. Soil Data'!$B$5:$B$604,$B314)=0),"Core ID not found in Soil Data, so the corer diameter cannot be looked up. ","")&amp;IF(ASH_CORRECTED&lt;&gt;"Yes","Root mass is NOT ash-corrected, so it includes adhering mineral soil and is too high. Set ASH_CORRECTED once you have done it. ","")&amp;IF(AND(ASH_CORRECTED="Yes",NOT(ISNUMBER($H314))),"Ash correction is switched on but no ash fraction is given for this row. ","")&amp;IF($I314="","Sieve mesh not recorded — a fine-root figure cannot be interpreted without it. ","")&amp;IF(AND(ISNUMBER($H314),$H314&gt;0.5),"Ash fraction above 0.5 — over half this sample was mineral soil. Re-wash. ","")&amp;IF($F314="Not separated","Live and dead not separated. Fine for a stock, but "&amp;"note it in reporting. ",""))</f>
        <v/>
      </c>
      <c r="P314" s="6" t="n"/>
      <c r="Q314" s="9">
        <f>IF($B314="",0,IF(COUNTIFS($B$5:$B314,$B314)=1,1,0))</f>
        <v/>
      </c>
    </row>
    <row r="315">
      <c r="A315" s="6" t="n"/>
      <c r="B315" s="6" t="n"/>
      <c r="C315" s="6" t="n"/>
      <c r="D315" s="6" t="n"/>
      <c r="E315" s="6" t="n"/>
      <c r="F315" s="6" t="n"/>
      <c r="G315" s="7" t="n"/>
      <c r="H315" s="7" t="n"/>
      <c r="I315" s="6" t="n"/>
      <c r="J315" s="9">
        <f>IF(NOT(ISNUMBER($G315)),"",IF(AND(ASH_CORRECTED="Yes",ISNUMBER($H315)),$G315*(1-$H315),$G315))</f>
        <v/>
      </c>
      <c r="K315" s="9">
        <f>IF($B315="","",IFERROR(AVERAGEIFS('2. Soil Data'!$G$5:$G$604,'2. Soil Data'!$B$5:$B$604,$B315),""))</f>
        <v/>
      </c>
      <c r="L315" s="9">
        <f>IF(NOT(ISNUMBER($K315)),"",PI()*($K315/2)^2)</f>
        <v/>
      </c>
      <c r="M315" s="9">
        <f>IF(OR(NOT(ISNUMBER($J315)),NOT(ISNUMBER($L315)),$L315=0),"",$J315/$L315*10000)</f>
        <v/>
      </c>
      <c r="N315" s="9">
        <f>IF(NOT(ISNUMBER($M315)),"",$M315*CARBON_FRACTION_ROOT/1000)</f>
        <v/>
      </c>
      <c r="O315" s="11">
        <f>IF(AND($A315="",$B315="",$G315=""),"",IF(AND($B315&lt;&gt;"",COUNTIFS('2. Soil Data'!$B$5:$B$604,$B315)=0),"Core ID not found in Soil Data, so the corer diameter cannot be looked up. ","")&amp;IF(ASH_CORRECTED&lt;&gt;"Yes","Root mass is NOT ash-corrected, so it includes adhering mineral soil and is too high. Set ASH_CORRECTED once you have done it. ","")&amp;IF(AND(ASH_CORRECTED="Yes",NOT(ISNUMBER($H315))),"Ash correction is switched on but no ash fraction is given for this row. ","")&amp;IF($I315="","Sieve mesh not recorded — a fine-root figure cannot be interpreted without it. ","")&amp;IF(AND(ISNUMBER($H315),$H315&gt;0.5),"Ash fraction above 0.5 — over half this sample was mineral soil. Re-wash. ","")&amp;IF($F315="Not separated","Live and dead not separated. Fine for a stock, but "&amp;"note it in reporting. ",""))</f>
        <v/>
      </c>
      <c r="P315" s="6" t="n"/>
      <c r="Q315" s="9">
        <f>IF($B315="",0,IF(COUNTIFS($B$5:$B315,$B315)=1,1,0))</f>
        <v/>
      </c>
    </row>
    <row r="316">
      <c r="A316" s="6" t="n"/>
      <c r="B316" s="6" t="n"/>
      <c r="C316" s="6" t="n"/>
      <c r="D316" s="6" t="n"/>
      <c r="E316" s="6" t="n"/>
      <c r="F316" s="6" t="n"/>
      <c r="G316" s="7" t="n"/>
      <c r="H316" s="7" t="n"/>
      <c r="I316" s="6" t="n"/>
      <c r="J316" s="9">
        <f>IF(NOT(ISNUMBER($G316)),"",IF(AND(ASH_CORRECTED="Yes",ISNUMBER($H316)),$G316*(1-$H316),$G316))</f>
        <v/>
      </c>
      <c r="K316" s="9">
        <f>IF($B316="","",IFERROR(AVERAGEIFS('2. Soil Data'!$G$5:$G$604,'2. Soil Data'!$B$5:$B$604,$B316),""))</f>
        <v/>
      </c>
      <c r="L316" s="9">
        <f>IF(NOT(ISNUMBER($K316)),"",PI()*($K316/2)^2)</f>
        <v/>
      </c>
      <c r="M316" s="9">
        <f>IF(OR(NOT(ISNUMBER($J316)),NOT(ISNUMBER($L316)),$L316=0),"",$J316/$L316*10000)</f>
        <v/>
      </c>
      <c r="N316" s="9">
        <f>IF(NOT(ISNUMBER($M316)),"",$M316*CARBON_FRACTION_ROOT/1000)</f>
        <v/>
      </c>
      <c r="O316" s="11">
        <f>IF(AND($A316="",$B316="",$G316=""),"",IF(AND($B316&lt;&gt;"",COUNTIFS('2. Soil Data'!$B$5:$B$604,$B316)=0),"Core ID not found in Soil Data, so the corer diameter cannot be looked up. ","")&amp;IF(ASH_CORRECTED&lt;&gt;"Yes","Root mass is NOT ash-corrected, so it includes adhering mineral soil and is too high. Set ASH_CORRECTED once you have done it. ","")&amp;IF(AND(ASH_CORRECTED="Yes",NOT(ISNUMBER($H316))),"Ash correction is switched on but no ash fraction is given for this row. ","")&amp;IF($I316="","Sieve mesh not recorded — a fine-root figure cannot be interpreted without it. ","")&amp;IF(AND(ISNUMBER($H316),$H316&gt;0.5),"Ash fraction above 0.5 — over half this sample was mineral soil. Re-wash. ","")&amp;IF($F316="Not separated","Live and dead not separated. Fine for a stock, but "&amp;"note it in reporting. ",""))</f>
        <v/>
      </c>
      <c r="P316" s="6" t="n"/>
      <c r="Q316" s="9">
        <f>IF($B316="",0,IF(COUNTIFS($B$5:$B316,$B316)=1,1,0))</f>
        <v/>
      </c>
    </row>
    <row r="317">
      <c r="A317" s="6" t="n"/>
      <c r="B317" s="6" t="n"/>
      <c r="C317" s="6" t="n"/>
      <c r="D317" s="6" t="n"/>
      <c r="E317" s="6" t="n"/>
      <c r="F317" s="6" t="n"/>
      <c r="G317" s="7" t="n"/>
      <c r="H317" s="7" t="n"/>
      <c r="I317" s="6" t="n"/>
      <c r="J317" s="9">
        <f>IF(NOT(ISNUMBER($G317)),"",IF(AND(ASH_CORRECTED="Yes",ISNUMBER($H317)),$G317*(1-$H317),$G317))</f>
        <v/>
      </c>
      <c r="K317" s="9">
        <f>IF($B317="","",IFERROR(AVERAGEIFS('2. Soil Data'!$G$5:$G$604,'2. Soil Data'!$B$5:$B$604,$B317),""))</f>
        <v/>
      </c>
      <c r="L317" s="9">
        <f>IF(NOT(ISNUMBER($K317)),"",PI()*($K317/2)^2)</f>
        <v/>
      </c>
      <c r="M317" s="9">
        <f>IF(OR(NOT(ISNUMBER($J317)),NOT(ISNUMBER($L317)),$L317=0),"",$J317/$L317*10000)</f>
        <v/>
      </c>
      <c r="N317" s="9">
        <f>IF(NOT(ISNUMBER($M317)),"",$M317*CARBON_FRACTION_ROOT/1000)</f>
        <v/>
      </c>
      <c r="O317" s="11">
        <f>IF(AND($A317="",$B317="",$G317=""),"",IF(AND($B317&lt;&gt;"",COUNTIFS('2. Soil Data'!$B$5:$B$604,$B317)=0),"Core ID not found in Soil Data, so the corer diameter cannot be looked up. ","")&amp;IF(ASH_CORRECTED&lt;&gt;"Yes","Root mass is NOT ash-corrected, so it includes adhering mineral soil and is too high. Set ASH_CORRECTED once you have done it. ","")&amp;IF(AND(ASH_CORRECTED="Yes",NOT(ISNUMBER($H317))),"Ash correction is switched on but no ash fraction is given for this row. ","")&amp;IF($I317="","Sieve mesh not recorded — a fine-root figure cannot be interpreted without it. ","")&amp;IF(AND(ISNUMBER($H317),$H317&gt;0.5),"Ash fraction above 0.5 — over half this sample was mineral soil. Re-wash. ","")&amp;IF($F317="Not separated","Live and dead not separated. Fine for a stock, but "&amp;"note it in reporting. ",""))</f>
        <v/>
      </c>
      <c r="P317" s="6" t="n"/>
      <c r="Q317" s="9">
        <f>IF($B317="",0,IF(COUNTIFS($B$5:$B317,$B317)=1,1,0))</f>
        <v/>
      </c>
    </row>
    <row r="318">
      <c r="A318" s="6" t="n"/>
      <c r="B318" s="6" t="n"/>
      <c r="C318" s="6" t="n"/>
      <c r="D318" s="6" t="n"/>
      <c r="E318" s="6" t="n"/>
      <c r="F318" s="6" t="n"/>
      <c r="G318" s="7" t="n"/>
      <c r="H318" s="7" t="n"/>
      <c r="I318" s="6" t="n"/>
      <c r="J318" s="9">
        <f>IF(NOT(ISNUMBER($G318)),"",IF(AND(ASH_CORRECTED="Yes",ISNUMBER($H318)),$G318*(1-$H318),$G318))</f>
        <v/>
      </c>
      <c r="K318" s="9">
        <f>IF($B318="","",IFERROR(AVERAGEIFS('2. Soil Data'!$G$5:$G$604,'2. Soil Data'!$B$5:$B$604,$B318),""))</f>
        <v/>
      </c>
      <c r="L318" s="9">
        <f>IF(NOT(ISNUMBER($K318)),"",PI()*($K318/2)^2)</f>
        <v/>
      </c>
      <c r="M318" s="9">
        <f>IF(OR(NOT(ISNUMBER($J318)),NOT(ISNUMBER($L318)),$L318=0),"",$J318/$L318*10000)</f>
        <v/>
      </c>
      <c r="N318" s="9">
        <f>IF(NOT(ISNUMBER($M318)),"",$M318*CARBON_FRACTION_ROOT/1000)</f>
        <v/>
      </c>
      <c r="O318" s="11">
        <f>IF(AND($A318="",$B318="",$G318=""),"",IF(AND($B318&lt;&gt;"",COUNTIFS('2. Soil Data'!$B$5:$B$604,$B318)=0),"Core ID not found in Soil Data, so the corer diameter cannot be looked up. ","")&amp;IF(ASH_CORRECTED&lt;&gt;"Yes","Root mass is NOT ash-corrected, so it includes adhering mineral soil and is too high. Set ASH_CORRECTED once you have done it. ","")&amp;IF(AND(ASH_CORRECTED="Yes",NOT(ISNUMBER($H318))),"Ash correction is switched on but no ash fraction is given for this row. ","")&amp;IF($I318="","Sieve mesh not recorded — a fine-root figure cannot be interpreted without it. ","")&amp;IF(AND(ISNUMBER($H318),$H318&gt;0.5),"Ash fraction above 0.5 — over half this sample was mineral soil. Re-wash. ","")&amp;IF($F318="Not separated","Live and dead not separated. Fine for a stock, but "&amp;"note it in reporting. ",""))</f>
        <v/>
      </c>
      <c r="P318" s="6" t="n"/>
      <c r="Q318" s="9">
        <f>IF($B318="",0,IF(COUNTIFS($B$5:$B318,$B318)=1,1,0))</f>
        <v/>
      </c>
    </row>
    <row r="319">
      <c r="A319" s="6" t="n"/>
      <c r="B319" s="6" t="n"/>
      <c r="C319" s="6" t="n"/>
      <c r="D319" s="6" t="n"/>
      <c r="E319" s="6" t="n"/>
      <c r="F319" s="6" t="n"/>
      <c r="G319" s="7" t="n"/>
      <c r="H319" s="7" t="n"/>
      <c r="I319" s="6" t="n"/>
      <c r="J319" s="9">
        <f>IF(NOT(ISNUMBER($G319)),"",IF(AND(ASH_CORRECTED="Yes",ISNUMBER($H319)),$G319*(1-$H319),$G319))</f>
        <v/>
      </c>
      <c r="K319" s="9">
        <f>IF($B319="","",IFERROR(AVERAGEIFS('2. Soil Data'!$G$5:$G$604,'2. Soil Data'!$B$5:$B$604,$B319),""))</f>
        <v/>
      </c>
      <c r="L319" s="9">
        <f>IF(NOT(ISNUMBER($K319)),"",PI()*($K319/2)^2)</f>
        <v/>
      </c>
      <c r="M319" s="9">
        <f>IF(OR(NOT(ISNUMBER($J319)),NOT(ISNUMBER($L319)),$L319=0),"",$J319/$L319*10000)</f>
        <v/>
      </c>
      <c r="N319" s="9">
        <f>IF(NOT(ISNUMBER($M319)),"",$M319*CARBON_FRACTION_ROOT/1000)</f>
        <v/>
      </c>
      <c r="O319" s="11">
        <f>IF(AND($A319="",$B319="",$G319=""),"",IF(AND($B319&lt;&gt;"",COUNTIFS('2. Soil Data'!$B$5:$B$604,$B319)=0),"Core ID not found in Soil Data, so the corer diameter cannot be looked up. ","")&amp;IF(ASH_CORRECTED&lt;&gt;"Yes","Root mass is NOT ash-corrected, so it includes adhering mineral soil and is too high. Set ASH_CORRECTED once you have done it. ","")&amp;IF(AND(ASH_CORRECTED="Yes",NOT(ISNUMBER($H319))),"Ash correction is switched on but no ash fraction is given for this row. ","")&amp;IF($I319="","Sieve mesh not recorded — a fine-root figure cannot be interpreted without it. ","")&amp;IF(AND(ISNUMBER($H319),$H319&gt;0.5),"Ash fraction above 0.5 — over half this sample was mineral soil. Re-wash. ","")&amp;IF($F319="Not separated","Live and dead not separated. Fine for a stock, but "&amp;"note it in reporting. ",""))</f>
        <v/>
      </c>
      <c r="P319" s="6" t="n"/>
      <c r="Q319" s="9">
        <f>IF($B319="",0,IF(COUNTIFS($B$5:$B319,$B319)=1,1,0))</f>
        <v/>
      </c>
    </row>
    <row r="320">
      <c r="A320" s="6" t="n"/>
      <c r="B320" s="6" t="n"/>
      <c r="C320" s="6" t="n"/>
      <c r="D320" s="6" t="n"/>
      <c r="E320" s="6" t="n"/>
      <c r="F320" s="6" t="n"/>
      <c r="G320" s="7" t="n"/>
      <c r="H320" s="7" t="n"/>
      <c r="I320" s="6" t="n"/>
      <c r="J320" s="9">
        <f>IF(NOT(ISNUMBER($G320)),"",IF(AND(ASH_CORRECTED="Yes",ISNUMBER($H320)),$G320*(1-$H320),$G320))</f>
        <v/>
      </c>
      <c r="K320" s="9">
        <f>IF($B320="","",IFERROR(AVERAGEIFS('2. Soil Data'!$G$5:$G$604,'2. Soil Data'!$B$5:$B$604,$B320),""))</f>
        <v/>
      </c>
      <c r="L320" s="9">
        <f>IF(NOT(ISNUMBER($K320)),"",PI()*($K320/2)^2)</f>
        <v/>
      </c>
      <c r="M320" s="9">
        <f>IF(OR(NOT(ISNUMBER($J320)),NOT(ISNUMBER($L320)),$L320=0),"",$J320/$L320*10000)</f>
        <v/>
      </c>
      <c r="N320" s="9">
        <f>IF(NOT(ISNUMBER($M320)),"",$M320*CARBON_FRACTION_ROOT/1000)</f>
        <v/>
      </c>
      <c r="O320" s="11">
        <f>IF(AND($A320="",$B320="",$G320=""),"",IF(AND($B320&lt;&gt;"",COUNTIFS('2. Soil Data'!$B$5:$B$604,$B320)=0),"Core ID not found in Soil Data, so the corer diameter cannot be looked up. ","")&amp;IF(ASH_CORRECTED&lt;&gt;"Yes","Root mass is NOT ash-corrected, so it includes adhering mineral soil and is too high. Set ASH_CORRECTED once you have done it. ","")&amp;IF(AND(ASH_CORRECTED="Yes",NOT(ISNUMBER($H320))),"Ash correction is switched on but no ash fraction is given for this row. ","")&amp;IF($I320="","Sieve mesh not recorded — a fine-root figure cannot be interpreted without it. ","")&amp;IF(AND(ISNUMBER($H320),$H320&gt;0.5),"Ash fraction above 0.5 — over half this sample was mineral soil. Re-wash. ","")&amp;IF($F320="Not separated","Live and dead not separated. Fine for a stock, but "&amp;"note it in reporting. ",""))</f>
        <v/>
      </c>
      <c r="P320" s="6" t="n"/>
      <c r="Q320" s="9">
        <f>IF($B320="",0,IF(COUNTIFS($B$5:$B320,$B320)=1,1,0))</f>
        <v/>
      </c>
    </row>
    <row r="321">
      <c r="A321" s="6" t="n"/>
      <c r="B321" s="6" t="n"/>
      <c r="C321" s="6" t="n"/>
      <c r="D321" s="6" t="n"/>
      <c r="E321" s="6" t="n"/>
      <c r="F321" s="6" t="n"/>
      <c r="G321" s="7" t="n"/>
      <c r="H321" s="7" t="n"/>
      <c r="I321" s="6" t="n"/>
      <c r="J321" s="9">
        <f>IF(NOT(ISNUMBER($G321)),"",IF(AND(ASH_CORRECTED="Yes",ISNUMBER($H321)),$G321*(1-$H321),$G321))</f>
        <v/>
      </c>
      <c r="K321" s="9">
        <f>IF($B321="","",IFERROR(AVERAGEIFS('2. Soil Data'!$G$5:$G$604,'2. Soil Data'!$B$5:$B$604,$B321),""))</f>
        <v/>
      </c>
      <c r="L321" s="9">
        <f>IF(NOT(ISNUMBER($K321)),"",PI()*($K321/2)^2)</f>
        <v/>
      </c>
      <c r="M321" s="9">
        <f>IF(OR(NOT(ISNUMBER($J321)),NOT(ISNUMBER($L321)),$L321=0),"",$J321/$L321*10000)</f>
        <v/>
      </c>
      <c r="N321" s="9">
        <f>IF(NOT(ISNUMBER($M321)),"",$M321*CARBON_FRACTION_ROOT/1000)</f>
        <v/>
      </c>
      <c r="O321" s="11">
        <f>IF(AND($A321="",$B321="",$G321=""),"",IF(AND($B321&lt;&gt;"",COUNTIFS('2. Soil Data'!$B$5:$B$604,$B321)=0),"Core ID not found in Soil Data, so the corer diameter cannot be looked up. ","")&amp;IF(ASH_CORRECTED&lt;&gt;"Yes","Root mass is NOT ash-corrected, so it includes adhering mineral soil and is too high. Set ASH_CORRECTED once you have done it. ","")&amp;IF(AND(ASH_CORRECTED="Yes",NOT(ISNUMBER($H321))),"Ash correction is switched on but no ash fraction is given for this row. ","")&amp;IF($I321="","Sieve mesh not recorded — a fine-root figure cannot be interpreted without it. ","")&amp;IF(AND(ISNUMBER($H321),$H321&gt;0.5),"Ash fraction above 0.5 — over half this sample was mineral soil. Re-wash. ","")&amp;IF($F321="Not separated","Live and dead not separated. Fine for a stock, but "&amp;"note it in reporting. ",""))</f>
        <v/>
      </c>
      <c r="P321" s="6" t="n"/>
      <c r="Q321" s="9">
        <f>IF($B321="",0,IF(COUNTIFS($B$5:$B321,$B321)=1,1,0))</f>
        <v/>
      </c>
    </row>
    <row r="322">
      <c r="A322" s="6" t="n"/>
      <c r="B322" s="6" t="n"/>
      <c r="C322" s="6" t="n"/>
      <c r="D322" s="6" t="n"/>
      <c r="E322" s="6" t="n"/>
      <c r="F322" s="6" t="n"/>
      <c r="G322" s="7" t="n"/>
      <c r="H322" s="7" t="n"/>
      <c r="I322" s="6" t="n"/>
      <c r="J322" s="9">
        <f>IF(NOT(ISNUMBER($G322)),"",IF(AND(ASH_CORRECTED="Yes",ISNUMBER($H322)),$G322*(1-$H322),$G322))</f>
        <v/>
      </c>
      <c r="K322" s="9">
        <f>IF($B322="","",IFERROR(AVERAGEIFS('2. Soil Data'!$G$5:$G$604,'2. Soil Data'!$B$5:$B$604,$B322),""))</f>
        <v/>
      </c>
      <c r="L322" s="9">
        <f>IF(NOT(ISNUMBER($K322)),"",PI()*($K322/2)^2)</f>
        <v/>
      </c>
      <c r="M322" s="9">
        <f>IF(OR(NOT(ISNUMBER($J322)),NOT(ISNUMBER($L322)),$L322=0),"",$J322/$L322*10000)</f>
        <v/>
      </c>
      <c r="N322" s="9">
        <f>IF(NOT(ISNUMBER($M322)),"",$M322*CARBON_FRACTION_ROOT/1000)</f>
        <v/>
      </c>
      <c r="O322" s="11">
        <f>IF(AND($A322="",$B322="",$G322=""),"",IF(AND($B322&lt;&gt;"",COUNTIFS('2. Soil Data'!$B$5:$B$604,$B322)=0),"Core ID not found in Soil Data, so the corer diameter cannot be looked up. ","")&amp;IF(ASH_CORRECTED&lt;&gt;"Yes","Root mass is NOT ash-corrected, so it includes adhering mineral soil and is too high. Set ASH_CORRECTED once you have done it. ","")&amp;IF(AND(ASH_CORRECTED="Yes",NOT(ISNUMBER($H322))),"Ash correction is switched on but no ash fraction is given for this row. ","")&amp;IF($I322="","Sieve mesh not recorded — a fine-root figure cannot be interpreted without it. ","")&amp;IF(AND(ISNUMBER($H322),$H322&gt;0.5),"Ash fraction above 0.5 — over half this sample was mineral soil. Re-wash. ","")&amp;IF($F322="Not separated","Live and dead not separated. Fine for a stock, but "&amp;"note it in reporting. ",""))</f>
        <v/>
      </c>
      <c r="P322" s="6" t="n"/>
      <c r="Q322" s="9">
        <f>IF($B322="",0,IF(COUNTIFS($B$5:$B322,$B322)=1,1,0))</f>
        <v/>
      </c>
    </row>
    <row r="323">
      <c r="A323" s="6" t="n"/>
      <c r="B323" s="6" t="n"/>
      <c r="C323" s="6" t="n"/>
      <c r="D323" s="6" t="n"/>
      <c r="E323" s="6" t="n"/>
      <c r="F323" s="6" t="n"/>
      <c r="G323" s="7" t="n"/>
      <c r="H323" s="7" t="n"/>
      <c r="I323" s="6" t="n"/>
      <c r="J323" s="9">
        <f>IF(NOT(ISNUMBER($G323)),"",IF(AND(ASH_CORRECTED="Yes",ISNUMBER($H323)),$G323*(1-$H323),$G323))</f>
        <v/>
      </c>
      <c r="K323" s="9">
        <f>IF($B323="","",IFERROR(AVERAGEIFS('2. Soil Data'!$G$5:$G$604,'2. Soil Data'!$B$5:$B$604,$B323),""))</f>
        <v/>
      </c>
      <c r="L323" s="9">
        <f>IF(NOT(ISNUMBER($K323)),"",PI()*($K323/2)^2)</f>
        <v/>
      </c>
      <c r="M323" s="9">
        <f>IF(OR(NOT(ISNUMBER($J323)),NOT(ISNUMBER($L323)),$L323=0),"",$J323/$L323*10000)</f>
        <v/>
      </c>
      <c r="N323" s="9">
        <f>IF(NOT(ISNUMBER($M323)),"",$M323*CARBON_FRACTION_ROOT/1000)</f>
        <v/>
      </c>
      <c r="O323" s="11">
        <f>IF(AND($A323="",$B323="",$G323=""),"",IF(AND($B323&lt;&gt;"",COUNTIFS('2. Soil Data'!$B$5:$B$604,$B323)=0),"Core ID not found in Soil Data, so the corer diameter cannot be looked up. ","")&amp;IF(ASH_CORRECTED&lt;&gt;"Yes","Root mass is NOT ash-corrected, so it includes adhering mineral soil and is too high. Set ASH_CORRECTED once you have done it. ","")&amp;IF(AND(ASH_CORRECTED="Yes",NOT(ISNUMBER($H323))),"Ash correction is switched on but no ash fraction is given for this row. ","")&amp;IF($I323="","Sieve mesh not recorded — a fine-root figure cannot be interpreted without it. ","")&amp;IF(AND(ISNUMBER($H323),$H323&gt;0.5),"Ash fraction above 0.5 — over half this sample was mineral soil. Re-wash. ","")&amp;IF($F323="Not separated","Live and dead not separated. Fine for a stock, but "&amp;"note it in reporting. ",""))</f>
        <v/>
      </c>
      <c r="P323" s="6" t="n"/>
      <c r="Q323" s="9">
        <f>IF($B323="",0,IF(COUNTIFS($B$5:$B323,$B323)=1,1,0))</f>
        <v/>
      </c>
    </row>
    <row r="324">
      <c r="A324" s="6" t="n"/>
      <c r="B324" s="6" t="n"/>
      <c r="C324" s="6" t="n"/>
      <c r="D324" s="6" t="n"/>
      <c r="E324" s="6" t="n"/>
      <c r="F324" s="6" t="n"/>
      <c r="G324" s="7" t="n"/>
      <c r="H324" s="7" t="n"/>
      <c r="I324" s="6" t="n"/>
      <c r="J324" s="9">
        <f>IF(NOT(ISNUMBER($G324)),"",IF(AND(ASH_CORRECTED="Yes",ISNUMBER($H324)),$G324*(1-$H324),$G324))</f>
        <v/>
      </c>
      <c r="K324" s="9">
        <f>IF($B324="","",IFERROR(AVERAGEIFS('2. Soil Data'!$G$5:$G$604,'2. Soil Data'!$B$5:$B$604,$B324),""))</f>
        <v/>
      </c>
      <c r="L324" s="9">
        <f>IF(NOT(ISNUMBER($K324)),"",PI()*($K324/2)^2)</f>
        <v/>
      </c>
      <c r="M324" s="9">
        <f>IF(OR(NOT(ISNUMBER($J324)),NOT(ISNUMBER($L324)),$L324=0),"",$J324/$L324*10000)</f>
        <v/>
      </c>
      <c r="N324" s="9">
        <f>IF(NOT(ISNUMBER($M324)),"",$M324*CARBON_FRACTION_ROOT/1000)</f>
        <v/>
      </c>
      <c r="O324" s="11">
        <f>IF(AND($A324="",$B324="",$G324=""),"",IF(AND($B324&lt;&gt;"",COUNTIFS('2. Soil Data'!$B$5:$B$604,$B324)=0),"Core ID not found in Soil Data, so the corer diameter cannot be looked up. ","")&amp;IF(ASH_CORRECTED&lt;&gt;"Yes","Root mass is NOT ash-corrected, so it includes adhering mineral soil and is too high. Set ASH_CORRECTED once you have done it. ","")&amp;IF(AND(ASH_CORRECTED="Yes",NOT(ISNUMBER($H324))),"Ash correction is switched on but no ash fraction is given for this row. ","")&amp;IF($I324="","Sieve mesh not recorded — a fine-root figure cannot be interpreted without it. ","")&amp;IF(AND(ISNUMBER($H324),$H324&gt;0.5),"Ash fraction above 0.5 — over half this sample was mineral soil. Re-wash. ","")&amp;IF($F324="Not separated","Live and dead not separated. Fine for a stock, but "&amp;"note it in reporting. ",""))</f>
        <v/>
      </c>
      <c r="P324" s="6" t="n"/>
      <c r="Q324" s="9">
        <f>IF($B324="",0,IF(COUNTIFS($B$5:$B324,$B324)=1,1,0))</f>
        <v/>
      </c>
    </row>
    <row r="325">
      <c r="A325" s="6" t="n"/>
      <c r="B325" s="6" t="n"/>
      <c r="C325" s="6" t="n"/>
      <c r="D325" s="6" t="n"/>
      <c r="E325" s="6" t="n"/>
      <c r="F325" s="6" t="n"/>
      <c r="G325" s="7" t="n"/>
      <c r="H325" s="7" t="n"/>
      <c r="I325" s="6" t="n"/>
      <c r="J325" s="9">
        <f>IF(NOT(ISNUMBER($G325)),"",IF(AND(ASH_CORRECTED="Yes",ISNUMBER($H325)),$G325*(1-$H325),$G325))</f>
        <v/>
      </c>
      <c r="K325" s="9">
        <f>IF($B325="","",IFERROR(AVERAGEIFS('2. Soil Data'!$G$5:$G$604,'2. Soil Data'!$B$5:$B$604,$B325),""))</f>
        <v/>
      </c>
      <c r="L325" s="9">
        <f>IF(NOT(ISNUMBER($K325)),"",PI()*($K325/2)^2)</f>
        <v/>
      </c>
      <c r="M325" s="9">
        <f>IF(OR(NOT(ISNUMBER($J325)),NOT(ISNUMBER($L325)),$L325=0),"",$J325/$L325*10000)</f>
        <v/>
      </c>
      <c r="N325" s="9">
        <f>IF(NOT(ISNUMBER($M325)),"",$M325*CARBON_FRACTION_ROOT/1000)</f>
        <v/>
      </c>
      <c r="O325" s="11">
        <f>IF(AND($A325="",$B325="",$G325=""),"",IF(AND($B325&lt;&gt;"",COUNTIFS('2. Soil Data'!$B$5:$B$604,$B325)=0),"Core ID not found in Soil Data, so the corer diameter cannot be looked up. ","")&amp;IF(ASH_CORRECTED&lt;&gt;"Yes","Root mass is NOT ash-corrected, so it includes adhering mineral soil and is too high. Set ASH_CORRECTED once you have done it. ","")&amp;IF(AND(ASH_CORRECTED="Yes",NOT(ISNUMBER($H325))),"Ash correction is switched on but no ash fraction is given for this row. ","")&amp;IF($I325="","Sieve mesh not recorded — a fine-root figure cannot be interpreted without it. ","")&amp;IF(AND(ISNUMBER($H325),$H325&gt;0.5),"Ash fraction above 0.5 — over half this sample was mineral soil. Re-wash. ","")&amp;IF($F325="Not separated","Live and dead not separated. Fine for a stock, but "&amp;"note it in reporting. ",""))</f>
        <v/>
      </c>
      <c r="P325" s="6" t="n"/>
      <c r="Q325" s="9">
        <f>IF($B325="",0,IF(COUNTIFS($B$5:$B325,$B325)=1,1,0))</f>
        <v/>
      </c>
    </row>
    <row r="326">
      <c r="A326" s="6" t="n"/>
      <c r="B326" s="6" t="n"/>
      <c r="C326" s="6" t="n"/>
      <c r="D326" s="6" t="n"/>
      <c r="E326" s="6" t="n"/>
      <c r="F326" s="6" t="n"/>
      <c r="G326" s="7" t="n"/>
      <c r="H326" s="7" t="n"/>
      <c r="I326" s="6" t="n"/>
      <c r="J326" s="9">
        <f>IF(NOT(ISNUMBER($G326)),"",IF(AND(ASH_CORRECTED="Yes",ISNUMBER($H326)),$G326*(1-$H326),$G326))</f>
        <v/>
      </c>
      <c r="K326" s="9">
        <f>IF($B326="","",IFERROR(AVERAGEIFS('2. Soil Data'!$G$5:$G$604,'2. Soil Data'!$B$5:$B$604,$B326),""))</f>
        <v/>
      </c>
      <c r="L326" s="9">
        <f>IF(NOT(ISNUMBER($K326)),"",PI()*($K326/2)^2)</f>
        <v/>
      </c>
      <c r="M326" s="9">
        <f>IF(OR(NOT(ISNUMBER($J326)),NOT(ISNUMBER($L326)),$L326=0),"",$J326/$L326*10000)</f>
        <v/>
      </c>
      <c r="N326" s="9">
        <f>IF(NOT(ISNUMBER($M326)),"",$M326*CARBON_FRACTION_ROOT/1000)</f>
        <v/>
      </c>
      <c r="O326" s="11">
        <f>IF(AND($A326="",$B326="",$G326=""),"",IF(AND($B326&lt;&gt;"",COUNTIFS('2. Soil Data'!$B$5:$B$604,$B326)=0),"Core ID not found in Soil Data, so the corer diameter cannot be looked up. ","")&amp;IF(ASH_CORRECTED&lt;&gt;"Yes","Root mass is NOT ash-corrected, so it includes adhering mineral soil and is too high. Set ASH_CORRECTED once you have done it. ","")&amp;IF(AND(ASH_CORRECTED="Yes",NOT(ISNUMBER($H326))),"Ash correction is switched on but no ash fraction is given for this row. ","")&amp;IF($I326="","Sieve mesh not recorded — a fine-root figure cannot be interpreted without it. ","")&amp;IF(AND(ISNUMBER($H326),$H326&gt;0.5),"Ash fraction above 0.5 — over half this sample was mineral soil. Re-wash. ","")&amp;IF($F326="Not separated","Live and dead not separated. Fine for a stock, but "&amp;"note it in reporting. ",""))</f>
        <v/>
      </c>
      <c r="P326" s="6" t="n"/>
      <c r="Q326" s="9">
        <f>IF($B326="",0,IF(COUNTIFS($B$5:$B326,$B326)=1,1,0))</f>
        <v/>
      </c>
    </row>
    <row r="327">
      <c r="A327" s="6" t="n"/>
      <c r="B327" s="6" t="n"/>
      <c r="C327" s="6" t="n"/>
      <c r="D327" s="6" t="n"/>
      <c r="E327" s="6" t="n"/>
      <c r="F327" s="6" t="n"/>
      <c r="G327" s="7" t="n"/>
      <c r="H327" s="7" t="n"/>
      <c r="I327" s="6" t="n"/>
      <c r="J327" s="9">
        <f>IF(NOT(ISNUMBER($G327)),"",IF(AND(ASH_CORRECTED="Yes",ISNUMBER($H327)),$G327*(1-$H327),$G327))</f>
        <v/>
      </c>
      <c r="K327" s="9">
        <f>IF($B327="","",IFERROR(AVERAGEIFS('2. Soil Data'!$G$5:$G$604,'2. Soil Data'!$B$5:$B$604,$B327),""))</f>
        <v/>
      </c>
      <c r="L327" s="9">
        <f>IF(NOT(ISNUMBER($K327)),"",PI()*($K327/2)^2)</f>
        <v/>
      </c>
      <c r="M327" s="9">
        <f>IF(OR(NOT(ISNUMBER($J327)),NOT(ISNUMBER($L327)),$L327=0),"",$J327/$L327*10000)</f>
        <v/>
      </c>
      <c r="N327" s="9">
        <f>IF(NOT(ISNUMBER($M327)),"",$M327*CARBON_FRACTION_ROOT/1000)</f>
        <v/>
      </c>
      <c r="O327" s="11">
        <f>IF(AND($A327="",$B327="",$G327=""),"",IF(AND($B327&lt;&gt;"",COUNTIFS('2. Soil Data'!$B$5:$B$604,$B327)=0),"Core ID not found in Soil Data, so the corer diameter cannot be looked up. ","")&amp;IF(ASH_CORRECTED&lt;&gt;"Yes","Root mass is NOT ash-corrected, so it includes adhering mineral soil and is too high. Set ASH_CORRECTED once you have done it. ","")&amp;IF(AND(ASH_CORRECTED="Yes",NOT(ISNUMBER($H327))),"Ash correction is switched on but no ash fraction is given for this row. ","")&amp;IF($I327="","Sieve mesh not recorded — a fine-root figure cannot be interpreted without it. ","")&amp;IF(AND(ISNUMBER($H327),$H327&gt;0.5),"Ash fraction above 0.5 — over half this sample was mineral soil. Re-wash. ","")&amp;IF($F327="Not separated","Live and dead not separated. Fine for a stock, but "&amp;"note it in reporting. ",""))</f>
        <v/>
      </c>
      <c r="P327" s="6" t="n"/>
      <c r="Q327" s="9">
        <f>IF($B327="",0,IF(COUNTIFS($B$5:$B327,$B327)=1,1,0))</f>
        <v/>
      </c>
    </row>
    <row r="328">
      <c r="A328" s="6" t="n"/>
      <c r="B328" s="6" t="n"/>
      <c r="C328" s="6" t="n"/>
      <c r="D328" s="6" t="n"/>
      <c r="E328" s="6" t="n"/>
      <c r="F328" s="6" t="n"/>
      <c r="G328" s="7" t="n"/>
      <c r="H328" s="7" t="n"/>
      <c r="I328" s="6" t="n"/>
      <c r="J328" s="9">
        <f>IF(NOT(ISNUMBER($G328)),"",IF(AND(ASH_CORRECTED="Yes",ISNUMBER($H328)),$G328*(1-$H328),$G328))</f>
        <v/>
      </c>
      <c r="K328" s="9">
        <f>IF($B328="","",IFERROR(AVERAGEIFS('2. Soil Data'!$G$5:$G$604,'2. Soil Data'!$B$5:$B$604,$B328),""))</f>
        <v/>
      </c>
      <c r="L328" s="9">
        <f>IF(NOT(ISNUMBER($K328)),"",PI()*($K328/2)^2)</f>
        <v/>
      </c>
      <c r="M328" s="9">
        <f>IF(OR(NOT(ISNUMBER($J328)),NOT(ISNUMBER($L328)),$L328=0),"",$J328/$L328*10000)</f>
        <v/>
      </c>
      <c r="N328" s="9">
        <f>IF(NOT(ISNUMBER($M328)),"",$M328*CARBON_FRACTION_ROOT/1000)</f>
        <v/>
      </c>
      <c r="O328" s="11">
        <f>IF(AND($A328="",$B328="",$G328=""),"",IF(AND($B328&lt;&gt;"",COUNTIFS('2. Soil Data'!$B$5:$B$604,$B328)=0),"Core ID not found in Soil Data, so the corer diameter cannot be looked up. ","")&amp;IF(ASH_CORRECTED&lt;&gt;"Yes","Root mass is NOT ash-corrected, so it includes adhering mineral soil and is too high. Set ASH_CORRECTED once you have done it. ","")&amp;IF(AND(ASH_CORRECTED="Yes",NOT(ISNUMBER($H328))),"Ash correction is switched on but no ash fraction is given for this row. ","")&amp;IF($I328="","Sieve mesh not recorded — a fine-root figure cannot be interpreted without it. ","")&amp;IF(AND(ISNUMBER($H328),$H328&gt;0.5),"Ash fraction above 0.5 — over half this sample was mineral soil. Re-wash. ","")&amp;IF($F328="Not separated","Live and dead not separated. Fine for a stock, but "&amp;"note it in reporting. ",""))</f>
        <v/>
      </c>
      <c r="P328" s="6" t="n"/>
      <c r="Q328" s="9">
        <f>IF($B328="",0,IF(COUNTIFS($B$5:$B328,$B328)=1,1,0))</f>
        <v/>
      </c>
    </row>
    <row r="329">
      <c r="A329" s="6" t="n"/>
      <c r="B329" s="6" t="n"/>
      <c r="C329" s="6" t="n"/>
      <c r="D329" s="6" t="n"/>
      <c r="E329" s="6" t="n"/>
      <c r="F329" s="6" t="n"/>
      <c r="G329" s="7" t="n"/>
      <c r="H329" s="7" t="n"/>
      <c r="I329" s="6" t="n"/>
      <c r="J329" s="9">
        <f>IF(NOT(ISNUMBER($G329)),"",IF(AND(ASH_CORRECTED="Yes",ISNUMBER($H329)),$G329*(1-$H329),$G329))</f>
        <v/>
      </c>
      <c r="K329" s="9">
        <f>IF($B329="","",IFERROR(AVERAGEIFS('2. Soil Data'!$G$5:$G$604,'2. Soil Data'!$B$5:$B$604,$B329),""))</f>
        <v/>
      </c>
      <c r="L329" s="9">
        <f>IF(NOT(ISNUMBER($K329)),"",PI()*($K329/2)^2)</f>
        <v/>
      </c>
      <c r="M329" s="9">
        <f>IF(OR(NOT(ISNUMBER($J329)),NOT(ISNUMBER($L329)),$L329=0),"",$J329/$L329*10000)</f>
        <v/>
      </c>
      <c r="N329" s="9">
        <f>IF(NOT(ISNUMBER($M329)),"",$M329*CARBON_FRACTION_ROOT/1000)</f>
        <v/>
      </c>
      <c r="O329" s="11">
        <f>IF(AND($A329="",$B329="",$G329=""),"",IF(AND($B329&lt;&gt;"",COUNTIFS('2. Soil Data'!$B$5:$B$604,$B329)=0),"Core ID not found in Soil Data, so the corer diameter cannot be looked up. ","")&amp;IF(ASH_CORRECTED&lt;&gt;"Yes","Root mass is NOT ash-corrected, so it includes adhering mineral soil and is too high. Set ASH_CORRECTED once you have done it. ","")&amp;IF(AND(ASH_CORRECTED="Yes",NOT(ISNUMBER($H329))),"Ash correction is switched on but no ash fraction is given for this row. ","")&amp;IF($I329="","Sieve mesh not recorded — a fine-root figure cannot be interpreted without it. ","")&amp;IF(AND(ISNUMBER($H329),$H329&gt;0.5),"Ash fraction above 0.5 — over half this sample was mineral soil. Re-wash. ","")&amp;IF($F329="Not separated","Live and dead not separated. Fine for a stock, but "&amp;"note it in reporting. ",""))</f>
        <v/>
      </c>
      <c r="P329" s="6" t="n"/>
      <c r="Q329" s="9">
        <f>IF($B329="",0,IF(COUNTIFS($B$5:$B329,$B329)=1,1,0))</f>
        <v/>
      </c>
    </row>
    <row r="330">
      <c r="A330" s="6" t="n"/>
      <c r="B330" s="6" t="n"/>
      <c r="C330" s="6" t="n"/>
      <c r="D330" s="6" t="n"/>
      <c r="E330" s="6" t="n"/>
      <c r="F330" s="6" t="n"/>
      <c r="G330" s="7" t="n"/>
      <c r="H330" s="7" t="n"/>
      <c r="I330" s="6" t="n"/>
      <c r="J330" s="9">
        <f>IF(NOT(ISNUMBER($G330)),"",IF(AND(ASH_CORRECTED="Yes",ISNUMBER($H330)),$G330*(1-$H330),$G330))</f>
        <v/>
      </c>
      <c r="K330" s="9">
        <f>IF($B330="","",IFERROR(AVERAGEIFS('2. Soil Data'!$G$5:$G$604,'2. Soil Data'!$B$5:$B$604,$B330),""))</f>
        <v/>
      </c>
      <c r="L330" s="9">
        <f>IF(NOT(ISNUMBER($K330)),"",PI()*($K330/2)^2)</f>
        <v/>
      </c>
      <c r="M330" s="9">
        <f>IF(OR(NOT(ISNUMBER($J330)),NOT(ISNUMBER($L330)),$L330=0),"",$J330/$L330*10000)</f>
        <v/>
      </c>
      <c r="N330" s="9">
        <f>IF(NOT(ISNUMBER($M330)),"",$M330*CARBON_FRACTION_ROOT/1000)</f>
        <v/>
      </c>
      <c r="O330" s="11">
        <f>IF(AND($A330="",$B330="",$G330=""),"",IF(AND($B330&lt;&gt;"",COUNTIFS('2. Soil Data'!$B$5:$B$604,$B330)=0),"Core ID not found in Soil Data, so the corer diameter cannot be looked up. ","")&amp;IF(ASH_CORRECTED&lt;&gt;"Yes","Root mass is NOT ash-corrected, so it includes adhering mineral soil and is too high. Set ASH_CORRECTED once you have done it. ","")&amp;IF(AND(ASH_CORRECTED="Yes",NOT(ISNUMBER($H330))),"Ash correction is switched on but no ash fraction is given for this row. ","")&amp;IF($I330="","Sieve mesh not recorded — a fine-root figure cannot be interpreted without it. ","")&amp;IF(AND(ISNUMBER($H330),$H330&gt;0.5),"Ash fraction above 0.5 — over half this sample was mineral soil. Re-wash. ","")&amp;IF($F330="Not separated","Live and dead not separated. Fine for a stock, but "&amp;"note it in reporting. ",""))</f>
        <v/>
      </c>
      <c r="P330" s="6" t="n"/>
      <c r="Q330" s="9">
        <f>IF($B330="",0,IF(COUNTIFS($B$5:$B330,$B330)=1,1,0))</f>
        <v/>
      </c>
    </row>
    <row r="331">
      <c r="A331" s="6" t="n"/>
      <c r="B331" s="6" t="n"/>
      <c r="C331" s="6" t="n"/>
      <c r="D331" s="6" t="n"/>
      <c r="E331" s="6" t="n"/>
      <c r="F331" s="6" t="n"/>
      <c r="G331" s="7" t="n"/>
      <c r="H331" s="7" t="n"/>
      <c r="I331" s="6" t="n"/>
      <c r="J331" s="9">
        <f>IF(NOT(ISNUMBER($G331)),"",IF(AND(ASH_CORRECTED="Yes",ISNUMBER($H331)),$G331*(1-$H331),$G331))</f>
        <v/>
      </c>
      <c r="K331" s="9">
        <f>IF($B331="","",IFERROR(AVERAGEIFS('2. Soil Data'!$G$5:$G$604,'2. Soil Data'!$B$5:$B$604,$B331),""))</f>
        <v/>
      </c>
      <c r="L331" s="9">
        <f>IF(NOT(ISNUMBER($K331)),"",PI()*($K331/2)^2)</f>
        <v/>
      </c>
      <c r="M331" s="9">
        <f>IF(OR(NOT(ISNUMBER($J331)),NOT(ISNUMBER($L331)),$L331=0),"",$J331/$L331*10000)</f>
        <v/>
      </c>
      <c r="N331" s="9">
        <f>IF(NOT(ISNUMBER($M331)),"",$M331*CARBON_FRACTION_ROOT/1000)</f>
        <v/>
      </c>
      <c r="O331" s="11">
        <f>IF(AND($A331="",$B331="",$G331=""),"",IF(AND($B331&lt;&gt;"",COUNTIFS('2. Soil Data'!$B$5:$B$604,$B331)=0),"Core ID not found in Soil Data, so the corer diameter cannot be looked up. ","")&amp;IF(ASH_CORRECTED&lt;&gt;"Yes","Root mass is NOT ash-corrected, so it includes adhering mineral soil and is too high. Set ASH_CORRECTED once you have done it. ","")&amp;IF(AND(ASH_CORRECTED="Yes",NOT(ISNUMBER($H331))),"Ash correction is switched on but no ash fraction is given for this row. ","")&amp;IF($I331="","Sieve mesh not recorded — a fine-root figure cannot be interpreted without it. ","")&amp;IF(AND(ISNUMBER($H331),$H331&gt;0.5),"Ash fraction above 0.5 — over half this sample was mineral soil. Re-wash. ","")&amp;IF($F331="Not separated","Live and dead not separated. Fine for a stock, but "&amp;"note it in reporting. ",""))</f>
        <v/>
      </c>
      <c r="P331" s="6" t="n"/>
      <c r="Q331" s="9">
        <f>IF($B331="",0,IF(COUNTIFS($B$5:$B331,$B331)=1,1,0))</f>
        <v/>
      </c>
    </row>
    <row r="332">
      <c r="A332" s="6" t="n"/>
      <c r="B332" s="6" t="n"/>
      <c r="C332" s="6" t="n"/>
      <c r="D332" s="6" t="n"/>
      <c r="E332" s="6" t="n"/>
      <c r="F332" s="6" t="n"/>
      <c r="G332" s="7" t="n"/>
      <c r="H332" s="7" t="n"/>
      <c r="I332" s="6" t="n"/>
      <c r="J332" s="9">
        <f>IF(NOT(ISNUMBER($G332)),"",IF(AND(ASH_CORRECTED="Yes",ISNUMBER($H332)),$G332*(1-$H332),$G332))</f>
        <v/>
      </c>
      <c r="K332" s="9">
        <f>IF($B332="","",IFERROR(AVERAGEIFS('2. Soil Data'!$G$5:$G$604,'2. Soil Data'!$B$5:$B$604,$B332),""))</f>
        <v/>
      </c>
      <c r="L332" s="9">
        <f>IF(NOT(ISNUMBER($K332)),"",PI()*($K332/2)^2)</f>
        <v/>
      </c>
      <c r="M332" s="9">
        <f>IF(OR(NOT(ISNUMBER($J332)),NOT(ISNUMBER($L332)),$L332=0),"",$J332/$L332*10000)</f>
        <v/>
      </c>
      <c r="N332" s="9">
        <f>IF(NOT(ISNUMBER($M332)),"",$M332*CARBON_FRACTION_ROOT/1000)</f>
        <v/>
      </c>
      <c r="O332" s="11">
        <f>IF(AND($A332="",$B332="",$G332=""),"",IF(AND($B332&lt;&gt;"",COUNTIFS('2. Soil Data'!$B$5:$B$604,$B332)=0),"Core ID not found in Soil Data, so the corer diameter cannot be looked up. ","")&amp;IF(ASH_CORRECTED&lt;&gt;"Yes","Root mass is NOT ash-corrected, so it includes adhering mineral soil and is too high. Set ASH_CORRECTED once you have done it. ","")&amp;IF(AND(ASH_CORRECTED="Yes",NOT(ISNUMBER($H332))),"Ash correction is switched on but no ash fraction is given for this row. ","")&amp;IF($I332="","Sieve mesh not recorded — a fine-root figure cannot be interpreted without it. ","")&amp;IF(AND(ISNUMBER($H332),$H332&gt;0.5),"Ash fraction above 0.5 — over half this sample was mineral soil. Re-wash. ","")&amp;IF($F332="Not separated","Live and dead not separated. Fine for a stock, but "&amp;"note it in reporting. ",""))</f>
        <v/>
      </c>
      <c r="P332" s="6" t="n"/>
      <c r="Q332" s="9">
        <f>IF($B332="",0,IF(COUNTIFS($B$5:$B332,$B332)=1,1,0))</f>
        <v/>
      </c>
    </row>
    <row r="333">
      <c r="A333" s="6" t="n"/>
      <c r="B333" s="6" t="n"/>
      <c r="C333" s="6" t="n"/>
      <c r="D333" s="6" t="n"/>
      <c r="E333" s="6" t="n"/>
      <c r="F333" s="6" t="n"/>
      <c r="G333" s="7" t="n"/>
      <c r="H333" s="7" t="n"/>
      <c r="I333" s="6" t="n"/>
      <c r="J333" s="9">
        <f>IF(NOT(ISNUMBER($G333)),"",IF(AND(ASH_CORRECTED="Yes",ISNUMBER($H333)),$G333*(1-$H333),$G333))</f>
        <v/>
      </c>
      <c r="K333" s="9">
        <f>IF($B333="","",IFERROR(AVERAGEIFS('2. Soil Data'!$G$5:$G$604,'2. Soil Data'!$B$5:$B$604,$B333),""))</f>
        <v/>
      </c>
      <c r="L333" s="9">
        <f>IF(NOT(ISNUMBER($K333)),"",PI()*($K333/2)^2)</f>
        <v/>
      </c>
      <c r="M333" s="9">
        <f>IF(OR(NOT(ISNUMBER($J333)),NOT(ISNUMBER($L333)),$L333=0),"",$J333/$L333*10000)</f>
        <v/>
      </c>
      <c r="N333" s="9">
        <f>IF(NOT(ISNUMBER($M333)),"",$M333*CARBON_FRACTION_ROOT/1000)</f>
        <v/>
      </c>
      <c r="O333" s="11">
        <f>IF(AND($A333="",$B333="",$G333=""),"",IF(AND($B333&lt;&gt;"",COUNTIFS('2. Soil Data'!$B$5:$B$604,$B333)=0),"Core ID not found in Soil Data, so the corer diameter cannot be looked up. ","")&amp;IF(ASH_CORRECTED&lt;&gt;"Yes","Root mass is NOT ash-corrected, so it includes adhering mineral soil and is too high. Set ASH_CORRECTED once you have done it. ","")&amp;IF(AND(ASH_CORRECTED="Yes",NOT(ISNUMBER($H333))),"Ash correction is switched on but no ash fraction is given for this row. ","")&amp;IF($I333="","Sieve mesh not recorded — a fine-root figure cannot be interpreted without it. ","")&amp;IF(AND(ISNUMBER($H333),$H333&gt;0.5),"Ash fraction above 0.5 — over half this sample was mineral soil. Re-wash. ","")&amp;IF($F333="Not separated","Live and dead not separated. Fine for a stock, but "&amp;"note it in reporting. ",""))</f>
        <v/>
      </c>
      <c r="P333" s="6" t="n"/>
      <c r="Q333" s="9">
        <f>IF($B333="",0,IF(COUNTIFS($B$5:$B333,$B333)=1,1,0))</f>
        <v/>
      </c>
    </row>
    <row r="334">
      <c r="A334" s="6" t="n"/>
      <c r="B334" s="6" t="n"/>
      <c r="C334" s="6" t="n"/>
      <c r="D334" s="6" t="n"/>
      <c r="E334" s="6" t="n"/>
      <c r="F334" s="6" t="n"/>
      <c r="G334" s="7" t="n"/>
      <c r="H334" s="7" t="n"/>
      <c r="I334" s="6" t="n"/>
      <c r="J334" s="9">
        <f>IF(NOT(ISNUMBER($G334)),"",IF(AND(ASH_CORRECTED="Yes",ISNUMBER($H334)),$G334*(1-$H334),$G334))</f>
        <v/>
      </c>
      <c r="K334" s="9">
        <f>IF($B334="","",IFERROR(AVERAGEIFS('2. Soil Data'!$G$5:$G$604,'2. Soil Data'!$B$5:$B$604,$B334),""))</f>
        <v/>
      </c>
      <c r="L334" s="9">
        <f>IF(NOT(ISNUMBER($K334)),"",PI()*($K334/2)^2)</f>
        <v/>
      </c>
      <c r="M334" s="9">
        <f>IF(OR(NOT(ISNUMBER($J334)),NOT(ISNUMBER($L334)),$L334=0),"",$J334/$L334*10000)</f>
        <v/>
      </c>
      <c r="N334" s="9">
        <f>IF(NOT(ISNUMBER($M334)),"",$M334*CARBON_FRACTION_ROOT/1000)</f>
        <v/>
      </c>
      <c r="O334" s="11">
        <f>IF(AND($A334="",$B334="",$G334=""),"",IF(AND($B334&lt;&gt;"",COUNTIFS('2. Soil Data'!$B$5:$B$604,$B334)=0),"Core ID not found in Soil Data, so the corer diameter cannot be looked up. ","")&amp;IF(ASH_CORRECTED&lt;&gt;"Yes","Root mass is NOT ash-corrected, so it includes adhering mineral soil and is too high. Set ASH_CORRECTED once you have done it. ","")&amp;IF(AND(ASH_CORRECTED="Yes",NOT(ISNUMBER($H334))),"Ash correction is switched on but no ash fraction is given for this row. ","")&amp;IF($I334="","Sieve mesh not recorded — a fine-root figure cannot be interpreted without it. ","")&amp;IF(AND(ISNUMBER($H334),$H334&gt;0.5),"Ash fraction above 0.5 — over half this sample was mineral soil. Re-wash. ","")&amp;IF($F334="Not separated","Live and dead not separated. Fine for a stock, but "&amp;"note it in reporting. ",""))</f>
        <v/>
      </c>
      <c r="P334" s="6" t="n"/>
      <c r="Q334" s="9">
        <f>IF($B334="",0,IF(COUNTIFS($B$5:$B334,$B334)=1,1,0))</f>
        <v/>
      </c>
    </row>
    <row r="335">
      <c r="A335" s="6" t="n"/>
      <c r="B335" s="6" t="n"/>
      <c r="C335" s="6" t="n"/>
      <c r="D335" s="6" t="n"/>
      <c r="E335" s="6" t="n"/>
      <c r="F335" s="6" t="n"/>
      <c r="G335" s="7" t="n"/>
      <c r="H335" s="7" t="n"/>
      <c r="I335" s="6" t="n"/>
      <c r="J335" s="9">
        <f>IF(NOT(ISNUMBER($G335)),"",IF(AND(ASH_CORRECTED="Yes",ISNUMBER($H335)),$G335*(1-$H335),$G335))</f>
        <v/>
      </c>
      <c r="K335" s="9">
        <f>IF($B335="","",IFERROR(AVERAGEIFS('2. Soil Data'!$G$5:$G$604,'2. Soil Data'!$B$5:$B$604,$B335),""))</f>
        <v/>
      </c>
      <c r="L335" s="9">
        <f>IF(NOT(ISNUMBER($K335)),"",PI()*($K335/2)^2)</f>
        <v/>
      </c>
      <c r="M335" s="9">
        <f>IF(OR(NOT(ISNUMBER($J335)),NOT(ISNUMBER($L335)),$L335=0),"",$J335/$L335*10000)</f>
        <v/>
      </c>
      <c r="N335" s="9">
        <f>IF(NOT(ISNUMBER($M335)),"",$M335*CARBON_FRACTION_ROOT/1000)</f>
        <v/>
      </c>
      <c r="O335" s="11">
        <f>IF(AND($A335="",$B335="",$G335=""),"",IF(AND($B335&lt;&gt;"",COUNTIFS('2. Soil Data'!$B$5:$B$604,$B335)=0),"Core ID not found in Soil Data, so the corer diameter cannot be looked up. ","")&amp;IF(ASH_CORRECTED&lt;&gt;"Yes","Root mass is NOT ash-corrected, so it includes adhering mineral soil and is too high. Set ASH_CORRECTED once you have done it. ","")&amp;IF(AND(ASH_CORRECTED="Yes",NOT(ISNUMBER($H335))),"Ash correction is switched on but no ash fraction is given for this row. ","")&amp;IF($I335="","Sieve mesh not recorded — a fine-root figure cannot be interpreted without it. ","")&amp;IF(AND(ISNUMBER($H335),$H335&gt;0.5),"Ash fraction above 0.5 — over half this sample was mineral soil. Re-wash. ","")&amp;IF($F335="Not separated","Live and dead not separated. Fine for a stock, but "&amp;"note it in reporting. ",""))</f>
        <v/>
      </c>
      <c r="P335" s="6" t="n"/>
      <c r="Q335" s="9">
        <f>IF($B335="",0,IF(COUNTIFS($B$5:$B335,$B335)=1,1,0))</f>
        <v/>
      </c>
    </row>
    <row r="336">
      <c r="A336" s="6" t="n"/>
      <c r="B336" s="6" t="n"/>
      <c r="C336" s="6" t="n"/>
      <c r="D336" s="6" t="n"/>
      <c r="E336" s="6" t="n"/>
      <c r="F336" s="6" t="n"/>
      <c r="G336" s="7" t="n"/>
      <c r="H336" s="7" t="n"/>
      <c r="I336" s="6" t="n"/>
      <c r="J336" s="9">
        <f>IF(NOT(ISNUMBER($G336)),"",IF(AND(ASH_CORRECTED="Yes",ISNUMBER($H336)),$G336*(1-$H336),$G336))</f>
        <v/>
      </c>
      <c r="K336" s="9">
        <f>IF($B336="","",IFERROR(AVERAGEIFS('2. Soil Data'!$G$5:$G$604,'2. Soil Data'!$B$5:$B$604,$B336),""))</f>
        <v/>
      </c>
      <c r="L336" s="9">
        <f>IF(NOT(ISNUMBER($K336)),"",PI()*($K336/2)^2)</f>
        <v/>
      </c>
      <c r="M336" s="9">
        <f>IF(OR(NOT(ISNUMBER($J336)),NOT(ISNUMBER($L336)),$L336=0),"",$J336/$L336*10000)</f>
        <v/>
      </c>
      <c r="N336" s="9">
        <f>IF(NOT(ISNUMBER($M336)),"",$M336*CARBON_FRACTION_ROOT/1000)</f>
        <v/>
      </c>
      <c r="O336" s="11">
        <f>IF(AND($A336="",$B336="",$G336=""),"",IF(AND($B336&lt;&gt;"",COUNTIFS('2. Soil Data'!$B$5:$B$604,$B336)=0),"Core ID not found in Soil Data, so the corer diameter cannot be looked up. ","")&amp;IF(ASH_CORRECTED&lt;&gt;"Yes","Root mass is NOT ash-corrected, so it includes adhering mineral soil and is too high. Set ASH_CORRECTED once you have done it. ","")&amp;IF(AND(ASH_CORRECTED="Yes",NOT(ISNUMBER($H336))),"Ash correction is switched on but no ash fraction is given for this row. ","")&amp;IF($I336="","Sieve mesh not recorded — a fine-root figure cannot be interpreted without it. ","")&amp;IF(AND(ISNUMBER($H336),$H336&gt;0.5),"Ash fraction above 0.5 — over half this sample was mineral soil. Re-wash. ","")&amp;IF($F336="Not separated","Live and dead not separated. Fine for a stock, but "&amp;"note it in reporting. ",""))</f>
        <v/>
      </c>
      <c r="P336" s="6" t="n"/>
      <c r="Q336" s="9">
        <f>IF($B336="",0,IF(COUNTIFS($B$5:$B336,$B336)=1,1,0))</f>
        <v/>
      </c>
    </row>
    <row r="337">
      <c r="A337" s="6" t="n"/>
      <c r="B337" s="6" t="n"/>
      <c r="C337" s="6" t="n"/>
      <c r="D337" s="6" t="n"/>
      <c r="E337" s="6" t="n"/>
      <c r="F337" s="6" t="n"/>
      <c r="G337" s="7" t="n"/>
      <c r="H337" s="7" t="n"/>
      <c r="I337" s="6" t="n"/>
      <c r="J337" s="9">
        <f>IF(NOT(ISNUMBER($G337)),"",IF(AND(ASH_CORRECTED="Yes",ISNUMBER($H337)),$G337*(1-$H337),$G337))</f>
        <v/>
      </c>
      <c r="K337" s="9">
        <f>IF($B337="","",IFERROR(AVERAGEIFS('2. Soil Data'!$G$5:$G$604,'2. Soil Data'!$B$5:$B$604,$B337),""))</f>
        <v/>
      </c>
      <c r="L337" s="9">
        <f>IF(NOT(ISNUMBER($K337)),"",PI()*($K337/2)^2)</f>
        <v/>
      </c>
      <c r="M337" s="9">
        <f>IF(OR(NOT(ISNUMBER($J337)),NOT(ISNUMBER($L337)),$L337=0),"",$J337/$L337*10000)</f>
        <v/>
      </c>
      <c r="N337" s="9">
        <f>IF(NOT(ISNUMBER($M337)),"",$M337*CARBON_FRACTION_ROOT/1000)</f>
        <v/>
      </c>
      <c r="O337" s="11">
        <f>IF(AND($A337="",$B337="",$G337=""),"",IF(AND($B337&lt;&gt;"",COUNTIFS('2. Soil Data'!$B$5:$B$604,$B337)=0),"Core ID not found in Soil Data, so the corer diameter cannot be looked up. ","")&amp;IF(ASH_CORRECTED&lt;&gt;"Yes","Root mass is NOT ash-corrected, so it includes adhering mineral soil and is too high. Set ASH_CORRECTED once you have done it. ","")&amp;IF(AND(ASH_CORRECTED="Yes",NOT(ISNUMBER($H337))),"Ash correction is switched on but no ash fraction is given for this row. ","")&amp;IF($I337="","Sieve mesh not recorded — a fine-root figure cannot be interpreted without it. ","")&amp;IF(AND(ISNUMBER($H337),$H337&gt;0.5),"Ash fraction above 0.5 — over half this sample was mineral soil. Re-wash. ","")&amp;IF($F337="Not separated","Live and dead not separated. Fine for a stock, but "&amp;"note it in reporting. ",""))</f>
        <v/>
      </c>
      <c r="P337" s="6" t="n"/>
      <c r="Q337" s="9">
        <f>IF($B337="",0,IF(COUNTIFS($B$5:$B337,$B337)=1,1,0))</f>
        <v/>
      </c>
    </row>
    <row r="338">
      <c r="A338" s="6" t="n"/>
      <c r="B338" s="6" t="n"/>
      <c r="C338" s="6" t="n"/>
      <c r="D338" s="6" t="n"/>
      <c r="E338" s="6" t="n"/>
      <c r="F338" s="6" t="n"/>
      <c r="G338" s="7" t="n"/>
      <c r="H338" s="7" t="n"/>
      <c r="I338" s="6" t="n"/>
      <c r="J338" s="9">
        <f>IF(NOT(ISNUMBER($G338)),"",IF(AND(ASH_CORRECTED="Yes",ISNUMBER($H338)),$G338*(1-$H338),$G338))</f>
        <v/>
      </c>
      <c r="K338" s="9">
        <f>IF($B338="","",IFERROR(AVERAGEIFS('2. Soil Data'!$G$5:$G$604,'2. Soil Data'!$B$5:$B$604,$B338),""))</f>
        <v/>
      </c>
      <c r="L338" s="9">
        <f>IF(NOT(ISNUMBER($K338)),"",PI()*($K338/2)^2)</f>
        <v/>
      </c>
      <c r="M338" s="9">
        <f>IF(OR(NOT(ISNUMBER($J338)),NOT(ISNUMBER($L338)),$L338=0),"",$J338/$L338*10000)</f>
        <v/>
      </c>
      <c r="N338" s="9">
        <f>IF(NOT(ISNUMBER($M338)),"",$M338*CARBON_FRACTION_ROOT/1000)</f>
        <v/>
      </c>
      <c r="O338" s="11">
        <f>IF(AND($A338="",$B338="",$G338=""),"",IF(AND($B338&lt;&gt;"",COUNTIFS('2. Soil Data'!$B$5:$B$604,$B338)=0),"Core ID not found in Soil Data, so the corer diameter cannot be looked up. ","")&amp;IF(ASH_CORRECTED&lt;&gt;"Yes","Root mass is NOT ash-corrected, so it includes adhering mineral soil and is too high. Set ASH_CORRECTED once you have done it. ","")&amp;IF(AND(ASH_CORRECTED="Yes",NOT(ISNUMBER($H338))),"Ash correction is switched on but no ash fraction is given for this row. ","")&amp;IF($I338="","Sieve mesh not recorded — a fine-root figure cannot be interpreted without it. ","")&amp;IF(AND(ISNUMBER($H338),$H338&gt;0.5),"Ash fraction above 0.5 — over half this sample was mineral soil. Re-wash. ","")&amp;IF($F338="Not separated","Live and dead not separated. Fine for a stock, but "&amp;"note it in reporting. ",""))</f>
        <v/>
      </c>
      <c r="P338" s="6" t="n"/>
      <c r="Q338" s="9">
        <f>IF($B338="",0,IF(COUNTIFS($B$5:$B338,$B338)=1,1,0))</f>
        <v/>
      </c>
    </row>
    <row r="339">
      <c r="A339" s="6" t="n"/>
      <c r="B339" s="6" t="n"/>
      <c r="C339" s="6" t="n"/>
      <c r="D339" s="6" t="n"/>
      <c r="E339" s="6" t="n"/>
      <c r="F339" s="6" t="n"/>
      <c r="G339" s="7" t="n"/>
      <c r="H339" s="7" t="n"/>
      <c r="I339" s="6" t="n"/>
      <c r="J339" s="9">
        <f>IF(NOT(ISNUMBER($G339)),"",IF(AND(ASH_CORRECTED="Yes",ISNUMBER($H339)),$G339*(1-$H339),$G339))</f>
        <v/>
      </c>
      <c r="K339" s="9">
        <f>IF($B339="","",IFERROR(AVERAGEIFS('2. Soil Data'!$G$5:$G$604,'2. Soil Data'!$B$5:$B$604,$B339),""))</f>
        <v/>
      </c>
      <c r="L339" s="9">
        <f>IF(NOT(ISNUMBER($K339)),"",PI()*($K339/2)^2)</f>
        <v/>
      </c>
      <c r="M339" s="9">
        <f>IF(OR(NOT(ISNUMBER($J339)),NOT(ISNUMBER($L339)),$L339=0),"",$J339/$L339*10000)</f>
        <v/>
      </c>
      <c r="N339" s="9">
        <f>IF(NOT(ISNUMBER($M339)),"",$M339*CARBON_FRACTION_ROOT/1000)</f>
        <v/>
      </c>
      <c r="O339" s="11">
        <f>IF(AND($A339="",$B339="",$G339=""),"",IF(AND($B339&lt;&gt;"",COUNTIFS('2. Soil Data'!$B$5:$B$604,$B339)=0),"Core ID not found in Soil Data, so the corer diameter cannot be looked up. ","")&amp;IF(ASH_CORRECTED&lt;&gt;"Yes","Root mass is NOT ash-corrected, so it includes adhering mineral soil and is too high. Set ASH_CORRECTED once you have done it. ","")&amp;IF(AND(ASH_CORRECTED="Yes",NOT(ISNUMBER($H339))),"Ash correction is switched on but no ash fraction is given for this row. ","")&amp;IF($I339="","Sieve mesh not recorded — a fine-root figure cannot be interpreted without it. ","")&amp;IF(AND(ISNUMBER($H339),$H339&gt;0.5),"Ash fraction above 0.5 — over half this sample was mineral soil. Re-wash. ","")&amp;IF($F339="Not separated","Live and dead not separated. Fine for a stock, but "&amp;"note it in reporting. ",""))</f>
        <v/>
      </c>
      <c r="P339" s="6" t="n"/>
      <c r="Q339" s="9">
        <f>IF($B339="",0,IF(COUNTIFS($B$5:$B339,$B339)=1,1,0))</f>
        <v/>
      </c>
    </row>
    <row r="340">
      <c r="A340" s="6" t="n"/>
      <c r="B340" s="6" t="n"/>
      <c r="C340" s="6" t="n"/>
      <c r="D340" s="6" t="n"/>
      <c r="E340" s="6" t="n"/>
      <c r="F340" s="6" t="n"/>
      <c r="G340" s="7" t="n"/>
      <c r="H340" s="7" t="n"/>
      <c r="I340" s="6" t="n"/>
      <c r="J340" s="9">
        <f>IF(NOT(ISNUMBER($G340)),"",IF(AND(ASH_CORRECTED="Yes",ISNUMBER($H340)),$G340*(1-$H340),$G340))</f>
        <v/>
      </c>
      <c r="K340" s="9">
        <f>IF($B340="","",IFERROR(AVERAGEIFS('2. Soil Data'!$G$5:$G$604,'2. Soil Data'!$B$5:$B$604,$B340),""))</f>
        <v/>
      </c>
      <c r="L340" s="9">
        <f>IF(NOT(ISNUMBER($K340)),"",PI()*($K340/2)^2)</f>
        <v/>
      </c>
      <c r="M340" s="9">
        <f>IF(OR(NOT(ISNUMBER($J340)),NOT(ISNUMBER($L340)),$L340=0),"",$J340/$L340*10000)</f>
        <v/>
      </c>
      <c r="N340" s="9">
        <f>IF(NOT(ISNUMBER($M340)),"",$M340*CARBON_FRACTION_ROOT/1000)</f>
        <v/>
      </c>
      <c r="O340" s="11">
        <f>IF(AND($A340="",$B340="",$G340=""),"",IF(AND($B340&lt;&gt;"",COUNTIFS('2. Soil Data'!$B$5:$B$604,$B340)=0),"Core ID not found in Soil Data, so the corer diameter cannot be looked up. ","")&amp;IF(ASH_CORRECTED&lt;&gt;"Yes","Root mass is NOT ash-corrected, so it includes adhering mineral soil and is too high. Set ASH_CORRECTED once you have done it. ","")&amp;IF(AND(ASH_CORRECTED="Yes",NOT(ISNUMBER($H340))),"Ash correction is switched on but no ash fraction is given for this row. ","")&amp;IF($I340="","Sieve mesh not recorded — a fine-root figure cannot be interpreted without it. ","")&amp;IF(AND(ISNUMBER($H340),$H340&gt;0.5),"Ash fraction above 0.5 — over half this sample was mineral soil. Re-wash. ","")&amp;IF($F340="Not separated","Live and dead not separated. Fine for a stock, but "&amp;"note it in reporting. ",""))</f>
        <v/>
      </c>
      <c r="P340" s="6" t="n"/>
      <c r="Q340" s="9">
        <f>IF($B340="",0,IF(COUNTIFS($B$5:$B340,$B340)=1,1,0))</f>
        <v/>
      </c>
    </row>
    <row r="341">
      <c r="A341" s="6" t="n"/>
      <c r="B341" s="6" t="n"/>
      <c r="C341" s="6" t="n"/>
      <c r="D341" s="6" t="n"/>
      <c r="E341" s="6" t="n"/>
      <c r="F341" s="6" t="n"/>
      <c r="G341" s="7" t="n"/>
      <c r="H341" s="7" t="n"/>
      <c r="I341" s="6" t="n"/>
      <c r="J341" s="9">
        <f>IF(NOT(ISNUMBER($G341)),"",IF(AND(ASH_CORRECTED="Yes",ISNUMBER($H341)),$G341*(1-$H341),$G341))</f>
        <v/>
      </c>
      <c r="K341" s="9">
        <f>IF($B341="","",IFERROR(AVERAGEIFS('2. Soil Data'!$G$5:$G$604,'2. Soil Data'!$B$5:$B$604,$B341),""))</f>
        <v/>
      </c>
      <c r="L341" s="9">
        <f>IF(NOT(ISNUMBER($K341)),"",PI()*($K341/2)^2)</f>
        <v/>
      </c>
      <c r="M341" s="9">
        <f>IF(OR(NOT(ISNUMBER($J341)),NOT(ISNUMBER($L341)),$L341=0),"",$J341/$L341*10000)</f>
        <v/>
      </c>
      <c r="N341" s="9">
        <f>IF(NOT(ISNUMBER($M341)),"",$M341*CARBON_FRACTION_ROOT/1000)</f>
        <v/>
      </c>
      <c r="O341" s="11">
        <f>IF(AND($A341="",$B341="",$G341=""),"",IF(AND($B341&lt;&gt;"",COUNTIFS('2. Soil Data'!$B$5:$B$604,$B341)=0),"Core ID not found in Soil Data, so the corer diameter cannot be looked up. ","")&amp;IF(ASH_CORRECTED&lt;&gt;"Yes","Root mass is NOT ash-corrected, so it includes adhering mineral soil and is too high. Set ASH_CORRECTED once you have done it. ","")&amp;IF(AND(ASH_CORRECTED="Yes",NOT(ISNUMBER($H341))),"Ash correction is switched on but no ash fraction is given for this row. ","")&amp;IF($I341="","Sieve mesh not recorded — a fine-root figure cannot be interpreted without it. ","")&amp;IF(AND(ISNUMBER($H341),$H341&gt;0.5),"Ash fraction above 0.5 — over half this sample was mineral soil. Re-wash. ","")&amp;IF($F341="Not separated","Live and dead not separated. Fine for a stock, but "&amp;"note it in reporting. ",""))</f>
        <v/>
      </c>
      <c r="P341" s="6" t="n"/>
      <c r="Q341" s="9">
        <f>IF($B341="",0,IF(COUNTIFS($B$5:$B341,$B341)=1,1,0))</f>
        <v/>
      </c>
    </row>
    <row r="342">
      <c r="A342" s="6" t="n"/>
      <c r="B342" s="6" t="n"/>
      <c r="C342" s="6" t="n"/>
      <c r="D342" s="6" t="n"/>
      <c r="E342" s="6" t="n"/>
      <c r="F342" s="6" t="n"/>
      <c r="G342" s="7" t="n"/>
      <c r="H342" s="7" t="n"/>
      <c r="I342" s="6" t="n"/>
      <c r="J342" s="9">
        <f>IF(NOT(ISNUMBER($G342)),"",IF(AND(ASH_CORRECTED="Yes",ISNUMBER($H342)),$G342*(1-$H342),$G342))</f>
        <v/>
      </c>
      <c r="K342" s="9">
        <f>IF($B342="","",IFERROR(AVERAGEIFS('2. Soil Data'!$G$5:$G$604,'2. Soil Data'!$B$5:$B$604,$B342),""))</f>
        <v/>
      </c>
      <c r="L342" s="9">
        <f>IF(NOT(ISNUMBER($K342)),"",PI()*($K342/2)^2)</f>
        <v/>
      </c>
      <c r="M342" s="9">
        <f>IF(OR(NOT(ISNUMBER($J342)),NOT(ISNUMBER($L342)),$L342=0),"",$J342/$L342*10000)</f>
        <v/>
      </c>
      <c r="N342" s="9">
        <f>IF(NOT(ISNUMBER($M342)),"",$M342*CARBON_FRACTION_ROOT/1000)</f>
        <v/>
      </c>
      <c r="O342" s="11">
        <f>IF(AND($A342="",$B342="",$G342=""),"",IF(AND($B342&lt;&gt;"",COUNTIFS('2. Soil Data'!$B$5:$B$604,$B342)=0),"Core ID not found in Soil Data, so the corer diameter cannot be looked up. ","")&amp;IF(ASH_CORRECTED&lt;&gt;"Yes","Root mass is NOT ash-corrected, so it includes adhering mineral soil and is too high. Set ASH_CORRECTED once you have done it. ","")&amp;IF(AND(ASH_CORRECTED="Yes",NOT(ISNUMBER($H342))),"Ash correction is switched on but no ash fraction is given for this row. ","")&amp;IF($I342="","Sieve mesh not recorded — a fine-root figure cannot be interpreted without it. ","")&amp;IF(AND(ISNUMBER($H342),$H342&gt;0.5),"Ash fraction above 0.5 — over half this sample was mineral soil. Re-wash. ","")&amp;IF($F342="Not separated","Live and dead not separated. Fine for a stock, but "&amp;"note it in reporting. ",""))</f>
        <v/>
      </c>
      <c r="P342" s="6" t="n"/>
      <c r="Q342" s="9">
        <f>IF($B342="",0,IF(COUNTIFS($B$5:$B342,$B342)=1,1,0))</f>
        <v/>
      </c>
    </row>
    <row r="343">
      <c r="A343" s="6" t="n"/>
      <c r="B343" s="6" t="n"/>
      <c r="C343" s="6" t="n"/>
      <c r="D343" s="6" t="n"/>
      <c r="E343" s="6" t="n"/>
      <c r="F343" s="6" t="n"/>
      <c r="G343" s="7" t="n"/>
      <c r="H343" s="7" t="n"/>
      <c r="I343" s="6" t="n"/>
      <c r="J343" s="9">
        <f>IF(NOT(ISNUMBER($G343)),"",IF(AND(ASH_CORRECTED="Yes",ISNUMBER($H343)),$G343*(1-$H343),$G343))</f>
        <v/>
      </c>
      <c r="K343" s="9">
        <f>IF($B343="","",IFERROR(AVERAGEIFS('2. Soil Data'!$G$5:$G$604,'2. Soil Data'!$B$5:$B$604,$B343),""))</f>
        <v/>
      </c>
      <c r="L343" s="9">
        <f>IF(NOT(ISNUMBER($K343)),"",PI()*($K343/2)^2)</f>
        <v/>
      </c>
      <c r="M343" s="9">
        <f>IF(OR(NOT(ISNUMBER($J343)),NOT(ISNUMBER($L343)),$L343=0),"",$J343/$L343*10000)</f>
        <v/>
      </c>
      <c r="N343" s="9">
        <f>IF(NOT(ISNUMBER($M343)),"",$M343*CARBON_FRACTION_ROOT/1000)</f>
        <v/>
      </c>
      <c r="O343" s="11">
        <f>IF(AND($A343="",$B343="",$G343=""),"",IF(AND($B343&lt;&gt;"",COUNTIFS('2. Soil Data'!$B$5:$B$604,$B343)=0),"Core ID not found in Soil Data, so the corer diameter cannot be looked up. ","")&amp;IF(ASH_CORRECTED&lt;&gt;"Yes","Root mass is NOT ash-corrected, so it includes adhering mineral soil and is too high. Set ASH_CORRECTED once you have done it. ","")&amp;IF(AND(ASH_CORRECTED="Yes",NOT(ISNUMBER($H343))),"Ash correction is switched on but no ash fraction is given for this row. ","")&amp;IF($I343="","Sieve mesh not recorded — a fine-root figure cannot be interpreted without it. ","")&amp;IF(AND(ISNUMBER($H343),$H343&gt;0.5),"Ash fraction above 0.5 — over half this sample was mineral soil. Re-wash. ","")&amp;IF($F343="Not separated","Live and dead not separated. Fine for a stock, but "&amp;"note it in reporting. ",""))</f>
        <v/>
      </c>
      <c r="P343" s="6" t="n"/>
      <c r="Q343" s="9">
        <f>IF($B343="",0,IF(COUNTIFS($B$5:$B343,$B343)=1,1,0))</f>
        <v/>
      </c>
    </row>
    <row r="344">
      <c r="A344" s="6" t="n"/>
      <c r="B344" s="6" t="n"/>
      <c r="C344" s="6" t="n"/>
      <c r="D344" s="6" t="n"/>
      <c r="E344" s="6" t="n"/>
      <c r="F344" s="6" t="n"/>
      <c r="G344" s="7" t="n"/>
      <c r="H344" s="7" t="n"/>
      <c r="I344" s="6" t="n"/>
      <c r="J344" s="9">
        <f>IF(NOT(ISNUMBER($G344)),"",IF(AND(ASH_CORRECTED="Yes",ISNUMBER($H344)),$G344*(1-$H344),$G344))</f>
        <v/>
      </c>
      <c r="K344" s="9">
        <f>IF($B344="","",IFERROR(AVERAGEIFS('2. Soil Data'!$G$5:$G$604,'2. Soil Data'!$B$5:$B$604,$B344),""))</f>
        <v/>
      </c>
      <c r="L344" s="9">
        <f>IF(NOT(ISNUMBER($K344)),"",PI()*($K344/2)^2)</f>
        <v/>
      </c>
      <c r="M344" s="9">
        <f>IF(OR(NOT(ISNUMBER($J344)),NOT(ISNUMBER($L344)),$L344=0),"",$J344/$L344*10000)</f>
        <v/>
      </c>
      <c r="N344" s="9">
        <f>IF(NOT(ISNUMBER($M344)),"",$M344*CARBON_FRACTION_ROOT/1000)</f>
        <v/>
      </c>
      <c r="O344" s="11">
        <f>IF(AND($A344="",$B344="",$G344=""),"",IF(AND($B344&lt;&gt;"",COUNTIFS('2. Soil Data'!$B$5:$B$604,$B344)=0),"Core ID not found in Soil Data, so the corer diameter cannot be looked up. ","")&amp;IF(ASH_CORRECTED&lt;&gt;"Yes","Root mass is NOT ash-corrected, so it includes adhering mineral soil and is too high. Set ASH_CORRECTED once you have done it. ","")&amp;IF(AND(ASH_CORRECTED="Yes",NOT(ISNUMBER($H344))),"Ash correction is switched on but no ash fraction is given for this row. ","")&amp;IF($I344="","Sieve mesh not recorded — a fine-root figure cannot be interpreted without it. ","")&amp;IF(AND(ISNUMBER($H344),$H344&gt;0.5),"Ash fraction above 0.5 — over half this sample was mineral soil. Re-wash. ","")&amp;IF($F344="Not separated","Live and dead not separated. Fine for a stock, but "&amp;"note it in reporting. ",""))</f>
        <v/>
      </c>
      <c r="P344" s="6" t="n"/>
      <c r="Q344" s="9">
        <f>IF($B344="",0,IF(COUNTIFS($B$5:$B344,$B344)=1,1,0))</f>
        <v/>
      </c>
    </row>
    <row r="345">
      <c r="A345" s="6" t="n"/>
      <c r="B345" s="6" t="n"/>
      <c r="C345" s="6" t="n"/>
      <c r="D345" s="6" t="n"/>
      <c r="E345" s="6" t="n"/>
      <c r="F345" s="6" t="n"/>
      <c r="G345" s="7" t="n"/>
      <c r="H345" s="7" t="n"/>
      <c r="I345" s="6" t="n"/>
      <c r="J345" s="9">
        <f>IF(NOT(ISNUMBER($G345)),"",IF(AND(ASH_CORRECTED="Yes",ISNUMBER($H345)),$G345*(1-$H345),$G345))</f>
        <v/>
      </c>
      <c r="K345" s="9">
        <f>IF($B345="","",IFERROR(AVERAGEIFS('2. Soil Data'!$G$5:$G$604,'2. Soil Data'!$B$5:$B$604,$B345),""))</f>
        <v/>
      </c>
      <c r="L345" s="9">
        <f>IF(NOT(ISNUMBER($K345)),"",PI()*($K345/2)^2)</f>
        <v/>
      </c>
      <c r="M345" s="9">
        <f>IF(OR(NOT(ISNUMBER($J345)),NOT(ISNUMBER($L345)),$L345=0),"",$J345/$L345*10000)</f>
        <v/>
      </c>
      <c r="N345" s="9">
        <f>IF(NOT(ISNUMBER($M345)),"",$M345*CARBON_FRACTION_ROOT/1000)</f>
        <v/>
      </c>
      <c r="O345" s="11">
        <f>IF(AND($A345="",$B345="",$G345=""),"",IF(AND($B345&lt;&gt;"",COUNTIFS('2. Soil Data'!$B$5:$B$604,$B345)=0),"Core ID not found in Soil Data, so the corer diameter cannot be looked up. ","")&amp;IF(ASH_CORRECTED&lt;&gt;"Yes","Root mass is NOT ash-corrected, so it includes adhering mineral soil and is too high. Set ASH_CORRECTED once you have done it. ","")&amp;IF(AND(ASH_CORRECTED="Yes",NOT(ISNUMBER($H345))),"Ash correction is switched on but no ash fraction is given for this row. ","")&amp;IF($I345="","Sieve mesh not recorded — a fine-root figure cannot be interpreted without it. ","")&amp;IF(AND(ISNUMBER($H345),$H345&gt;0.5),"Ash fraction above 0.5 — over half this sample was mineral soil. Re-wash. ","")&amp;IF($F345="Not separated","Live and dead not separated. Fine for a stock, but "&amp;"note it in reporting. ",""))</f>
        <v/>
      </c>
      <c r="P345" s="6" t="n"/>
      <c r="Q345" s="9">
        <f>IF($B345="",0,IF(COUNTIFS($B$5:$B345,$B345)=1,1,0))</f>
        <v/>
      </c>
    </row>
    <row r="346">
      <c r="A346" s="6" t="n"/>
      <c r="B346" s="6" t="n"/>
      <c r="C346" s="6" t="n"/>
      <c r="D346" s="6" t="n"/>
      <c r="E346" s="6" t="n"/>
      <c r="F346" s="6" t="n"/>
      <c r="G346" s="7" t="n"/>
      <c r="H346" s="7" t="n"/>
      <c r="I346" s="6" t="n"/>
      <c r="J346" s="9">
        <f>IF(NOT(ISNUMBER($G346)),"",IF(AND(ASH_CORRECTED="Yes",ISNUMBER($H346)),$G346*(1-$H346),$G346))</f>
        <v/>
      </c>
      <c r="K346" s="9">
        <f>IF($B346="","",IFERROR(AVERAGEIFS('2. Soil Data'!$G$5:$G$604,'2. Soil Data'!$B$5:$B$604,$B346),""))</f>
        <v/>
      </c>
      <c r="L346" s="9">
        <f>IF(NOT(ISNUMBER($K346)),"",PI()*($K346/2)^2)</f>
        <v/>
      </c>
      <c r="M346" s="9">
        <f>IF(OR(NOT(ISNUMBER($J346)),NOT(ISNUMBER($L346)),$L346=0),"",$J346/$L346*10000)</f>
        <v/>
      </c>
      <c r="N346" s="9">
        <f>IF(NOT(ISNUMBER($M346)),"",$M346*CARBON_FRACTION_ROOT/1000)</f>
        <v/>
      </c>
      <c r="O346" s="11">
        <f>IF(AND($A346="",$B346="",$G346=""),"",IF(AND($B346&lt;&gt;"",COUNTIFS('2. Soil Data'!$B$5:$B$604,$B346)=0),"Core ID not found in Soil Data, so the corer diameter cannot be looked up. ","")&amp;IF(ASH_CORRECTED&lt;&gt;"Yes","Root mass is NOT ash-corrected, so it includes adhering mineral soil and is too high. Set ASH_CORRECTED once you have done it. ","")&amp;IF(AND(ASH_CORRECTED="Yes",NOT(ISNUMBER($H346))),"Ash correction is switched on but no ash fraction is given for this row. ","")&amp;IF($I346="","Sieve mesh not recorded — a fine-root figure cannot be interpreted without it. ","")&amp;IF(AND(ISNUMBER($H346),$H346&gt;0.5),"Ash fraction above 0.5 — over half this sample was mineral soil. Re-wash. ","")&amp;IF($F346="Not separated","Live and dead not separated. Fine for a stock, but "&amp;"note it in reporting. ",""))</f>
        <v/>
      </c>
      <c r="P346" s="6" t="n"/>
      <c r="Q346" s="9">
        <f>IF($B346="",0,IF(COUNTIFS($B$5:$B346,$B346)=1,1,0))</f>
        <v/>
      </c>
    </row>
    <row r="347">
      <c r="A347" s="6" t="n"/>
      <c r="B347" s="6" t="n"/>
      <c r="C347" s="6" t="n"/>
      <c r="D347" s="6" t="n"/>
      <c r="E347" s="6" t="n"/>
      <c r="F347" s="6" t="n"/>
      <c r="G347" s="7" t="n"/>
      <c r="H347" s="7" t="n"/>
      <c r="I347" s="6" t="n"/>
      <c r="J347" s="9">
        <f>IF(NOT(ISNUMBER($G347)),"",IF(AND(ASH_CORRECTED="Yes",ISNUMBER($H347)),$G347*(1-$H347),$G347))</f>
        <v/>
      </c>
      <c r="K347" s="9">
        <f>IF($B347="","",IFERROR(AVERAGEIFS('2. Soil Data'!$G$5:$G$604,'2. Soil Data'!$B$5:$B$604,$B347),""))</f>
        <v/>
      </c>
      <c r="L347" s="9">
        <f>IF(NOT(ISNUMBER($K347)),"",PI()*($K347/2)^2)</f>
        <v/>
      </c>
      <c r="M347" s="9">
        <f>IF(OR(NOT(ISNUMBER($J347)),NOT(ISNUMBER($L347)),$L347=0),"",$J347/$L347*10000)</f>
        <v/>
      </c>
      <c r="N347" s="9">
        <f>IF(NOT(ISNUMBER($M347)),"",$M347*CARBON_FRACTION_ROOT/1000)</f>
        <v/>
      </c>
      <c r="O347" s="11">
        <f>IF(AND($A347="",$B347="",$G347=""),"",IF(AND($B347&lt;&gt;"",COUNTIFS('2. Soil Data'!$B$5:$B$604,$B347)=0),"Core ID not found in Soil Data, so the corer diameter cannot be looked up. ","")&amp;IF(ASH_CORRECTED&lt;&gt;"Yes","Root mass is NOT ash-corrected, so it includes adhering mineral soil and is too high. Set ASH_CORRECTED once you have done it. ","")&amp;IF(AND(ASH_CORRECTED="Yes",NOT(ISNUMBER($H347))),"Ash correction is switched on but no ash fraction is given for this row. ","")&amp;IF($I347="","Sieve mesh not recorded — a fine-root figure cannot be interpreted without it. ","")&amp;IF(AND(ISNUMBER($H347),$H347&gt;0.5),"Ash fraction above 0.5 — over half this sample was mineral soil. Re-wash. ","")&amp;IF($F347="Not separated","Live and dead not separated. Fine for a stock, but "&amp;"note it in reporting. ",""))</f>
        <v/>
      </c>
      <c r="P347" s="6" t="n"/>
      <c r="Q347" s="9">
        <f>IF($B347="",0,IF(COUNTIFS($B$5:$B347,$B347)=1,1,0))</f>
        <v/>
      </c>
    </row>
    <row r="348">
      <c r="A348" s="6" t="n"/>
      <c r="B348" s="6" t="n"/>
      <c r="C348" s="6" t="n"/>
      <c r="D348" s="6" t="n"/>
      <c r="E348" s="6" t="n"/>
      <c r="F348" s="6" t="n"/>
      <c r="G348" s="7" t="n"/>
      <c r="H348" s="7" t="n"/>
      <c r="I348" s="6" t="n"/>
      <c r="J348" s="9">
        <f>IF(NOT(ISNUMBER($G348)),"",IF(AND(ASH_CORRECTED="Yes",ISNUMBER($H348)),$G348*(1-$H348),$G348))</f>
        <v/>
      </c>
      <c r="K348" s="9">
        <f>IF($B348="","",IFERROR(AVERAGEIFS('2. Soil Data'!$G$5:$G$604,'2. Soil Data'!$B$5:$B$604,$B348),""))</f>
        <v/>
      </c>
      <c r="L348" s="9">
        <f>IF(NOT(ISNUMBER($K348)),"",PI()*($K348/2)^2)</f>
        <v/>
      </c>
      <c r="M348" s="9">
        <f>IF(OR(NOT(ISNUMBER($J348)),NOT(ISNUMBER($L348)),$L348=0),"",$J348/$L348*10000)</f>
        <v/>
      </c>
      <c r="N348" s="9">
        <f>IF(NOT(ISNUMBER($M348)),"",$M348*CARBON_FRACTION_ROOT/1000)</f>
        <v/>
      </c>
      <c r="O348" s="11">
        <f>IF(AND($A348="",$B348="",$G348=""),"",IF(AND($B348&lt;&gt;"",COUNTIFS('2. Soil Data'!$B$5:$B$604,$B348)=0),"Core ID not found in Soil Data, so the corer diameter cannot be looked up. ","")&amp;IF(ASH_CORRECTED&lt;&gt;"Yes","Root mass is NOT ash-corrected, so it includes adhering mineral soil and is too high. Set ASH_CORRECTED once you have done it. ","")&amp;IF(AND(ASH_CORRECTED="Yes",NOT(ISNUMBER($H348))),"Ash correction is switched on but no ash fraction is given for this row. ","")&amp;IF($I348="","Sieve mesh not recorded — a fine-root figure cannot be interpreted without it. ","")&amp;IF(AND(ISNUMBER($H348),$H348&gt;0.5),"Ash fraction above 0.5 — over half this sample was mineral soil. Re-wash. ","")&amp;IF($F348="Not separated","Live and dead not separated. Fine for a stock, but "&amp;"note it in reporting. ",""))</f>
        <v/>
      </c>
      <c r="P348" s="6" t="n"/>
      <c r="Q348" s="9">
        <f>IF($B348="",0,IF(COUNTIFS($B$5:$B348,$B348)=1,1,0))</f>
        <v/>
      </c>
    </row>
    <row r="349">
      <c r="A349" s="6" t="n"/>
      <c r="B349" s="6" t="n"/>
      <c r="C349" s="6" t="n"/>
      <c r="D349" s="6" t="n"/>
      <c r="E349" s="6" t="n"/>
      <c r="F349" s="6" t="n"/>
      <c r="G349" s="7" t="n"/>
      <c r="H349" s="7" t="n"/>
      <c r="I349" s="6" t="n"/>
      <c r="J349" s="9">
        <f>IF(NOT(ISNUMBER($G349)),"",IF(AND(ASH_CORRECTED="Yes",ISNUMBER($H349)),$G349*(1-$H349),$G349))</f>
        <v/>
      </c>
      <c r="K349" s="9">
        <f>IF($B349="","",IFERROR(AVERAGEIFS('2. Soil Data'!$G$5:$G$604,'2. Soil Data'!$B$5:$B$604,$B349),""))</f>
        <v/>
      </c>
      <c r="L349" s="9">
        <f>IF(NOT(ISNUMBER($K349)),"",PI()*($K349/2)^2)</f>
        <v/>
      </c>
      <c r="M349" s="9">
        <f>IF(OR(NOT(ISNUMBER($J349)),NOT(ISNUMBER($L349)),$L349=0),"",$J349/$L349*10000)</f>
        <v/>
      </c>
      <c r="N349" s="9">
        <f>IF(NOT(ISNUMBER($M349)),"",$M349*CARBON_FRACTION_ROOT/1000)</f>
        <v/>
      </c>
      <c r="O349" s="11">
        <f>IF(AND($A349="",$B349="",$G349=""),"",IF(AND($B349&lt;&gt;"",COUNTIFS('2. Soil Data'!$B$5:$B$604,$B349)=0),"Core ID not found in Soil Data, so the corer diameter cannot be looked up. ","")&amp;IF(ASH_CORRECTED&lt;&gt;"Yes","Root mass is NOT ash-corrected, so it includes adhering mineral soil and is too high. Set ASH_CORRECTED once you have done it. ","")&amp;IF(AND(ASH_CORRECTED="Yes",NOT(ISNUMBER($H349))),"Ash correction is switched on but no ash fraction is given for this row. ","")&amp;IF($I349="","Sieve mesh not recorded — a fine-root figure cannot be interpreted without it. ","")&amp;IF(AND(ISNUMBER($H349),$H349&gt;0.5),"Ash fraction above 0.5 — over half this sample was mineral soil. Re-wash. ","")&amp;IF($F349="Not separated","Live and dead not separated. Fine for a stock, but "&amp;"note it in reporting. ",""))</f>
        <v/>
      </c>
      <c r="P349" s="6" t="n"/>
      <c r="Q349" s="9">
        <f>IF($B349="",0,IF(COUNTIFS($B$5:$B349,$B349)=1,1,0))</f>
        <v/>
      </c>
    </row>
    <row r="350">
      <c r="A350" s="6" t="n"/>
      <c r="B350" s="6" t="n"/>
      <c r="C350" s="6" t="n"/>
      <c r="D350" s="6" t="n"/>
      <c r="E350" s="6" t="n"/>
      <c r="F350" s="6" t="n"/>
      <c r="G350" s="7" t="n"/>
      <c r="H350" s="7" t="n"/>
      <c r="I350" s="6" t="n"/>
      <c r="J350" s="9">
        <f>IF(NOT(ISNUMBER($G350)),"",IF(AND(ASH_CORRECTED="Yes",ISNUMBER($H350)),$G350*(1-$H350),$G350))</f>
        <v/>
      </c>
      <c r="K350" s="9">
        <f>IF($B350="","",IFERROR(AVERAGEIFS('2. Soil Data'!$G$5:$G$604,'2. Soil Data'!$B$5:$B$604,$B350),""))</f>
        <v/>
      </c>
      <c r="L350" s="9">
        <f>IF(NOT(ISNUMBER($K350)),"",PI()*($K350/2)^2)</f>
        <v/>
      </c>
      <c r="M350" s="9">
        <f>IF(OR(NOT(ISNUMBER($J350)),NOT(ISNUMBER($L350)),$L350=0),"",$J350/$L350*10000)</f>
        <v/>
      </c>
      <c r="N350" s="9">
        <f>IF(NOT(ISNUMBER($M350)),"",$M350*CARBON_FRACTION_ROOT/1000)</f>
        <v/>
      </c>
      <c r="O350" s="11">
        <f>IF(AND($A350="",$B350="",$G350=""),"",IF(AND($B350&lt;&gt;"",COUNTIFS('2. Soil Data'!$B$5:$B$604,$B350)=0),"Core ID not found in Soil Data, so the corer diameter cannot be looked up. ","")&amp;IF(ASH_CORRECTED&lt;&gt;"Yes","Root mass is NOT ash-corrected, so it includes adhering mineral soil and is too high. Set ASH_CORRECTED once you have done it. ","")&amp;IF(AND(ASH_CORRECTED="Yes",NOT(ISNUMBER($H350))),"Ash correction is switched on but no ash fraction is given for this row. ","")&amp;IF($I350="","Sieve mesh not recorded — a fine-root figure cannot be interpreted without it. ","")&amp;IF(AND(ISNUMBER($H350),$H350&gt;0.5),"Ash fraction above 0.5 — over half this sample was mineral soil. Re-wash. ","")&amp;IF($F350="Not separated","Live and dead not separated. Fine for a stock, but "&amp;"note it in reporting. ",""))</f>
        <v/>
      </c>
      <c r="P350" s="6" t="n"/>
      <c r="Q350" s="9">
        <f>IF($B350="",0,IF(COUNTIFS($B$5:$B350,$B350)=1,1,0))</f>
        <v/>
      </c>
    </row>
    <row r="351">
      <c r="A351" s="6" t="n"/>
      <c r="B351" s="6" t="n"/>
      <c r="C351" s="6" t="n"/>
      <c r="D351" s="6" t="n"/>
      <c r="E351" s="6" t="n"/>
      <c r="F351" s="6" t="n"/>
      <c r="G351" s="7" t="n"/>
      <c r="H351" s="7" t="n"/>
      <c r="I351" s="6" t="n"/>
      <c r="J351" s="9">
        <f>IF(NOT(ISNUMBER($G351)),"",IF(AND(ASH_CORRECTED="Yes",ISNUMBER($H351)),$G351*(1-$H351),$G351))</f>
        <v/>
      </c>
      <c r="K351" s="9">
        <f>IF($B351="","",IFERROR(AVERAGEIFS('2. Soil Data'!$G$5:$G$604,'2. Soil Data'!$B$5:$B$604,$B351),""))</f>
        <v/>
      </c>
      <c r="L351" s="9">
        <f>IF(NOT(ISNUMBER($K351)),"",PI()*($K351/2)^2)</f>
        <v/>
      </c>
      <c r="M351" s="9">
        <f>IF(OR(NOT(ISNUMBER($J351)),NOT(ISNUMBER($L351)),$L351=0),"",$J351/$L351*10000)</f>
        <v/>
      </c>
      <c r="N351" s="9">
        <f>IF(NOT(ISNUMBER($M351)),"",$M351*CARBON_FRACTION_ROOT/1000)</f>
        <v/>
      </c>
      <c r="O351" s="11">
        <f>IF(AND($A351="",$B351="",$G351=""),"",IF(AND($B351&lt;&gt;"",COUNTIFS('2. Soil Data'!$B$5:$B$604,$B351)=0),"Core ID not found in Soil Data, so the corer diameter cannot be looked up. ","")&amp;IF(ASH_CORRECTED&lt;&gt;"Yes","Root mass is NOT ash-corrected, so it includes adhering mineral soil and is too high. Set ASH_CORRECTED once you have done it. ","")&amp;IF(AND(ASH_CORRECTED="Yes",NOT(ISNUMBER($H351))),"Ash correction is switched on but no ash fraction is given for this row. ","")&amp;IF($I351="","Sieve mesh not recorded — a fine-root figure cannot be interpreted without it. ","")&amp;IF(AND(ISNUMBER($H351),$H351&gt;0.5),"Ash fraction above 0.5 — over half this sample was mineral soil. Re-wash. ","")&amp;IF($F351="Not separated","Live and dead not separated. Fine for a stock, but "&amp;"note it in reporting. ",""))</f>
        <v/>
      </c>
      <c r="P351" s="6" t="n"/>
      <c r="Q351" s="9">
        <f>IF($B351="",0,IF(COUNTIFS($B$5:$B351,$B351)=1,1,0))</f>
        <v/>
      </c>
    </row>
    <row r="352">
      <c r="A352" s="6" t="n"/>
      <c r="B352" s="6" t="n"/>
      <c r="C352" s="6" t="n"/>
      <c r="D352" s="6" t="n"/>
      <c r="E352" s="6" t="n"/>
      <c r="F352" s="6" t="n"/>
      <c r="G352" s="7" t="n"/>
      <c r="H352" s="7" t="n"/>
      <c r="I352" s="6" t="n"/>
      <c r="J352" s="9">
        <f>IF(NOT(ISNUMBER($G352)),"",IF(AND(ASH_CORRECTED="Yes",ISNUMBER($H352)),$G352*(1-$H352),$G352))</f>
        <v/>
      </c>
      <c r="K352" s="9">
        <f>IF($B352="","",IFERROR(AVERAGEIFS('2. Soil Data'!$G$5:$G$604,'2. Soil Data'!$B$5:$B$604,$B352),""))</f>
        <v/>
      </c>
      <c r="L352" s="9">
        <f>IF(NOT(ISNUMBER($K352)),"",PI()*($K352/2)^2)</f>
        <v/>
      </c>
      <c r="M352" s="9">
        <f>IF(OR(NOT(ISNUMBER($J352)),NOT(ISNUMBER($L352)),$L352=0),"",$J352/$L352*10000)</f>
        <v/>
      </c>
      <c r="N352" s="9">
        <f>IF(NOT(ISNUMBER($M352)),"",$M352*CARBON_FRACTION_ROOT/1000)</f>
        <v/>
      </c>
      <c r="O352" s="11">
        <f>IF(AND($A352="",$B352="",$G352=""),"",IF(AND($B352&lt;&gt;"",COUNTIFS('2. Soil Data'!$B$5:$B$604,$B352)=0),"Core ID not found in Soil Data, so the corer diameter cannot be looked up. ","")&amp;IF(ASH_CORRECTED&lt;&gt;"Yes","Root mass is NOT ash-corrected, so it includes adhering mineral soil and is too high. Set ASH_CORRECTED once you have done it. ","")&amp;IF(AND(ASH_CORRECTED="Yes",NOT(ISNUMBER($H352))),"Ash correction is switched on but no ash fraction is given for this row. ","")&amp;IF($I352="","Sieve mesh not recorded — a fine-root figure cannot be interpreted without it. ","")&amp;IF(AND(ISNUMBER($H352),$H352&gt;0.5),"Ash fraction above 0.5 — over half this sample was mineral soil. Re-wash. ","")&amp;IF($F352="Not separated","Live and dead not separated. Fine for a stock, but "&amp;"note it in reporting. ",""))</f>
        <v/>
      </c>
      <c r="P352" s="6" t="n"/>
      <c r="Q352" s="9">
        <f>IF($B352="",0,IF(COUNTIFS($B$5:$B352,$B352)=1,1,0))</f>
        <v/>
      </c>
    </row>
    <row r="353">
      <c r="A353" s="6" t="n"/>
      <c r="B353" s="6" t="n"/>
      <c r="C353" s="6" t="n"/>
      <c r="D353" s="6" t="n"/>
      <c r="E353" s="6" t="n"/>
      <c r="F353" s="6" t="n"/>
      <c r="G353" s="7" t="n"/>
      <c r="H353" s="7" t="n"/>
      <c r="I353" s="6" t="n"/>
      <c r="J353" s="9">
        <f>IF(NOT(ISNUMBER($G353)),"",IF(AND(ASH_CORRECTED="Yes",ISNUMBER($H353)),$G353*(1-$H353),$G353))</f>
        <v/>
      </c>
      <c r="K353" s="9">
        <f>IF($B353="","",IFERROR(AVERAGEIFS('2. Soil Data'!$G$5:$G$604,'2. Soil Data'!$B$5:$B$604,$B353),""))</f>
        <v/>
      </c>
      <c r="L353" s="9">
        <f>IF(NOT(ISNUMBER($K353)),"",PI()*($K353/2)^2)</f>
        <v/>
      </c>
      <c r="M353" s="9">
        <f>IF(OR(NOT(ISNUMBER($J353)),NOT(ISNUMBER($L353)),$L353=0),"",$J353/$L353*10000)</f>
        <v/>
      </c>
      <c r="N353" s="9">
        <f>IF(NOT(ISNUMBER($M353)),"",$M353*CARBON_FRACTION_ROOT/1000)</f>
        <v/>
      </c>
      <c r="O353" s="11">
        <f>IF(AND($A353="",$B353="",$G353=""),"",IF(AND($B353&lt;&gt;"",COUNTIFS('2. Soil Data'!$B$5:$B$604,$B353)=0),"Core ID not found in Soil Data, so the corer diameter cannot be looked up. ","")&amp;IF(ASH_CORRECTED&lt;&gt;"Yes","Root mass is NOT ash-corrected, so it includes adhering mineral soil and is too high. Set ASH_CORRECTED once you have done it. ","")&amp;IF(AND(ASH_CORRECTED="Yes",NOT(ISNUMBER($H353))),"Ash correction is switched on but no ash fraction is given for this row. ","")&amp;IF($I353="","Sieve mesh not recorded — a fine-root figure cannot be interpreted without it. ","")&amp;IF(AND(ISNUMBER($H353),$H353&gt;0.5),"Ash fraction above 0.5 — over half this sample was mineral soil. Re-wash. ","")&amp;IF($F353="Not separated","Live and dead not separated. Fine for a stock, but "&amp;"note it in reporting. ",""))</f>
        <v/>
      </c>
      <c r="P353" s="6" t="n"/>
      <c r="Q353" s="9">
        <f>IF($B353="",0,IF(COUNTIFS($B$5:$B353,$B353)=1,1,0))</f>
        <v/>
      </c>
    </row>
    <row r="354">
      <c r="A354" s="6" t="n"/>
      <c r="B354" s="6" t="n"/>
      <c r="C354" s="6" t="n"/>
      <c r="D354" s="6" t="n"/>
      <c r="E354" s="6" t="n"/>
      <c r="F354" s="6" t="n"/>
      <c r="G354" s="7" t="n"/>
      <c r="H354" s="7" t="n"/>
      <c r="I354" s="6" t="n"/>
      <c r="J354" s="9">
        <f>IF(NOT(ISNUMBER($G354)),"",IF(AND(ASH_CORRECTED="Yes",ISNUMBER($H354)),$G354*(1-$H354),$G354))</f>
        <v/>
      </c>
      <c r="K354" s="9">
        <f>IF($B354="","",IFERROR(AVERAGEIFS('2. Soil Data'!$G$5:$G$604,'2. Soil Data'!$B$5:$B$604,$B354),""))</f>
        <v/>
      </c>
      <c r="L354" s="9">
        <f>IF(NOT(ISNUMBER($K354)),"",PI()*($K354/2)^2)</f>
        <v/>
      </c>
      <c r="M354" s="9">
        <f>IF(OR(NOT(ISNUMBER($J354)),NOT(ISNUMBER($L354)),$L354=0),"",$J354/$L354*10000)</f>
        <v/>
      </c>
      <c r="N354" s="9">
        <f>IF(NOT(ISNUMBER($M354)),"",$M354*CARBON_FRACTION_ROOT/1000)</f>
        <v/>
      </c>
      <c r="O354" s="11">
        <f>IF(AND($A354="",$B354="",$G354=""),"",IF(AND($B354&lt;&gt;"",COUNTIFS('2. Soil Data'!$B$5:$B$604,$B354)=0),"Core ID not found in Soil Data, so the corer diameter cannot be looked up. ","")&amp;IF(ASH_CORRECTED&lt;&gt;"Yes","Root mass is NOT ash-corrected, so it includes adhering mineral soil and is too high. Set ASH_CORRECTED once you have done it. ","")&amp;IF(AND(ASH_CORRECTED="Yes",NOT(ISNUMBER($H354))),"Ash correction is switched on but no ash fraction is given for this row. ","")&amp;IF($I354="","Sieve mesh not recorded — a fine-root figure cannot be interpreted without it. ","")&amp;IF(AND(ISNUMBER($H354),$H354&gt;0.5),"Ash fraction above 0.5 — over half this sample was mineral soil. Re-wash. ","")&amp;IF($F354="Not separated","Live and dead not separated. Fine for a stock, but "&amp;"note it in reporting. ",""))</f>
        <v/>
      </c>
      <c r="P354" s="6" t="n"/>
      <c r="Q354" s="9">
        <f>IF($B354="",0,IF(COUNTIFS($B$5:$B354,$B354)=1,1,0))</f>
        <v/>
      </c>
    </row>
    <row r="355">
      <c r="A355" s="6" t="n"/>
      <c r="B355" s="6" t="n"/>
      <c r="C355" s="6" t="n"/>
      <c r="D355" s="6" t="n"/>
      <c r="E355" s="6" t="n"/>
      <c r="F355" s="6" t="n"/>
      <c r="G355" s="7" t="n"/>
      <c r="H355" s="7" t="n"/>
      <c r="I355" s="6" t="n"/>
      <c r="J355" s="9">
        <f>IF(NOT(ISNUMBER($G355)),"",IF(AND(ASH_CORRECTED="Yes",ISNUMBER($H355)),$G355*(1-$H355),$G355))</f>
        <v/>
      </c>
      <c r="K355" s="9">
        <f>IF($B355="","",IFERROR(AVERAGEIFS('2. Soil Data'!$G$5:$G$604,'2. Soil Data'!$B$5:$B$604,$B355),""))</f>
        <v/>
      </c>
      <c r="L355" s="9">
        <f>IF(NOT(ISNUMBER($K355)),"",PI()*($K355/2)^2)</f>
        <v/>
      </c>
      <c r="M355" s="9">
        <f>IF(OR(NOT(ISNUMBER($J355)),NOT(ISNUMBER($L355)),$L355=0),"",$J355/$L355*10000)</f>
        <v/>
      </c>
      <c r="N355" s="9">
        <f>IF(NOT(ISNUMBER($M355)),"",$M355*CARBON_FRACTION_ROOT/1000)</f>
        <v/>
      </c>
      <c r="O355" s="11">
        <f>IF(AND($A355="",$B355="",$G355=""),"",IF(AND($B355&lt;&gt;"",COUNTIFS('2. Soil Data'!$B$5:$B$604,$B355)=0),"Core ID not found in Soil Data, so the corer diameter cannot be looked up. ","")&amp;IF(ASH_CORRECTED&lt;&gt;"Yes","Root mass is NOT ash-corrected, so it includes adhering mineral soil and is too high. Set ASH_CORRECTED once you have done it. ","")&amp;IF(AND(ASH_CORRECTED="Yes",NOT(ISNUMBER($H355))),"Ash correction is switched on but no ash fraction is given for this row. ","")&amp;IF($I355="","Sieve mesh not recorded — a fine-root figure cannot be interpreted without it. ","")&amp;IF(AND(ISNUMBER($H355),$H355&gt;0.5),"Ash fraction above 0.5 — over half this sample was mineral soil. Re-wash. ","")&amp;IF($F355="Not separated","Live and dead not separated. Fine for a stock, but "&amp;"note it in reporting. ",""))</f>
        <v/>
      </c>
      <c r="P355" s="6" t="n"/>
      <c r="Q355" s="9">
        <f>IF($B355="",0,IF(COUNTIFS($B$5:$B355,$B355)=1,1,0))</f>
        <v/>
      </c>
    </row>
    <row r="356">
      <c r="A356" s="6" t="n"/>
      <c r="B356" s="6" t="n"/>
      <c r="C356" s="6" t="n"/>
      <c r="D356" s="6" t="n"/>
      <c r="E356" s="6" t="n"/>
      <c r="F356" s="6" t="n"/>
      <c r="G356" s="7" t="n"/>
      <c r="H356" s="7" t="n"/>
      <c r="I356" s="6" t="n"/>
      <c r="J356" s="9">
        <f>IF(NOT(ISNUMBER($G356)),"",IF(AND(ASH_CORRECTED="Yes",ISNUMBER($H356)),$G356*(1-$H356),$G356))</f>
        <v/>
      </c>
      <c r="K356" s="9">
        <f>IF($B356="","",IFERROR(AVERAGEIFS('2. Soil Data'!$G$5:$G$604,'2. Soil Data'!$B$5:$B$604,$B356),""))</f>
        <v/>
      </c>
      <c r="L356" s="9">
        <f>IF(NOT(ISNUMBER($K356)),"",PI()*($K356/2)^2)</f>
        <v/>
      </c>
      <c r="M356" s="9">
        <f>IF(OR(NOT(ISNUMBER($J356)),NOT(ISNUMBER($L356)),$L356=0),"",$J356/$L356*10000)</f>
        <v/>
      </c>
      <c r="N356" s="9">
        <f>IF(NOT(ISNUMBER($M356)),"",$M356*CARBON_FRACTION_ROOT/1000)</f>
        <v/>
      </c>
      <c r="O356" s="11">
        <f>IF(AND($A356="",$B356="",$G356=""),"",IF(AND($B356&lt;&gt;"",COUNTIFS('2. Soil Data'!$B$5:$B$604,$B356)=0),"Core ID not found in Soil Data, so the corer diameter cannot be looked up. ","")&amp;IF(ASH_CORRECTED&lt;&gt;"Yes","Root mass is NOT ash-corrected, so it includes adhering mineral soil and is too high. Set ASH_CORRECTED once you have done it. ","")&amp;IF(AND(ASH_CORRECTED="Yes",NOT(ISNUMBER($H356))),"Ash correction is switched on but no ash fraction is given for this row. ","")&amp;IF($I356="","Sieve mesh not recorded — a fine-root figure cannot be interpreted without it. ","")&amp;IF(AND(ISNUMBER($H356),$H356&gt;0.5),"Ash fraction above 0.5 — over half this sample was mineral soil. Re-wash. ","")&amp;IF($F356="Not separated","Live and dead not separated. Fine for a stock, but "&amp;"note it in reporting. ",""))</f>
        <v/>
      </c>
      <c r="P356" s="6" t="n"/>
      <c r="Q356" s="9">
        <f>IF($B356="",0,IF(COUNTIFS($B$5:$B356,$B356)=1,1,0))</f>
        <v/>
      </c>
    </row>
    <row r="357">
      <c r="A357" s="6" t="n"/>
      <c r="B357" s="6" t="n"/>
      <c r="C357" s="6" t="n"/>
      <c r="D357" s="6" t="n"/>
      <c r="E357" s="6" t="n"/>
      <c r="F357" s="6" t="n"/>
      <c r="G357" s="7" t="n"/>
      <c r="H357" s="7" t="n"/>
      <c r="I357" s="6" t="n"/>
      <c r="J357" s="9">
        <f>IF(NOT(ISNUMBER($G357)),"",IF(AND(ASH_CORRECTED="Yes",ISNUMBER($H357)),$G357*(1-$H357),$G357))</f>
        <v/>
      </c>
      <c r="K357" s="9">
        <f>IF($B357="","",IFERROR(AVERAGEIFS('2. Soil Data'!$G$5:$G$604,'2. Soil Data'!$B$5:$B$604,$B357),""))</f>
        <v/>
      </c>
      <c r="L357" s="9">
        <f>IF(NOT(ISNUMBER($K357)),"",PI()*($K357/2)^2)</f>
        <v/>
      </c>
      <c r="M357" s="9">
        <f>IF(OR(NOT(ISNUMBER($J357)),NOT(ISNUMBER($L357)),$L357=0),"",$J357/$L357*10000)</f>
        <v/>
      </c>
      <c r="N357" s="9">
        <f>IF(NOT(ISNUMBER($M357)),"",$M357*CARBON_FRACTION_ROOT/1000)</f>
        <v/>
      </c>
      <c r="O357" s="11">
        <f>IF(AND($A357="",$B357="",$G357=""),"",IF(AND($B357&lt;&gt;"",COUNTIFS('2. Soil Data'!$B$5:$B$604,$B357)=0),"Core ID not found in Soil Data, so the corer diameter cannot be looked up. ","")&amp;IF(ASH_CORRECTED&lt;&gt;"Yes","Root mass is NOT ash-corrected, so it includes adhering mineral soil and is too high. Set ASH_CORRECTED once you have done it. ","")&amp;IF(AND(ASH_CORRECTED="Yes",NOT(ISNUMBER($H357))),"Ash correction is switched on but no ash fraction is given for this row. ","")&amp;IF($I357="","Sieve mesh not recorded — a fine-root figure cannot be interpreted without it. ","")&amp;IF(AND(ISNUMBER($H357),$H357&gt;0.5),"Ash fraction above 0.5 — over half this sample was mineral soil. Re-wash. ","")&amp;IF($F357="Not separated","Live and dead not separated. Fine for a stock, but "&amp;"note it in reporting. ",""))</f>
        <v/>
      </c>
      <c r="P357" s="6" t="n"/>
      <c r="Q357" s="9">
        <f>IF($B357="",0,IF(COUNTIFS($B$5:$B357,$B357)=1,1,0))</f>
        <v/>
      </c>
    </row>
    <row r="358">
      <c r="A358" s="6" t="n"/>
      <c r="B358" s="6" t="n"/>
      <c r="C358" s="6" t="n"/>
      <c r="D358" s="6" t="n"/>
      <c r="E358" s="6" t="n"/>
      <c r="F358" s="6" t="n"/>
      <c r="G358" s="7" t="n"/>
      <c r="H358" s="7" t="n"/>
      <c r="I358" s="6" t="n"/>
      <c r="J358" s="9">
        <f>IF(NOT(ISNUMBER($G358)),"",IF(AND(ASH_CORRECTED="Yes",ISNUMBER($H358)),$G358*(1-$H358),$G358))</f>
        <v/>
      </c>
      <c r="K358" s="9">
        <f>IF($B358="","",IFERROR(AVERAGEIFS('2. Soil Data'!$G$5:$G$604,'2. Soil Data'!$B$5:$B$604,$B358),""))</f>
        <v/>
      </c>
      <c r="L358" s="9">
        <f>IF(NOT(ISNUMBER($K358)),"",PI()*($K358/2)^2)</f>
        <v/>
      </c>
      <c r="M358" s="9">
        <f>IF(OR(NOT(ISNUMBER($J358)),NOT(ISNUMBER($L358)),$L358=0),"",$J358/$L358*10000)</f>
        <v/>
      </c>
      <c r="N358" s="9">
        <f>IF(NOT(ISNUMBER($M358)),"",$M358*CARBON_FRACTION_ROOT/1000)</f>
        <v/>
      </c>
      <c r="O358" s="11">
        <f>IF(AND($A358="",$B358="",$G358=""),"",IF(AND($B358&lt;&gt;"",COUNTIFS('2. Soil Data'!$B$5:$B$604,$B358)=0),"Core ID not found in Soil Data, so the corer diameter cannot be looked up. ","")&amp;IF(ASH_CORRECTED&lt;&gt;"Yes","Root mass is NOT ash-corrected, so it includes adhering mineral soil and is too high. Set ASH_CORRECTED once you have done it. ","")&amp;IF(AND(ASH_CORRECTED="Yes",NOT(ISNUMBER($H358))),"Ash correction is switched on but no ash fraction is given for this row. ","")&amp;IF($I358="","Sieve mesh not recorded — a fine-root figure cannot be interpreted without it. ","")&amp;IF(AND(ISNUMBER($H358),$H358&gt;0.5),"Ash fraction above 0.5 — over half this sample was mineral soil. Re-wash. ","")&amp;IF($F358="Not separated","Live and dead not separated. Fine for a stock, but "&amp;"note it in reporting. ",""))</f>
        <v/>
      </c>
      <c r="P358" s="6" t="n"/>
      <c r="Q358" s="9">
        <f>IF($B358="",0,IF(COUNTIFS($B$5:$B358,$B358)=1,1,0))</f>
        <v/>
      </c>
    </row>
    <row r="359">
      <c r="A359" s="6" t="n"/>
      <c r="B359" s="6" t="n"/>
      <c r="C359" s="6" t="n"/>
      <c r="D359" s="6" t="n"/>
      <c r="E359" s="6" t="n"/>
      <c r="F359" s="6" t="n"/>
      <c r="G359" s="7" t="n"/>
      <c r="H359" s="7" t="n"/>
      <c r="I359" s="6" t="n"/>
      <c r="J359" s="9">
        <f>IF(NOT(ISNUMBER($G359)),"",IF(AND(ASH_CORRECTED="Yes",ISNUMBER($H359)),$G359*(1-$H359),$G359))</f>
        <v/>
      </c>
      <c r="K359" s="9">
        <f>IF($B359="","",IFERROR(AVERAGEIFS('2. Soil Data'!$G$5:$G$604,'2. Soil Data'!$B$5:$B$604,$B359),""))</f>
        <v/>
      </c>
      <c r="L359" s="9">
        <f>IF(NOT(ISNUMBER($K359)),"",PI()*($K359/2)^2)</f>
        <v/>
      </c>
      <c r="M359" s="9">
        <f>IF(OR(NOT(ISNUMBER($J359)),NOT(ISNUMBER($L359)),$L359=0),"",$J359/$L359*10000)</f>
        <v/>
      </c>
      <c r="N359" s="9">
        <f>IF(NOT(ISNUMBER($M359)),"",$M359*CARBON_FRACTION_ROOT/1000)</f>
        <v/>
      </c>
      <c r="O359" s="11">
        <f>IF(AND($A359="",$B359="",$G359=""),"",IF(AND($B359&lt;&gt;"",COUNTIFS('2. Soil Data'!$B$5:$B$604,$B359)=0),"Core ID not found in Soil Data, so the corer diameter cannot be looked up. ","")&amp;IF(ASH_CORRECTED&lt;&gt;"Yes","Root mass is NOT ash-corrected, so it includes adhering mineral soil and is too high. Set ASH_CORRECTED once you have done it. ","")&amp;IF(AND(ASH_CORRECTED="Yes",NOT(ISNUMBER($H359))),"Ash correction is switched on but no ash fraction is given for this row. ","")&amp;IF($I359="","Sieve mesh not recorded — a fine-root figure cannot be interpreted without it. ","")&amp;IF(AND(ISNUMBER($H359),$H359&gt;0.5),"Ash fraction above 0.5 — over half this sample was mineral soil. Re-wash. ","")&amp;IF($F359="Not separated","Live and dead not separated. Fine for a stock, but "&amp;"note it in reporting. ",""))</f>
        <v/>
      </c>
      <c r="P359" s="6" t="n"/>
      <c r="Q359" s="9">
        <f>IF($B359="",0,IF(COUNTIFS($B$5:$B359,$B359)=1,1,0))</f>
        <v/>
      </c>
    </row>
    <row r="360">
      <c r="A360" s="6" t="n"/>
      <c r="B360" s="6" t="n"/>
      <c r="C360" s="6" t="n"/>
      <c r="D360" s="6" t="n"/>
      <c r="E360" s="6" t="n"/>
      <c r="F360" s="6" t="n"/>
      <c r="G360" s="7" t="n"/>
      <c r="H360" s="7" t="n"/>
      <c r="I360" s="6" t="n"/>
      <c r="J360" s="9">
        <f>IF(NOT(ISNUMBER($G360)),"",IF(AND(ASH_CORRECTED="Yes",ISNUMBER($H360)),$G360*(1-$H360),$G360))</f>
        <v/>
      </c>
      <c r="K360" s="9">
        <f>IF($B360="","",IFERROR(AVERAGEIFS('2. Soil Data'!$G$5:$G$604,'2. Soil Data'!$B$5:$B$604,$B360),""))</f>
        <v/>
      </c>
      <c r="L360" s="9">
        <f>IF(NOT(ISNUMBER($K360)),"",PI()*($K360/2)^2)</f>
        <v/>
      </c>
      <c r="M360" s="9">
        <f>IF(OR(NOT(ISNUMBER($J360)),NOT(ISNUMBER($L360)),$L360=0),"",$J360/$L360*10000)</f>
        <v/>
      </c>
      <c r="N360" s="9">
        <f>IF(NOT(ISNUMBER($M360)),"",$M360*CARBON_FRACTION_ROOT/1000)</f>
        <v/>
      </c>
      <c r="O360" s="11">
        <f>IF(AND($A360="",$B360="",$G360=""),"",IF(AND($B360&lt;&gt;"",COUNTIFS('2. Soil Data'!$B$5:$B$604,$B360)=0),"Core ID not found in Soil Data, so the corer diameter cannot be looked up. ","")&amp;IF(ASH_CORRECTED&lt;&gt;"Yes","Root mass is NOT ash-corrected, so it includes adhering mineral soil and is too high. Set ASH_CORRECTED once you have done it. ","")&amp;IF(AND(ASH_CORRECTED="Yes",NOT(ISNUMBER($H360))),"Ash correction is switched on but no ash fraction is given for this row. ","")&amp;IF($I360="","Sieve mesh not recorded — a fine-root figure cannot be interpreted without it. ","")&amp;IF(AND(ISNUMBER($H360),$H360&gt;0.5),"Ash fraction above 0.5 — over half this sample was mineral soil. Re-wash. ","")&amp;IF($F360="Not separated","Live and dead not separated. Fine for a stock, but "&amp;"note it in reporting. ",""))</f>
        <v/>
      </c>
      <c r="P360" s="6" t="n"/>
      <c r="Q360" s="9">
        <f>IF($B360="",0,IF(COUNTIFS($B$5:$B360,$B360)=1,1,0))</f>
        <v/>
      </c>
    </row>
    <row r="361">
      <c r="A361" s="6" t="n"/>
      <c r="B361" s="6" t="n"/>
      <c r="C361" s="6" t="n"/>
      <c r="D361" s="6" t="n"/>
      <c r="E361" s="6" t="n"/>
      <c r="F361" s="6" t="n"/>
      <c r="G361" s="7" t="n"/>
      <c r="H361" s="7" t="n"/>
      <c r="I361" s="6" t="n"/>
      <c r="J361" s="9">
        <f>IF(NOT(ISNUMBER($G361)),"",IF(AND(ASH_CORRECTED="Yes",ISNUMBER($H361)),$G361*(1-$H361),$G361))</f>
        <v/>
      </c>
      <c r="K361" s="9">
        <f>IF($B361="","",IFERROR(AVERAGEIFS('2. Soil Data'!$G$5:$G$604,'2. Soil Data'!$B$5:$B$604,$B361),""))</f>
        <v/>
      </c>
      <c r="L361" s="9">
        <f>IF(NOT(ISNUMBER($K361)),"",PI()*($K361/2)^2)</f>
        <v/>
      </c>
      <c r="M361" s="9">
        <f>IF(OR(NOT(ISNUMBER($J361)),NOT(ISNUMBER($L361)),$L361=0),"",$J361/$L361*10000)</f>
        <v/>
      </c>
      <c r="N361" s="9">
        <f>IF(NOT(ISNUMBER($M361)),"",$M361*CARBON_FRACTION_ROOT/1000)</f>
        <v/>
      </c>
      <c r="O361" s="11">
        <f>IF(AND($A361="",$B361="",$G361=""),"",IF(AND($B361&lt;&gt;"",COUNTIFS('2. Soil Data'!$B$5:$B$604,$B361)=0),"Core ID not found in Soil Data, so the corer diameter cannot be looked up. ","")&amp;IF(ASH_CORRECTED&lt;&gt;"Yes","Root mass is NOT ash-corrected, so it includes adhering mineral soil and is too high. Set ASH_CORRECTED once you have done it. ","")&amp;IF(AND(ASH_CORRECTED="Yes",NOT(ISNUMBER($H361))),"Ash correction is switched on but no ash fraction is given for this row. ","")&amp;IF($I361="","Sieve mesh not recorded — a fine-root figure cannot be interpreted without it. ","")&amp;IF(AND(ISNUMBER($H361),$H361&gt;0.5),"Ash fraction above 0.5 — over half this sample was mineral soil. Re-wash. ","")&amp;IF($F361="Not separated","Live and dead not separated. Fine for a stock, but "&amp;"note it in reporting. ",""))</f>
        <v/>
      </c>
      <c r="P361" s="6" t="n"/>
      <c r="Q361" s="9">
        <f>IF($B361="",0,IF(COUNTIFS($B$5:$B361,$B361)=1,1,0))</f>
        <v/>
      </c>
    </row>
    <row r="362">
      <c r="A362" s="6" t="n"/>
      <c r="B362" s="6" t="n"/>
      <c r="C362" s="6" t="n"/>
      <c r="D362" s="6" t="n"/>
      <c r="E362" s="6" t="n"/>
      <c r="F362" s="6" t="n"/>
      <c r="G362" s="7" t="n"/>
      <c r="H362" s="7" t="n"/>
      <c r="I362" s="6" t="n"/>
      <c r="J362" s="9">
        <f>IF(NOT(ISNUMBER($G362)),"",IF(AND(ASH_CORRECTED="Yes",ISNUMBER($H362)),$G362*(1-$H362),$G362))</f>
        <v/>
      </c>
      <c r="K362" s="9">
        <f>IF($B362="","",IFERROR(AVERAGEIFS('2. Soil Data'!$G$5:$G$604,'2. Soil Data'!$B$5:$B$604,$B362),""))</f>
        <v/>
      </c>
      <c r="L362" s="9">
        <f>IF(NOT(ISNUMBER($K362)),"",PI()*($K362/2)^2)</f>
        <v/>
      </c>
      <c r="M362" s="9">
        <f>IF(OR(NOT(ISNUMBER($J362)),NOT(ISNUMBER($L362)),$L362=0),"",$J362/$L362*10000)</f>
        <v/>
      </c>
      <c r="N362" s="9">
        <f>IF(NOT(ISNUMBER($M362)),"",$M362*CARBON_FRACTION_ROOT/1000)</f>
        <v/>
      </c>
      <c r="O362" s="11">
        <f>IF(AND($A362="",$B362="",$G362=""),"",IF(AND($B362&lt;&gt;"",COUNTIFS('2. Soil Data'!$B$5:$B$604,$B362)=0),"Core ID not found in Soil Data, so the corer diameter cannot be looked up. ","")&amp;IF(ASH_CORRECTED&lt;&gt;"Yes","Root mass is NOT ash-corrected, so it includes adhering mineral soil and is too high. Set ASH_CORRECTED once you have done it. ","")&amp;IF(AND(ASH_CORRECTED="Yes",NOT(ISNUMBER($H362))),"Ash correction is switched on but no ash fraction is given for this row. ","")&amp;IF($I362="","Sieve mesh not recorded — a fine-root figure cannot be interpreted without it. ","")&amp;IF(AND(ISNUMBER($H362),$H362&gt;0.5),"Ash fraction above 0.5 — over half this sample was mineral soil. Re-wash. ","")&amp;IF($F362="Not separated","Live and dead not separated. Fine for a stock, but "&amp;"note it in reporting. ",""))</f>
        <v/>
      </c>
      <c r="P362" s="6" t="n"/>
      <c r="Q362" s="9">
        <f>IF($B362="",0,IF(COUNTIFS($B$5:$B362,$B362)=1,1,0))</f>
        <v/>
      </c>
    </row>
    <row r="363">
      <c r="A363" s="6" t="n"/>
      <c r="B363" s="6" t="n"/>
      <c r="C363" s="6" t="n"/>
      <c r="D363" s="6" t="n"/>
      <c r="E363" s="6" t="n"/>
      <c r="F363" s="6" t="n"/>
      <c r="G363" s="7" t="n"/>
      <c r="H363" s="7" t="n"/>
      <c r="I363" s="6" t="n"/>
      <c r="J363" s="9">
        <f>IF(NOT(ISNUMBER($G363)),"",IF(AND(ASH_CORRECTED="Yes",ISNUMBER($H363)),$G363*(1-$H363),$G363))</f>
        <v/>
      </c>
      <c r="K363" s="9">
        <f>IF($B363="","",IFERROR(AVERAGEIFS('2. Soil Data'!$G$5:$G$604,'2. Soil Data'!$B$5:$B$604,$B363),""))</f>
        <v/>
      </c>
      <c r="L363" s="9">
        <f>IF(NOT(ISNUMBER($K363)),"",PI()*($K363/2)^2)</f>
        <v/>
      </c>
      <c r="M363" s="9">
        <f>IF(OR(NOT(ISNUMBER($J363)),NOT(ISNUMBER($L363)),$L363=0),"",$J363/$L363*10000)</f>
        <v/>
      </c>
      <c r="N363" s="9">
        <f>IF(NOT(ISNUMBER($M363)),"",$M363*CARBON_FRACTION_ROOT/1000)</f>
        <v/>
      </c>
      <c r="O363" s="11">
        <f>IF(AND($A363="",$B363="",$G363=""),"",IF(AND($B363&lt;&gt;"",COUNTIFS('2. Soil Data'!$B$5:$B$604,$B363)=0),"Core ID not found in Soil Data, so the corer diameter cannot be looked up. ","")&amp;IF(ASH_CORRECTED&lt;&gt;"Yes","Root mass is NOT ash-corrected, so it includes adhering mineral soil and is too high. Set ASH_CORRECTED once you have done it. ","")&amp;IF(AND(ASH_CORRECTED="Yes",NOT(ISNUMBER($H363))),"Ash correction is switched on but no ash fraction is given for this row. ","")&amp;IF($I363="","Sieve mesh not recorded — a fine-root figure cannot be interpreted without it. ","")&amp;IF(AND(ISNUMBER($H363),$H363&gt;0.5),"Ash fraction above 0.5 — over half this sample was mineral soil. Re-wash. ","")&amp;IF($F363="Not separated","Live and dead not separated. Fine for a stock, but "&amp;"note it in reporting. ",""))</f>
        <v/>
      </c>
      <c r="P363" s="6" t="n"/>
      <c r="Q363" s="9">
        <f>IF($B363="",0,IF(COUNTIFS($B$5:$B363,$B363)=1,1,0))</f>
        <v/>
      </c>
    </row>
    <row r="364">
      <c r="A364" s="6" t="n"/>
      <c r="B364" s="6" t="n"/>
      <c r="C364" s="6" t="n"/>
      <c r="D364" s="6" t="n"/>
      <c r="E364" s="6" t="n"/>
      <c r="F364" s="6" t="n"/>
      <c r="G364" s="7" t="n"/>
      <c r="H364" s="7" t="n"/>
      <c r="I364" s="6" t="n"/>
      <c r="J364" s="9">
        <f>IF(NOT(ISNUMBER($G364)),"",IF(AND(ASH_CORRECTED="Yes",ISNUMBER($H364)),$G364*(1-$H364),$G364))</f>
        <v/>
      </c>
      <c r="K364" s="9">
        <f>IF($B364="","",IFERROR(AVERAGEIFS('2. Soil Data'!$G$5:$G$604,'2. Soil Data'!$B$5:$B$604,$B364),""))</f>
        <v/>
      </c>
      <c r="L364" s="9">
        <f>IF(NOT(ISNUMBER($K364)),"",PI()*($K364/2)^2)</f>
        <v/>
      </c>
      <c r="M364" s="9">
        <f>IF(OR(NOT(ISNUMBER($J364)),NOT(ISNUMBER($L364)),$L364=0),"",$J364/$L364*10000)</f>
        <v/>
      </c>
      <c r="N364" s="9">
        <f>IF(NOT(ISNUMBER($M364)),"",$M364*CARBON_FRACTION_ROOT/1000)</f>
        <v/>
      </c>
      <c r="O364" s="11">
        <f>IF(AND($A364="",$B364="",$G364=""),"",IF(AND($B364&lt;&gt;"",COUNTIFS('2. Soil Data'!$B$5:$B$604,$B364)=0),"Core ID not found in Soil Data, so the corer diameter cannot be looked up. ","")&amp;IF(ASH_CORRECTED&lt;&gt;"Yes","Root mass is NOT ash-corrected, so it includes adhering mineral soil and is too high. Set ASH_CORRECTED once you have done it. ","")&amp;IF(AND(ASH_CORRECTED="Yes",NOT(ISNUMBER($H364))),"Ash correction is switched on but no ash fraction is given for this row. ","")&amp;IF($I364="","Sieve mesh not recorded — a fine-root figure cannot be interpreted without it. ","")&amp;IF(AND(ISNUMBER($H364),$H364&gt;0.5),"Ash fraction above 0.5 — over half this sample was mineral soil. Re-wash. ","")&amp;IF($F364="Not separated","Live and dead not separated. Fine for a stock, but "&amp;"note it in reporting. ",""))</f>
        <v/>
      </c>
      <c r="P364" s="6" t="n"/>
      <c r="Q364" s="9">
        <f>IF($B364="",0,IF(COUNTIFS($B$5:$B364,$B364)=1,1,0))</f>
        <v/>
      </c>
    </row>
    <row r="365">
      <c r="A365" s="6" t="n"/>
      <c r="B365" s="6" t="n"/>
      <c r="C365" s="6" t="n"/>
      <c r="D365" s="6" t="n"/>
      <c r="E365" s="6" t="n"/>
      <c r="F365" s="6" t="n"/>
      <c r="G365" s="7" t="n"/>
      <c r="H365" s="7" t="n"/>
      <c r="I365" s="6" t="n"/>
      <c r="J365" s="9">
        <f>IF(NOT(ISNUMBER($G365)),"",IF(AND(ASH_CORRECTED="Yes",ISNUMBER($H365)),$G365*(1-$H365),$G365))</f>
        <v/>
      </c>
      <c r="K365" s="9">
        <f>IF($B365="","",IFERROR(AVERAGEIFS('2. Soil Data'!$G$5:$G$604,'2. Soil Data'!$B$5:$B$604,$B365),""))</f>
        <v/>
      </c>
      <c r="L365" s="9">
        <f>IF(NOT(ISNUMBER($K365)),"",PI()*($K365/2)^2)</f>
        <v/>
      </c>
      <c r="M365" s="9">
        <f>IF(OR(NOT(ISNUMBER($J365)),NOT(ISNUMBER($L365)),$L365=0),"",$J365/$L365*10000)</f>
        <v/>
      </c>
      <c r="N365" s="9">
        <f>IF(NOT(ISNUMBER($M365)),"",$M365*CARBON_FRACTION_ROOT/1000)</f>
        <v/>
      </c>
      <c r="O365" s="11">
        <f>IF(AND($A365="",$B365="",$G365=""),"",IF(AND($B365&lt;&gt;"",COUNTIFS('2. Soil Data'!$B$5:$B$604,$B365)=0),"Core ID not found in Soil Data, so the corer diameter cannot be looked up. ","")&amp;IF(ASH_CORRECTED&lt;&gt;"Yes","Root mass is NOT ash-corrected, so it includes adhering mineral soil and is too high. Set ASH_CORRECTED once you have done it. ","")&amp;IF(AND(ASH_CORRECTED="Yes",NOT(ISNUMBER($H365))),"Ash correction is switched on but no ash fraction is given for this row. ","")&amp;IF($I365="","Sieve mesh not recorded — a fine-root figure cannot be interpreted without it. ","")&amp;IF(AND(ISNUMBER($H365),$H365&gt;0.5),"Ash fraction above 0.5 — over half this sample was mineral soil. Re-wash. ","")&amp;IF($F365="Not separated","Live and dead not separated. Fine for a stock, but "&amp;"note it in reporting. ",""))</f>
        <v/>
      </c>
      <c r="P365" s="6" t="n"/>
      <c r="Q365" s="9">
        <f>IF($B365="",0,IF(COUNTIFS($B$5:$B365,$B365)=1,1,0))</f>
        <v/>
      </c>
    </row>
    <row r="366">
      <c r="A366" s="6" t="n"/>
      <c r="B366" s="6" t="n"/>
      <c r="C366" s="6" t="n"/>
      <c r="D366" s="6" t="n"/>
      <c r="E366" s="6" t="n"/>
      <c r="F366" s="6" t="n"/>
      <c r="G366" s="7" t="n"/>
      <c r="H366" s="7" t="n"/>
      <c r="I366" s="6" t="n"/>
      <c r="J366" s="9">
        <f>IF(NOT(ISNUMBER($G366)),"",IF(AND(ASH_CORRECTED="Yes",ISNUMBER($H366)),$G366*(1-$H366),$G366))</f>
        <v/>
      </c>
      <c r="K366" s="9">
        <f>IF($B366="","",IFERROR(AVERAGEIFS('2. Soil Data'!$G$5:$G$604,'2. Soil Data'!$B$5:$B$604,$B366),""))</f>
        <v/>
      </c>
      <c r="L366" s="9">
        <f>IF(NOT(ISNUMBER($K366)),"",PI()*($K366/2)^2)</f>
        <v/>
      </c>
      <c r="M366" s="9">
        <f>IF(OR(NOT(ISNUMBER($J366)),NOT(ISNUMBER($L366)),$L366=0),"",$J366/$L366*10000)</f>
        <v/>
      </c>
      <c r="N366" s="9">
        <f>IF(NOT(ISNUMBER($M366)),"",$M366*CARBON_FRACTION_ROOT/1000)</f>
        <v/>
      </c>
      <c r="O366" s="11">
        <f>IF(AND($A366="",$B366="",$G366=""),"",IF(AND($B366&lt;&gt;"",COUNTIFS('2. Soil Data'!$B$5:$B$604,$B366)=0),"Core ID not found in Soil Data, so the corer diameter cannot be looked up. ","")&amp;IF(ASH_CORRECTED&lt;&gt;"Yes","Root mass is NOT ash-corrected, so it includes adhering mineral soil and is too high. Set ASH_CORRECTED once you have done it. ","")&amp;IF(AND(ASH_CORRECTED="Yes",NOT(ISNUMBER($H366))),"Ash correction is switched on but no ash fraction is given for this row. ","")&amp;IF($I366="","Sieve mesh not recorded — a fine-root figure cannot be interpreted without it. ","")&amp;IF(AND(ISNUMBER($H366),$H366&gt;0.5),"Ash fraction above 0.5 — over half this sample was mineral soil. Re-wash. ","")&amp;IF($F366="Not separated","Live and dead not separated. Fine for a stock, but "&amp;"note it in reporting. ",""))</f>
        <v/>
      </c>
      <c r="P366" s="6" t="n"/>
      <c r="Q366" s="9">
        <f>IF($B366="",0,IF(COUNTIFS($B$5:$B366,$B366)=1,1,0))</f>
        <v/>
      </c>
    </row>
    <row r="367">
      <c r="A367" s="6" t="n"/>
      <c r="B367" s="6" t="n"/>
      <c r="C367" s="6" t="n"/>
      <c r="D367" s="6" t="n"/>
      <c r="E367" s="6" t="n"/>
      <c r="F367" s="6" t="n"/>
      <c r="G367" s="7" t="n"/>
      <c r="H367" s="7" t="n"/>
      <c r="I367" s="6" t="n"/>
      <c r="J367" s="9">
        <f>IF(NOT(ISNUMBER($G367)),"",IF(AND(ASH_CORRECTED="Yes",ISNUMBER($H367)),$G367*(1-$H367),$G367))</f>
        <v/>
      </c>
      <c r="K367" s="9">
        <f>IF($B367="","",IFERROR(AVERAGEIFS('2. Soil Data'!$G$5:$G$604,'2. Soil Data'!$B$5:$B$604,$B367),""))</f>
        <v/>
      </c>
      <c r="L367" s="9">
        <f>IF(NOT(ISNUMBER($K367)),"",PI()*($K367/2)^2)</f>
        <v/>
      </c>
      <c r="M367" s="9">
        <f>IF(OR(NOT(ISNUMBER($J367)),NOT(ISNUMBER($L367)),$L367=0),"",$J367/$L367*10000)</f>
        <v/>
      </c>
      <c r="N367" s="9">
        <f>IF(NOT(ISNUMBER($M367)),"",$M367*CARBON_FRACTION_ROOT/1000)</f>
        <v/>
      </c>
      <c r="O367" s="11">
        <f>IF(AND($A367="",$B367="",$G367=""),"",IF(AND($B367&lt;&gt;"",COUNTIFS('2. Soil Data'!$B$5:$B$604,$B367)=0),"Core ID not found in Soil Data, so the corer diameter cannot be looked up. ","")&amp;IF(ASH_CORRECTED&lt;&gt;"Yes","Root mass is NOT ash-corrected, so it includes adhering mineral soil and is too high. Set ASH_CORRECTED once you have done it. ","")&amp;IF(AND(ASH_CORRECTED="Yes",NOT(ISNUMBER($H367))),"Ash correction is switched on but no ash fraction is given for this row. ","")&amp;IF($I367="","Sieve mesh not recorded — a fine-root figure cannot be interpreted without it. ","")&amp;IF(AND(ISNUMBER($H367),$H367&gt;0.5),"Ash fraction above 0.5 — over half this sample was mineral soil. Re-wash. ","")&amp;IF($F367="Not separated","Live and dead not separated. Fine for a stock, but "&amp;"note it in reporting. ",""))</f>
        <v/>
      </c>
      <c r="P367" s="6" t="n"/>
      <c r="Q367" s="9">
        <f>IF($B367="",0,IF(COUNTIFS($B$5:$B367,$B367)=1,1,0))</f>
        <v/>
      </c>
    </row>
    <row r="368">
      <c r="A368" s="6" t="n"/>
      <c r="B368" s="6" t="n"/>
      <c r="C368" s="6" t="n"/>
      <c r="D368" s="6" t="n"/>
      <c r="E368" s="6" t="n"/>
      <c r="F368" s="6" t="n"/>
      <c r="G368" s="7" t="n"/>
      <c r="H368" s="7" t="n"/>
      <c r="I368" s="6" t="n"/>
      <c r="J368" s="9">
        <f>IF(NOT(ISNUMBER($G368)),"",IF(AND(ASH_CORRECTED="Yes",ISNUMBER($H368)),$G368*(1-$H368),$G368))</f>
        <v/>
      </c>
      <c r="K368" s="9">
        <f>IF($B368="","",IFERROR(AVERAGEIFS('2. Soil Data'!$G$5:$G$604,'2. Soil Data'!$B$5:$B$604,$B368),""))</f>
        <v/>
      </c>
      <c r="L368" s="9">
        <f>IF(NOT(ISNUMBER($K368)),"",PI()*($K368/2)^2)</f>
        <v/>
      </c>
      <c r="M368" s="9">
        <f>IF(OR(NOT(ISNUMBER($J368)),NOT(ISNUMBER($L368)),$L368=0),"",$J368/$L368*10000)</f>
        <v/>
      </c>
      <c r="N368" s="9">
        <f>IF(NOT(ISNUMBER($M368)),"",$M368*CARBON_FRACTION_ROOT/1000)</f>
        <v/>
      </c>
      <c r="O368" s="11">
        <f>IF(AND($A368="",$B368="",$G368=""),"",IF(AND($B368&lt;&gt;"",COUNTIFS('2. Soil Data'!$B$5:$B$604,$B368)=0),"Core ID not found in Soil Data, so the corer diameter cannot be looked up. ","")&amp;IF(ASH_CORRECTED&lt;&gt;"Yes","Root mass is NOT ash-corrected, so it includes adhering mineral soil and is too high. Set ASH_CORRECTED once you have done it. ","")&amp;IF(AND(ASH_CORRECTED="Yes",NOT(ISNUMBER($H368))),"Ash correction is switched on but no ash fraction is given for this row. ","")&amp;IF($I368="","Sieve mesh not recorded — a fine-root figure cannot be interpreted without it. ","")&amp;IF(AND(ISNUMBER($H368),$H368&gt;0.5),"Ash fraction above 0.5 — over half this sample was mineral soil. Re-wash. ","")&amp;IF($F368="Not separated","Live and dead not separated. Fine for a stock, but "&amp;"note it in reporting. ",""))</f>
        <v/>
      </c>
      <c r="P368" s="6" t="n"/>
      <c r="Q368" s="9">
        <f>IF($B368="",0,IF(COUNTIFS($B$5:$B368,$B368)=1,1,0))</f>
        <v/>
      </c>
    </row>
    <row r="369">
      <c r="A369" s="6" t="n"/>
      <c r="B369" s="6" t="n"/>
      <c r="C369" s="6" t="n"/>
      <c r="D369" s="6" t="n"/>
      <c r="E369" s="6" t="n"/>
      <c r="F369" s="6" t="n"/>
      <c r="G369" s="7" t="n"/>
      <c r="H369" s="7" t="n"/>
      <c r="I369" s="6" t="n"/>
      <c r="J369" s="9">
        <f>IF(NOT(ISNUMBER($G369)),"",IF(AND(ASH_CORRECTED="Yes",ISNUMBER($H369)),$G369*(1-$H369),$G369))</f>
        <v/>
      </c>
      <c r="K369" s="9">
        <f>IF($B369="","",IFERROR(AVERAGEIFS('2. Soil Data'!$G$5:$G$604,'2. Soil Data'!$B$5:$B$604,$B369),""))</f>
        <v/>
      </c>
      <c r="L369" s="9">
        <f>IF(NOT(ISNUMBER($K369)),"",PI()*($K369/2)^2)</f>
        <v/>
      </c>
      <c r="M369" s="9">
        <f>IF(OR(NOT(ISNUMBER($J369)),NOT(ISNUMBER($L369)),$L369=0),"",$J369/$L369*10000)</f>
        <v/>
      </c>
      <c r="N369" s="9">
        <f>IF(NOT(ISNUMBER($M369)),"",$M369*CARBON_FRACTION_ROOT/1000)</f>
        <v/>
      </c>
      <c r="O369" s="11">
        <f>IF(AND($A369="",$B369="",$G369=""),"",IF(AND($B369&lt;&gt;"",COUNTIFS('2. Soil Data'!$B$5:$B$604,$B369)=0),"Core ID not found in Soil Data, so the corer diameter cannot be looked up. ","")&amp;IF(ASH_CORRECTED&lt;&gt;"Yes","Root mass is NOT ash-corrected, so it includes adhering mineral soil and is too high. Set ASH_CORRECTED once you have done it. ","")&amp;IF(AND(ASH_CORRECTED="Yes",NOT(ISNUMBER($H369))),"Ash correction is switched on but no ash fraction is given for this row. ","")&amp;IF($I369="","Sieve mesh not recorded — a fine-root figure cannot be interpreted without it. ","")&amp;IF(AND(ISNUMBER($H369),$H369&gt;0.5),"Ash fraction above 0.5 — over half this sample was mineral soil. Re-wash. ","")&amp;IF($F369="Not separated","Live and dead not separated. Fine for a stock, but "&amp;"note it in reporting. ",""))</f>
        <v/>
      </c>
      <c r="P369" s="6" t="n"/>
      <c r="Q369" s="9">
        <f>IF($B369="",0,IF(COUNTIFS($B$5:$B369,$B369)=1,1,0))</f>
        <v/>
      </c>
    </row>
    <row r="370">
      <c r="A370" s="6" t="n"/>
      <c r="B370" s="6" t="n"/>
      <c r="C370" s="6" t="n"/>
      <c r="D370" s="6" t="n"/>
      <c r="E370" s="6" t="n"/>
      <c r="F370" s="6" t="n"/>
      <c r="G370" s="7" t="n"/>
      <c r="H370" s="7" t="n"/>
      <c r="I370" s="6" t="n"/>
      <c r="J370" s="9">
        <f>IF(NOT(ISNUMBER($G370)),"",IF(AND(ASH_CORRECTED="Yes",ISNUMBER($H370)),$G370*(1-$H370),$G370))</f>
        <v/>
      </c>
      <c r="K370" s="9">
        <f>IF($B370="","",IFERROR(AVERAGEIFS('2. Soil Data'!$G$5:$G$604,'2. Soil Data'!$B$5:$B$604,$B370),""))</f>
        <v/>
      </c>
      <c r="L370" s="9">
        <f>IF(NOT(ISNUMBER($K370)),"",PI()*($K370/2)^2)</f>
        <v/>
      </c>
      <c r="M370" s="9">
        <f>IF(OR(NOT(ISNUMBER($J370)),NOT(ISNUMBER($L370)),$L370=0),"",$J370/$L370*10000)</f>
        <v/>
      </c>
      <c r="N370" s="9">
        <f>IF(NOT(ISNUMBER($M370)),"",$M370*CARBON_FRACTION_ROOT/1000)</f>
        <v/>
      </c>
      <c r="O370" s="11">
        <f>IF(AND($A370="",$B370="",$G370=""),"",IF(AND($B370&lt;&gt;"",COUNTIFS('2. Soil Data'!$B$5:$B$604,$B370)=0),"Core ID not found in Soil Data, so the corer diameter cannot be looked up. ","")&amp;IF(ASH_CORRECTED&lt;&gt;"Yes","Root mass is NOT ash-corrected, so it includes adhering mineral soil and is too high. Set ASH_CORRECTED once you have done it. ","")&amp;IF(AND(ASH_CORRECTED="Yes",NOT(ISNUMBER($H370))),"Ash correction is switched on but no ash fraction is given for this row. ","")&amp;IF($I370="","Sieve mesh not recorded — a fine-root figure cannot be interpreted without it. ","")&amp;IF(AND(ISNUMBER($H370),$H370&gt;0.5),"Ash fraction above 0.5 — over half this sample was mineral soil. Re-wash. ","")&amp;IF($F370="Not separated","Live and dead not separated. Fine for a stock, but "&amp;"note it in reporting. ",""))</f>
        <v/>
      </c>
      <c r="P370" s="6" t="n"/>
      <c r="Q370" s="9">
        <f>IF($B370="",0,IF(COUNTIFS($B$5:$B370,$B370)=1,1,0))</f>
        <v/>
      </c>
    </row>
    <row r="371">
      <c r="A371" s="6" t="n"/>
      <c r="B371" s="6" t="n"/>
      <c r="C371" s="6" t="n"/>
      <c r="D371" s="6" t="n"/>
      <c r="E371" s="6" t="n"/>
      <c r="F371" s="6" t="n"/>
      <c r="G371" s="7" t="n"/>
      <c r="H371" s="7" t="n"/>
      <c r="I371" s="6" t="n"/>
      <c r="J371" s="9">
        <f>IF(NOT(ISNUMBER($G371)),"",IF(AND(ASH_CORRECTED="Yes",ISNUMBER($H371)),$G371*(1-$H371),$G371))</f>
        <v/>
      </c>
      <c r="K371" s="9">
        <f>IF($B371="","",IFERROR(AVERAGEIFS('2. Soil Data'!$G$5:$G$604,'2. Soil Data'!$B$5:$B$604,$B371),""))</f>
        <v/>
      </c>
      <c r="L371" s="9">
        <f>IF(NOT(ISNUMBER($K371)),"",PI()*($K371/2)^2)</f>
        <v/>
      </c>
      <c r="M371" s="9">
        <f>IF(OR(NOT(ISNUMBER($J371)),NOT(ISNUMBER($L371)),$L371=0),"",$J371/$L371*10000)</f>
        <v/>
      </c>
      <c r="N371" s="9">
        <f>IF(NOT(ISNUMBER($M371)),"",$M371*CARBON_FRACTION_ROOT/1000)</f>
        <v/>
      </c>
      <c r="O371" s="11">
        <f>IF(AND($A371="",$B371="",$G371=""),"",IF(AND($B371&lt;&gt;"",COUNTIFS('2. Soil Data'!$B$5:$B$604,$B371)=0),"Core ID not found in Soil Data, so the corer diameter cannot be looked up. ","")&amp;IF(ASH_CORRECTED&lt;&gt;"Yes","Root mass is NOT ash-corrected, so it includes adhering mineral soil and is too high. Set ASH_CORRECTED once you have done it. ","")&amp;IF(AND(ASH_CORRECTED="Yes",NOT(ISNUMBER($H371))),"Ash correction is switched on but no ash fraction is given for this row. ","")&amp;IF($I371="","Sieve mesh not recorded — a fine-root figure cannot be interpreted without it. ","")&amp;IF(AND(ISNUMBER($H371),$H371&gt;0.5),"Ash fraction above 0.5 — over half this sample was mineral soil. Re-wash. ","")&amp;IF($F371="Not separated","Live and dead not separated. Fine for a stock, but "&amp;"note it in reporting. ",""))</f>
        <v/>
      </c>
      <c r="P371" s="6" t="n"/>
      <c r="Q371" s="9">
        <f>IF($B371="",0,IF(COUNTIFS($B$5:$B371,$B371)=1,1,0))</f>
        <v/>
      </c>
    </row>
    <row r="372">
      <c r="A372" s="6" t="n"/>
      <c r="B372" s="6" t="n"/>
      <c r="C372" s="6" t="n"/>
      <c r="D372" s="6" t="n"/>
      <c r="E372" s="6" t="n"/>
      <c r="F372" s="6" t="n"/>
      <c r="G372" s="7" t="n"/>
      <c r="H372" s="7" t="n"/>
      <c r="I372" s="6" t="n"/>
      <c r="J372" s="9">
        <f>IF(NOT(ISNUMBER($G372)),"",IF(AND(ASH_CORRECTED="Yes",ISNUMBER($H372)),$G372*(1-$H372),$G372))</f>
        <v/>
      </c>
      <c r="K372" s="9">
        <f>IF($B372="","",IFERROR(AVERAGEIFS('2. Soil Data'!$G$5:$G$604,'2. Soil Data'!$B$5:$B$604,$B372),""))</f>
        <v/>
      </c>
      <c r="L372" s="9">
        <f>IF(NOT(ISNUMBER($K372)),"",PI()*($K372/2)^2)</f>
        <v/>
      </c>
      <c r="M372" s="9">
        <f>IF(OR(NOT(ISNUMBER($J372)),NOT(ISNUMBER($L372)),$L372=0),"",$J372/$L372*10000)</f>
        <v/>
      </c>
      <c r="N372" s="9">
        <f>IF(NOT(ISNUMBER($M372)),"",$M372*CARBON_FRACTION_ROOT/1000)</f>
        <v/>
      </c>
      <c r="O372" s="11">
        <f>IF(AND($A372="",$B372="",$G372=""),"",IF(AND($B372&lt;&gt;"",COUNTIFS('2. Soil Data'!$B$5:$B$604,$B372)=0),"Core ID not found in Soil Data, so the corer diameter cannot be looked up. ","")&amp;IF(ASH_CORRECTED&lt;&gt;"Yes","Root mass is NOT ash-corrected, so it includes adhering mineral soil and is too high. Set ASH_CORRECTED once you have done it. ","")&amp;IF(AND(ASH_CORRECTED="Yes",NOT(ISNUMBER($H372))),"Ash correction is switched on but no ash fraction is given for this row. ","")&amp;IF($I372="","Sieve mesh not recorded — a fine-root figure cannot be interpreted without it. ","")&amp;IF(AND(ISNUMBER($H372),$H372&gt;0.5),"Ash fraction above 0.5 — over half this sample was mineral soil. Re-wash. ","")&amp;IF($F372="Not separated","Live and dead not separated. Fine for a stock, but "&amp;"note it in reporting. ",""))</f>
        <v/>
      </c>
      <c r="P372" s="6" t="n"/>
      <c r="Q372" s="9">
        <f>IF($B372="",0,IF(COUNTIFS($B$5:$B372,$B372)=1,1,0))</f>
        <v/>
      </c>
    </row>
    <row r="373">
      <c r="A373" s="6" t="n"/>
      <c r="B373" s="6" t="n"/>
      <c r="C373" s="6" t="n"/>
      <c r="D373" s="6" t="n"/>
      <c r="E373" s="6" t="n"/>
      <c r="F373" s="6" t="n"/>
      <c r="G373" s="7" t="n"/>
      <c r="H373" s="7" t="n"/>
      <c r="I373" s="6" t="n"/>
      <c r="J373" s="9">
        <f>IF(NOT(ISNUMBER($G373)),"",IF(AND(ASH_CORRECTED="Yes",ISNUMBER($H373)),$G373*(1-$H373),$G373))</f>
        <v/>
      </c>
      <c r="K373" s="9">
        <f>IF($B373="","",IFERROR(AVERAGEIFS('2. Soil Data'!$G$5:$G$604,'2. Soil Data'!$B$5:$B$604,$B373),""))</f>
        <v/>
      </c>
      <c r="L373" s="9">
        <f>IF(NOT(ISNUMBER($K373)),"",PI()*($K373/2)^2)</f>
        <v/>
      </c>
      <c r="M373" s="9">
        <f>IF(OR(NOT(ISNUMBER($J373)),NOT(ISNUMBER($L373)),$L373=0),"",$J373/$L373*10000)</f>
        <v/>
      </c>
      <c r="N373" s="9">
        <f>IF(NOT(ISNUMBER($M373)),"",$M373*CARBON_FRACTION_ROOT/1000)</f>
        <v/>
      </c>
      <c r="O373" s="11">
        <f>IF(AND($A373="",$B373="",$G373=""),"",IF(AND($B373&lt;&gt;"",COUNTIFS('2. Soil Data'!$B$5:$B$604,$B373)=0),"Core ID not found in Soil Data, so the corer diameter cannot be looked up. ","")&amp;IF(ASH_CORRECTED&lt;&gt;"Yes","Root mass is NOT ash-corrected, so it includes adhering mineral soil and is too high. Set ASH_CORRECTED once you have done it. ","")&amp;IF(AND(ASH_CORRECTED="Yes",NOT(ISNUMBER($H373))),"Ash correction is switched on but no ash fraction is given for this row. ","")&amp;IF($I373="","Sieve mesh not recorded — a fine-root figure cannot be interpreted without it. ","")&amp;IF(AND(ISNUMBER($H373),$H373&gt;0.5),"Ash fraction above 0.5 — over half this sample was mineral soil. Re-wash. ","")&amp;IF($F373="Not separated","Live and dead not separated. Fine for a stock, but "&amp;"note it in reporting. ",""))</f>
        <v/>
      </c>
      <c r="P373" s="6" t="n"/>
      <c r="Q373" s="9">
        <f>IF($B373="",0,IF(COUNTIFS($B$5:$B373,$B373)=1,1,0))</f>
        <v/>
      </c>
    </row>
    <row r="374">
      <c r="A374" s="6" t="n"/>
      <c r="B374" s="6" t="n"/>
      <c r="C374" s="6" t="n"/>
      <c r="D374" s="6" t="n"/>
      <c r="E374" s="6" t="n"/>
      <c r="F374" s="6" t="n"/>
      <c r="G374" s="7" t="n"/>
      <c r="H374" s="7" t="n"/>
      <c r="I374" s="6" t="n"/>
      <c r="J374" s="9">
        <f>IF(NOT(ISNUMBER($G374)),"",IF(AND(ASH_CORRECTED="Yes",ISNUMBER($H374)),$G374*(1-$H374),$G374))</f>
        <v/>
      </c>
      <c r="K374" s="9">
        <f>IF($B374="","",IFERROR(AVERAGEIFS('2. Soil Data'!$G$5:$G$604,'2. Soil Data'!$B$5:$B$604,$B374),""))</f>
        <v/>
      </c>
      <c r="L374" s="9">
        <f>IF(NOT(ISNUMBER($K374)),"",PI()*($K374/2)^2)</f>
        <v/>
      </c>
      <c r="M374" s="9">
        <f>IF(OR(NOT(ISNUMBER($J374)),NOT(ISNUMBER($L374)),$L374=0),"",$J374/$L374*10000)</f>
        <v/>
      </c>
      <c r="N374" s="9">
        <f>IF(NOT(ISNUMBER($M374)),"",$M374*CARBON_FRACTION_ROOT/1000)</f>
        <v/>
      </c>
      <c r="O374" s="11">
        <f>IF(AND($A374="",$B374="",$G374=""),"",IF(AND($B374&lt;&gt;"",COUNTIFS('2. Soil Data'!$B$5:$B$604,$B374)=0),"Core ID not found in Soil Data, so the corer diameter cannot be looked up. ","")&amp;IF(ASH_CORRECTED&lt;&gt;"Yes","Root mass is NOT ash-corrected, so it includes adhering mineral soil and is too high. Set ASH_CORRECTED once you have done it. ","")&amp;IF(AND(ASH_CORRECTED="Yes",NOT(ISNUMBER($H374))),"Ash correction is switched on but no ash fraction is given for this row. ","")&amp;IF($I374="","Sieve mesh not recorded — a fine-root figure cannot be interpreted without it. ","")&amp;IF(AND(ISNUMBER($H374),$H374&gt;0.5),"Ash fraction above 0.5 — over half this sample was mineral soil. Re-wash. ","")&amp;IF($F374="Not separated","Live and dead not separated. Fine for a stock, but "&amp;"note it in reporting. ",""))</f>
        <v/>
      </c>
      <c r="P374" s="6" t="n"/>
      <c r="Q374" s="9">
        <f>IF($B374="",0,IF(COUNTIFS($B$5:$B374,$B374)=1,1,0))</f>
        <v/>
      </c>
    </row>
    <row r="375">
      <c r="A375" s="6" t="n"/>
      <c r="B375" s="6" t="n"/>
      <c r="C375" s="6" t="n"/>
      <c r="D375" s="6" t="n"/>
      <c r="E375" s="6" t="n"/>
      <c r="F375" s="6" t="n"/>
      <c r="G375" s="7" t="n"/>
      <c r="H375" s="7" t="n"/>
      <c r="I375" s="6" t="n"/>
      <c r="J375" s="9">
        <f>IF(NOT(ISNUMBER($G375)),"",IF(AND(ASH_CORRECTED="Yes",ISNUMBER($H375)),$G375*(1-$H375),$G375))</f>
        <v/>
      </c>
      <c r="K375" s="9">
        <f>IF($B375="","",IFERROR(AVERAGEIFS('2. Soil Data'!$G$5:$G$604,'2. Soil Data'!$B$5:$B$604,$B375),""))</f>
        <v/>
      </c>
      <c r="L375" s="9">
        <f>IF(NOT(ISNUMBER($K375)),"",PI()*($K375/2)^2)</f>
        <v/>
      </c>
      <c r="M375" s="9">
        <f>IF(OR(NOT(ISNUMBER($J375)),NOT(ISNUMBER($L375)),$L375=0),"",$J375/$L375*10000)</f>
        <v/>
      </c>
      <c r="N375" s="9">
        <f>IF(NOT(ISNUMBER($M375)),"",$M375*CARBON_FRACTION_ROOT/1000)</f>
        <v/>
      </c>
      <c r="O375" s="11">
        <f>IF(AND($A375="",$B375="",$G375=""),"",IF(AND($B375&lt;&gt;"",COUNTIFS('2. Soil Data'!$B$5:$B$604,$B375)=0),"Core ID not found in Soil Data, so the corer diameter cannot be looked up. ","")&amp;IF(ASH_CORRECTED&lt;&gt;"Yes","Root mass is NOT ash-corrected, so it includes adhering mineral soil and is too high. Set ASH_CORRECTED once you have done it. ","")&amp;IF(AND(ASH_CORRECTED="Yes",NOT(ISNUMBER($H375))),"Ash correction is switched on but no ash fraction is given for this row. ","")&amp;IF($I375="","Sieve mesh not recorded — a fine-root figure cannot be interpreted without it. ","")&amp;IF(AND(ISNUMBER($H375),$H375&gt;0.5),"Ash fraction above 0.5 — over half this sample was mineral soil. Re-wash. ","")&amp;IF($F375="Not separated","Live and dead not separated. Fine for a stock, but "&amp;"note it in reporting. ",""))</f>
        <v/>
      </c>
      <c r="P375" s="6" t="n"/>
      <c r="Q375" s="9">
        <f>IF($B375="",0,IF(COUNTIFS($B$5:$B375,$B375)=1,1,0))</f>
        <v/>
      </c>
    </row>
    <row r="376">
      <c r="A376" s="6" t="n"/>
      <c r="B376" s="6" t="n"/>
      <c r="C376" s="6" t="n"/>
      <c r="D376" s="6" t="n"/>
      <c r="E376" s="6" t="n"/>
      <c r="F376" s="6" t="n"/>
      <c r="G376" s="7" t="n"/>
      <c r="H376" s="7" t="n"/>
      <c r="I376" s="6" t="n"/>
      <c r="J376" s="9">
        <f>IF(NOT(ISNUMBER($G376)),"",IF(AND(ASH_CORRECTED="Yes",ISNUMBER($H376)),$G376*(1-$H376),$G376))</f>
        <v/>
      </c>
      <c r="K376" s="9">
        <f>IF($B376="","",IFERROR(AVERAGEIFS('2. Soil Data'!$G$5:$G$604,'2. Soil Data'!$B$5:$B$604,$B376),""))</f>
        <v/>
      </c>
      <c r="L376" s="9">
        <f>IF(NOT(ISNUMBER($K376)),"",PI()*($K376/2)^2)</f>
        <v/>
      </c>
      <c r="M376" s="9">
        <f>IF(OR(NOT(ISNUMBER($J376)),NOT(ISNUMBER($L376)),$L376=0),"",$J376/$L376*10000)</f>
        <v/>
      </c>
      <c r="N376" s="9">
        <f>IF(NOT(ISNUMBER($M376)),"",$M376*CARBON_FRACTION_ROOT/1000)</f>
        <v/>
      </c>
      <c r="O376" s="11">
        <f>IF(AND($A376="",$B376="",$G376=""),"",IF(AND($B376&lt;&gt;"",COUNTIFS('2. Soil Data'!$B$5:$B$604,$B376)=0),"Core ID not found in Soil Data, so the corer diameter cannot be looked up. ","")&amp;IF(ASH_CORRECTED&lt;&gt;"Yes","Root mass is NOT ash-corrected, so it includes adhering mineral soil and is too high. Set ASH_CORRECTED once you have done it. ","")&amp;IF(AND(ASH_CORRECTED="Yes",NOT(ISNUMBER($H376))),"Ash correction is switched on but no ash fraction is given for this row. ","")&amp;IF($I376="","Sieve mesh not recorded — a fine-root figure cannot be interpreted without it. ","")&amp;IF(AND(ISNUMBER($H376),$H376&gt;0.5),"Ash fraction above 0.5 — over half this sample was mineral soil. Re-wash. ","")&amp;IF($F376="Not separated","Live and dead not separated. Fine for a stock, but "&amp;"note it in reporting. ",""))</f>
        <v/>
      </c>
      <c r="P376" s="6" t="n"/>
      <c r="Q376" s="9">
        <f>IF($B376="",0,IF(COUNTIFS($B$5:$B376,$B376)=1,1,0))</f>
        <v/>
      </c>
    </row>
    <row r="377">
      <c r="A377" s="6" t="n"/>
      <c r="B377" s="6" t="n"/>
      <c r="C377" s="6" t="n"/>
      <c r="D377" s="6" t="n"/>
      <c r="E377" s="6" t="n"/>
      <c r="F377" s="6" t="n"/>
      <c r="G377" s="7" t="n"/>
      <c r="H377" s="7" t="n"/>
      <c r="I377" s="6" t="n"/>
      <c r="J377" s="9">
        <f>IF(NOT(ISNUMBER($G377)),"",IF(AND(ASH_CORRECTED="Yes",ISNUMBER($H377)),$G377*(1-$H377),$G377))</f>
        <v/>
      </c>
      <c r="K377" s="9">
        <f>IF($B377="","",IFERROR(AVERAGEIFS('2. Soil Data'!$G$5:$G$604,'2. Soil Data'!$B$5:$B$604,$B377),""))</f>
        <v/>
      </c>
      <c r="L377" s="9">
        <f>IF(NOT(ISNUMBER($K377)),"",PI()*($K377/2)^2)</f>
        <v/>
      </c>
      <c r="M377" s="9">
        <f>IF(OR(NOT(ISNUMBER($J377)),NOT(ISNUMBER($L377)),$L377=0),"",$J377/$L377*10000)</f>
        <v/>
      </c>
      <c r="N377" s="9">
        <f>IF(NOT(ISNUMBER($M377)),"",$M377*CARBON_FRACTION_ROOT/1000)</f>
        <v/>
      </c>
      <c r="O377" s="11">
        <f>IF(AND($A377="",$B377="",$G377=""),"",IF(AND($B377&lt;&gt;"",COUNTIFS('2. Soil Data'!$B$5:$B$604,$B377)=0),"Core ID not found in Soil Data, so the corer diameter cannot be looked up. ","")&amp;IF(ASH_CORRECTED&lt;&gt;"Yes","Root mass is NOT ash-corrected, so it includes adhering mineral soil and is too high. Set ASH_CORRECTED once you have done it. ","")&amp;IF(AND(ASH_CORRECTED="Yes",NOT(ISNUMBER($H377))),"Ash correction is switched on but no ash fraction is given for this row. ","")&amp;IF($I377="","Sieve mesh not recorded — a fine-root figure cannot be interpreted without it. ","")&amp;IF(AND(ISNUMBER($H377),$H377&gt;0.5),"Ash fraction above 0.5 — over half this sample was mineral soil. Re-wash. ","")&amp;IF($F377="Not separated","Live and dead not separated. Fine for a stock, but "&amp;"note it in reporting. ",""))</f>
        <v/>
      </c>
      <c r="P377" s="6" t="n"/>
      <c r="Q377" s="9">
        <f>IF($B377="",0,IF(COUNTIFS($B$5:$B377,$B377)=1,1,0))</f>
        <v/>
      </c>
    </row>
    <row r="378">
      <c r="A378" s="6" t="n"/>
      <c r="B378" s="6" t="n"/>
      <c r="C378" s="6" t="n"/>
      <c r="D378" s="6" t="n"/>
      <c r="E378" s="6" t="n"/>
      <c r="F378" s="6" t="n"/>
      <c r="G378" s="7" t="n"/>
      <c r="H378" s="7" t="n"/>
      <c r="I378" s="6" t="n"/>
      <c r="J378" s="9">
        <f>IF(NOT(ISNUMBER($G378)),"",IF(AND(ASH_CORRECTED="Yes",ISNUMBER($H378)),$G378*(1-$H378),$G378))</f>
        <v/>
      </c>
      <c r="K378" s="9">
        <f>IF($B378="","",IFERROR(AVERAGEIFS('2. Soil Data'!$G$5:$G$604,'2. Soil Data'!$B$5:$B$604,$B378),""))</f>
        <v/>
      </c>
      <c r="L378" s="9">
        <f>IF(NOT(ISNUMBER($K378)),"",PI()*($K378/2)^2)</f>
        <v/>
      </c>
      <c r="M378" s="9">
        <f>IF(OR(NOT(ISNUMBER($J378)),NOT(ISNUMBER($L378)),$L378=0),"",$J378/$L378*10000)</f>
        <v/>
      </c>
      <c r="N378" s="9">
        <f>IF(NOT(ISNUMBER($M378)),"",$M378*CARBON_FRACTION_ROOT/1000)</f>
        <v/>
      </c>
      <c r="O378" s="11">
        <f>IF(AND($A378="",$B378="",$G378=""),"",IF(AND($B378&lt;&gt;"",COUNTIFS('2. Soil Data'!$B$5:$B$604,$B378)=0),"Core ID not found in Soil Data, so the corer diameter cannot be looked up. ","")&amp;IF(ASH_CORRECTED&lt;&gt;"Yes","Root mass is NOT ash-corrected, so it includes adhering mineral soil and is too high. Set ASH_CORRECTED once you have done it. ","")&amp;IF(AND(ASH_CORRECTED="Yes",NOT(ISNUMBER($H378))),"Ash correction is switched on but no ash fraction is given for this row. ","")&amp;IF($I378="","Sieve mesh not recorded — a fine-root figure cannot be interpreted without it. ","")&amp;IF(AND(ISNUMBER($H378),$H378&gt;0.5),"Ash fraction above 0.5 — over half this sample was mineral soil. Re-wash. ","")&amp;IF($F378="Not separated","Live and dead not separated. Fine for a stock, but "&amp;"note it in reporting. ",""))</f>
        <v/>
      </c>
      <c r="P378" s="6" t="n"/>
      <c r="Q378" s="9">
        <f>IF($B378="",0,IF(COUNTIFS($B$5:$B378,$B378)=1,1,0))</f>
        <v/>
      </c>
    </row>
    <row r="379">
      <c r="A379" s="6" t="n"/>
      <c r="B379" s="6" t="n"/>
      <c r="C379" s="6" t="n"/>
      <c r="D379" s="6" t="n"/>
      <c r="E379" s="6" t="n"/>
      <c r="F379" s="6" t="n"/>
      <c r="G379" s="7" t="n"/>
      <c r="H379" s="7" t="n"/>
      <c r="I379" s="6" t="n"/>
      <c r="J379" s="9">
        <f>IF(NOT(ISNUMBER($G379)),"",IF(AND(ASH_CORRECTED="Yes",ISNUMBER($H379)),$G379*(1-$H379),$G379))</f>
        <v/>
      </c>
      <c r="K379" s="9">
        <f>IF($B379="","",IFERROR(AVERAGEIFS('2. Soil Data'!$G$5:$G$604,'2. Soil Data'!$B$5:$B$604,$B379),""))</f>
        <v/>
      </c>
      <c r="L379" s="9">
        <f>IF(NOT(ISNUMBER($K379)),"",PI()*($K379/2)^2)</f>
        <v/>
      </c>
      <c r="M379" s="9">
        <f>IF(OR(NOT(ISNUMBER($J379)),NOT(ISNUMBER($L379)),$L379=0),"",$J379/$L379*10000)</f>
        <v/>
      </c>
      <c r="N379" s="9">
        <f>IF(NOT(ISNUMBER($M379)),"",$M379*CARBON_FRACTION_ROOT/1000)</f>
        <v/>
      </c>
      <c r="O379" s="11">
        <f>IF(AND($A379="",$B379="",$G379=""),"",IF(AND($B379&lt;&gt;"",COUNTIFS('2. Soil Data'!$B$5:$B$604,$B379)=0),"Core ID not found in Soil Data, so the corer diameter cannot be looked up. ","")&amp;IF(ASH_CORRECTED&lt;&gt;"Yes","Root mass is NOT ash-corrected, so it includes adhering mineral soil and is too high. Set ASH_CORRECTED once you have done it. ","")&amp;IF(AND(ASH_CORRECTED="Yes",NOT(ISNUMBER($H379))),"Ash correction is switched on but no ash fraction is given for this row. ","")&amp;IF($I379="","Sieve mesh not recorded — a fine-root figure cannot be interpreted without it. ","")&amp;IF(AND(ISNUMBER($H379),$H379&gt;0.5),"Ash fraction above 0.5 — over half this sample was mineral soil. Re-wash. ","")&amp;IF($F379="Not separated","Live and dead not separated. Fine for a stock, but "&amp;"note it in reporting. ",""))</f>
        <v/>
      </c>
      <c r="P379" s="6" t="n"/>
      <c r="Q379" s="9">
        <f>IF($B379="",0,IF(COUNTIFS($B$5:$B379,$B379)=1,1,0))</f>
        <v/>
      </c>
    </row>
    <row r="380">
      <c r="A380" s="6" t="n"/>
      <c r="B380" s="6" t="n"/>
      <c r="C380" s="6" t="n"/>
      <c r="D380" s="6" t="n"/>
      <c r="E380" s="6" t="n"/>
      <c r="F380" s="6" t="n"/>
      <c r="G380" s="7" t="n"/>
      <c r="H380" s="7" t="n"/>
      <c r="I380" s="6" t="n"/>
      <c r="J380" s="9">
        <f>IF(NOT(ISNUMBER($G380)),"",IF(AND(ASH_CORRECTED="Yes",ISNUMBER($H380)),$G380*(1-$H380),$G380))</f>
        <v/>
      </c>
      <c r="K380" s="9">
        <f>IF($B380="","",IFERROR(AVERAGEIFS('2. Soil Data'!$G$5:$G$604,'2. Soil Data'!$B$5:$B$604,$B380),""))</f>
        <v/>
      </c>
      <c r="L380" s="9">
        <f>IF(NOT(ISNUMBER($K380)),"",PI()*($K380/2)^2)</f>
        <v/>
      </c>
      <c r="M380" s="9">
        <f>IF(OR(NOT(ISNUMBER($J380)),NOT(ISNUMBER($L380)),$L380=0),"",$J380/$L380*10000)</f>
        <v/>
      </c>
      <c r="N380" s="9">
        <f>IF(NOT(ISNUMBER($M380)),"",$M380*CARBON_FRACTION_ROOT/1000)</f>
        <v/>
      </c>
      <c r="O380" s="11">
        <f>IF(AND($A380="",$B380="",$G380=""),"",IF(AND($B380&lt;&gt;"",COUNTIFS('2. Soil Data'!$B$5:$B$604,$B380)=0),"Core ID not found in Soil Data, so the corer diameter cannot be looked up. ","")&amp;IF(ASH_CORRECTED&lt;&gt;"Yes","Root mass is NOT ash-corrected, so it includes adhering mineral soil and is too high. Set ASH_CORRECTED once you have done it. ","")&amp;IF(AND(ASH_CORRECTED="Yes",NOT(ISNUMBER($H380))),"Ash correction is switched on but no ash fraction is given for this row. ","")&amp;IF($I380="","Sieve mesh not recorded — a fine-root figure cannot be interpreted without it. ","")&amp;IF(AND(ISNUMBER($H380),$H380&gt;0.5),"Ash fraction above 0.5 — over half this sample was mineral soil. Re-wash. ","")&amp;IF($F380="Not separated","Live and dead not separated. Fine for a stock, but "&amp;"note it in reporting. ",""))</f>
        <v/>
      </c>
      <c r="P380" s="6" t="n"/>
      <c r="Q380" s="9">
        <f>IF($B380="",0,IF(COUNTIFS($B$5:$B380,$B380)=1,1,0))</f>
        <v/>
      </c>
    </row>
    <row r="381">
      <c r="A381" s="6" t="n"/>
      <c r="B381" s="6" t="n"/>
      <c r="C381" s="6" t="n"/>
      <c r="D381" s="6" t="n"/>
      <c r="E381" s="6" t="n"/>
      <c r="F381" s="6" t="n"/>
      <c r="G381" s="7" t="n"/>
      <c r="H381" s="7" t="n"/>
      <c r="I381" s="6" t="n"/>
      <c r="J381" s="9">
        <f>IF(NOT(ISNUMBER($G381)),"",IF(AND(ASH_CORRECTED="Yes",ISNUMBER($H381)),$G381*(1-$H381),$G381))</f>
        <v/>
      </c>
      <c r="K381" s="9">
        <f>IF($B381="","",IFERROR(AVERAGEIFS('2. Soil Data'!$G$5:$G$604,'2. Soil Data'!$B$5:$B$604,$B381),""))</f>
        <v/>
      </c>
      <c r="L381" s="9">
        <f>IF(NOT(ISNUMBER($K381)),"",PI()*($K381/2)^2)</f>
        <v/>
      </c>
      <c r="M381" s="9">
        <f>IF(OR(NOT(ISNUMBER($J381)),NOT(ISNUMBER($L381)),$L381=0),"",$J381/$L381*10000)</f>
        <v/>
      </c>
      <c r="N381" s="9">
        <f>IF(NOT(ISNUMBER($M381)),"",$M381*CARBON_FRACTION_ROOT/1000)</f>
        <v/>
      </c>
      <c r="O381" s="11">
        <f>IF(AND($A381="",$B381="",$G381=""),"",IF(AND($B381&lt;&gt;"",COUNTIFS('2. Soil Data'!$B$5:$B$604,$B381)=0),"Core ID not found in Soil Data, so the corer diameter cannot be looked up. ","")&amp;IF(ASH_CORRECTED&lt;&gt;"Yes","Root mass is NOT ash-corrected, so it includes adhering mineral soil and is too high. Set ASH_CORRECTED once you have done it. ","")&amp;IF(AND(ASH_CORRECTED="Yes",NOT(ISNUMBER($H381))),"Ash correction is switched on but no ash fraction is given for this row. ","")&amp;IF($I381="","Sieve mesh not recorded — a fine-root figure cannot be interpreted without it. ","")&amp;IF(AND(ISNUMBER($H381),$H381&gt;0.5),"Ash fraction above 0.5 — over half this sample was mineral soil. Re-wash. ","")&amp;IF($F381="Not separated","Live and dead not separated. Fine for a stock, but "&amp;"note it in reporting. ",""))</f>
        <v/>
      </c>
      <c r="P381" s="6" t="n"/>
      <c r="Q381" s="9">
        <f>IF($B381="",0,IF(COUNTIFS($B$5:$B381,$B381)=1,1,0))</f>
        <v/>
      </c>
    </row>
    <row r="382">
      <c r="A382" s="6" t="n"/>
      <c r="B382" s="6" t="n"/>
      <c r="C382" s="6" t="n"/>
      <c r="D382" s="6" t="n"/>
      <c r="E382" s="6" t="n"/>
      <c r="F382" s="6" t="n"/>
      <c r="G382" s="7" t="n"/>
      <c r="H382" s="7" t="n"/>
      <c r="I382" s="6" t="n"/>
      <c r="J382" s="9">
        <f>IF(NOT(ISNUMBER($G382)),"",IF(AND(ASH_CORRECTED="Yes",ISNUMBER($H382)),$G382*(1-$H382),$G382))</f>
        <v/>
      </c>
      <c r="K382" s="9">
        <f>IF($B382="","",IFERROR(AVERAGEIFS('2. Soil Data'!$G$5:$G$604,'2. Soil Data'!$B$5:$B$604,$B382),""))</f>
        <v/>
      </c>
      <c r="L382" s="9">
        <f>IF(NOT(ISNUMBER($K382)),"",PI()*($K382/2)^2)</f>
        <v/>
      </c>
      <c r="M382" s="9">
        <f>IF(OR(NOT(ISNUMBER($J382)),NOT(ISNUMBER($L382)),$L382=0),"",$J382/$L382*10000)</f>
        <v/>
      </c>
      <c r="N382" s="9">
        <f>IF(NOT(ISNUMBER($M382)),"",$M382*CARBON_FRACTION_ROOT/1000)</f>
        <v/>
      </c>
      <c r="O382" s="11">
        <f>IF(AND($A382="",$B382="",$G382=""),"",IF(AND($B382&lt;&gt;"",COUNTIFS('2. Soil Data'!$B$5:$B$604,$B382)=0),"Core ID not found in Soil Data, so the corer diameter cannot be looked up. ","")&amp;IF(ASH_CORRECTED&lt;&gt;"Yes","Root mass is NOT ash-corrected, so it includes adhering mineral soil and is too high. Set ASH_CORRECTED once you have done it. ","")&amp;IF(AND(ASH_CORRECTED="Yes",NOT(ISNUMBER($H382))),"Ash correction is switched on but no ash fraction is given for this row. ","")&amp;IF($I382="","Sieve mesh not recorded — a fine-root figure cannot be interpreted without it. ","")&amp;IF(AND(ISNUMBER($H382),$H382&gt;0.5),"Ash fraction above 0.5 — over half this sample was mineral soil. Re-wash. ","")&amp;IF($F382="Not separated","Live and dead not separated. Fine for a stock, but "&amp;"note it in reporting. ",""))</f>
        <v/>
      </c>
      <c r="P382" s="6" t="n"/>
      <c r="Q382" s="9">
        <f>IF($B382="",0,IF(COUNTIFS($B$5:$B382,$B382)=1,1,0))</f>
        <v/>
      </c>
    </row>
    <row r="383">
      <c r="A383" s="6" t="n"/>
      <c r="B383" s="6" t="n"/>
      <c r="C383" s="6" t="n"/>
      <c r="D383" s="6" t="n"/>
      <c r="E383" s="6" t="n"/>
      <c r="F383" s="6" t="n"/>
      <c r="G383" s="7" t="n"/>
      <c r="H383" s="7" t="n"/>
      <c r="I383" s="6" t="n"/>
      <c r="J383" s="9">
        <f>IF(NOT(ISNUMBER($G383)),"",IF(AND(ASH_CORRECTED="Yes",ISNUMBER($H383)),$G383*(1-$H383),$G383))</f>
        <v/>
      </c>
      <c r="K383" s="9">
        <f>IF($B383="","",IFERROR(AVERAGEIFS('2. Soil Data'!$G$5:$G$604,'2. Soil Data'!$B$5:$B$604,$B383),""))</f>
        <v/>
      </c>
      <c r="L383" s="9">
        <f>IF(NOT(ISNUMBER($K383)),"",PI()*($K383/2)^2)</f>
        <v/>
      </c>
      <c r="M383" s="9">
        <f>IF(OR(NOT(ISNUMBER($J383)),NOT(ISNUMBER($L383)),$L383=0),"",$J383/$L383*10000)</f>
        <v/>
      </c>
      <c r="N383" s="9">
        <f>IF(NOT(ISNUMBER($M383)),"",$M383*CARBON_FRACTION_ROOT/1000)</f>
        <v/>
      </c>
      <c r="O383" s="11">
        <f>IF(AND($A383="",$B383="",$G383=""),"",IF(AND($B383&lt;&gt;"",COUNTIFS('2. Soil Data'!$B$5:$B$604,$B383)=0),"Core ID not found in Soil Data, so the corer diameter cannot be looked up. ","")&amp;IF(ASH_CORRECTED&lt;&gt;"Yes","Root mass is NOT ash-corrected, so it includes adhering mineral soil and is too high. Set ASH_CORRECTED once you have done it. ","")&amp;IF(AND(ASH_CORRECTED="Yes",NOT(ISNUMBER($H383))),"Ash correction is switched on but no ash fraction is given for this row. ","")&amp;IF($I383="","Sieve mesh not recorded — a fine-root figure cannot be interpreted without it. ","")&amp;IF(AND(ISNUMBER($H383),$H383&gt;0.5),"Ash fraction above 0.5 — over half this sample was mineral soil. Re-wash. ","")&amp;IF($F383="Not separated","Live and dead not separated. Fine for a stock, but "&amp;"note it in reporting. ",""))</f>
        <v/>
      </c>
      <c r="P383" s="6" t="n"/>
      <c r="Q383" s="9">
        <f>IF($B383="",0,IF(COUNTIFS($B$5:$B383,$B383)=1,1,0))</f>
        <v/>
      </c>
    </row>
    <row r="384">
      <c r="A384" s="6" t="n"/>
      <c r="B384" s="6" t="n"/>
      <c r="C384" s="6" t="n"/>
      <c r="D384" s="6" t="n"/>
      <c r="E384" s="6" t="n"/>
      <c r="F384" s="6" t="n"/>
      <c r="G384" s="7" t="n"/>
      <c r="H384" s="7" t="n"/>
      <c r="I384" s="6" t="n"/>
      <c r="J384" s="9">
        <f>IF(NOT(ISNUMBER($G384)),"",IF(AND(ASH_CORRECTED="Yes",ISNUMBER($H384)),$G384*(1-$H384),$G384))</f>
        <v/>
      </c>
      <c r="K384" s="9">
        <f>IF($B384="","",IFERROR(AVERAGEIFS('2. Soil Data'!$G$5:$G$604,'2. Soil Data'!$B$5:$B$604,$B384),""))</f>
        <v/>
      </c>
      <c r="L384" s="9">
        <f>IF(NOT(ISNUMBER($K384)),"",PI()*($K384/2)^2)</f>
        <v/>
      </c>
      <c r="M384" s="9">
        <f>IF(OR(NOT(ISNUMBER($J384)),NOT(ISNUMBER($L384)),$L384=0),"",$J384/$L384*10000)</f>
        <v/>
      </c>
      <c r="N384" s="9">
        <f>IF(NOT(ISNUMBER($M384)),"",$M384*CARBON_FRACTION_ROOT/1000)</f>
        <v/>
      </c>
      <c r="O384" s="11">
        <f>IF(AND($A384="",$B384="",$G384=""),"",IF(AND($B384&lt;&gt;"",COUNTIFS('2. Soil Data'!$B$5:$B$604,$B384)=0),"Core ID not found in Soil Data, so the corer diameter cannot be looked up. ","")&amp;IF(ASH_CORRECTED&lt;&gt;"Yes","Root mass is NOT ash-corrected, so it includes adhering mineral soil and is too high. Set ASH_CORRECTED once you have done it. ","")&amp;IF(AND(ASH_CORRECTED="Yes",NOT(ISNUMBER($H384))),"Ash correction is switched on but no ash fraction is given for this row. ","")&amp;IF($I384="","Sieve mesh not recorded — a fine-root figure cannot be interpreted without it. ","")&amp;IF(AND(ISNUMBER($H384),$H384&gt;0.5),"Ash fraction above 0.5 — over half this sample was mineral soil. Re-wash. ","")&amp;IF($F384="Not separated","Live and dead not separated. Fine for a stock, but "&amp;"note it in reporting. ",""))</f>
        <v/>
      </c>
      <c r="P384" s="6" t="n"/>
      <c r="Q384" s="9">
        <f>IF($B384="",0,IF(COUNTIFS($B$5:$B384,$B384)=1,1,0))</f>
        <v/>
      </c>
    </row>
    <row r="385">
      <c r="A385" s="6" t="n"/>
      <c r="B385" s="6" t="n"/>
      <c r="C385" s="6" t="n"/>
      <c r="D385" s="6" t="n"/>
      <c r="E385" s="6" t="n"/>
      <c r="F385" s="6" t="n"/>
      <c r="G385" s="7" t="n"/>
      <c r="H385" s="7" t="n"/>
      <c r="I385" s="6" t="n"/>
      <c r="J385" s="9">
        <f>IF(NOT(ISNUMBER($G385)),"",IF(AND(ASH_CORRECTED="Yes",ISNUMBER($H385)),$G385*(1-$H385),$G385))</f>
        <v/>
      </c>
      <c r="K385" s="9">
        <f>IF($B385="","",IFERROR(AVERAGEIFS('2. Soil Data'!$G$5:$G$604,'2. Soil Data'!$B$5:$B$604,$B385),""))</f>
        <v/>
      </c>
      <c r="L385" s="9">
        <f>IF(NOT(ISNUMBER($K385)),"",PI()*($K385/2)^2)</f>
        <v/>
      </c>
      <c r="M385" s="9">
        <f>IF(OR(NOT(ISNUMBER($J385)),NOT(ISNUMBER($L385)),$L385=0),"",$J385/$L385*10000)</f>
        <v/>
      </c>
      <c r="N385" s="9">
        <f>IF(NOT(ISNUMBER($M385)),"",$M385*CARBON_FRACTION_ROOT/1000)</f>
        <v/>
      </c>
      <c r="O385" s="11">
        <f>IF(AND($A385="",$B385="",$G385=""),"",IF(AND($B385&lt;&gt;"",COUNTIFS('2. Soil Data'!$B$5:$B$604,$B385)=0),"Core ID not found in Soil Data, so the corer diameter cannot be looked up. ","")&amp;IF(ASH_CORRECTED&lt;&gt;"Yes","Root mass is NOT ash-corrected, so it includes adhering mineral soil and is too high. Set ASH_CORRECTED once you have done it. ","")&amp;IF(AND(ASH_CORRECTED="Yes",NOT(ISNUMBER($H385))),"Ash correction is switched on but no ash fraction is given for this row. ","")&amp;IF($I385="","Sieve mesh not recorded — a fine-root figure cannot be interpreted without it. ","")&amp;IF(AND(ISNUMBER($H385),$H385&gt;0.5),"Ash fraction above 0.5 — over half this sample was mineral soil. Re-wash. ","")&amp;IF($F385="Not separated","Live and dead not separated. Fine for a stock, but "&amp;"note it in reporting. ",""))</f>
        <v/>
      </c>
      <c r="P385" s="6" t="n"/>
      <c r="Q385" s="9">
        <f>IF($B385="",0,IF(COUNTIFS($B$5:$B385,$B385)=1,1,0))</f>
        <v/>
      </c>
    </row>
    <row r="386">
      <c r="A386" s="6" t="n"/>
      <c r="B386" s="6" t="n"/>
      <c r="C386" s="6" t="n"/>
      <c r="D386" s="6" t="n"/>
      <c r="E386" s="6" t="n"/>
      <c r="F386" s="6" t="n"/>
      <c r="G386" s="7" t="n"/>
      <c r="H386" s="7" t="n"/>
      <c r="I386" s="6" t="n"/>
      <c r="J386" s="9">
        <f>IF(NOT(ISNUMBER($G386)),"",IF(AND(ASH_CORRECTED="Yes",ISNUMBER($H386)),$G386*(1-$H386),$G386))</f>
        <v/>
      </c>
      <c r="K386" s="9">
        <f>IF($B386="","",IFERROR(AVERAGEIFS('2. Soil Data'!$G$5:$G$604,'2. Soil Data'!$B$5:$B$604,$B386),""))</f>
        <v/>
      </c>
      <c r="L386" s="9">
        <f>IF(NOT(ISNUMBER($K386)),"",PI()*($K386/2)^2)</f>
        <v/>
      </c>
      <c r="M386" s="9">
        <f>IF(OR(NOT(ISNUMBER($J386)),NOT(ISNUMBER($L386)),$L386=0),"",$J386/$L386*10000)</f>
        <v/>
      </c>
      <c r="N386" s="9">
        <f>IF(NOT(ISNUMBER($M386)),"",$M386*CARBON_FRACTION_ROOT/1000)</f>
        <v/>
      </c>
      <c r="O386" s="11">
        <f>IF(AND($A386="",$B386="",$G386=""),"",IF(AND($B386&lt;&gt;"",COUNTIFS('2. Soil Data'!$B$5:$B$604,$B386)=0),"Core ID not found in Soil Data, so the corer diameter cannot be looked up. ","")&amp;IF(ASH_CORRECTED&lt;&gt;"Yes","Root mass is NOT ash-corrected, so it includes adhering mineral soil and is too high. Set ASH_CORRECTED once you have done it. ","")&amp;IF(AND(ASH_CORRECTED="Yes",NOT(ISNUMBER($H386))),"Ash correction is switched on but no ash fraction is given for this row. ","")&amp;IF($I386="","Sieve mesh not recorded — a fine-root figure cannot be interpreted without it. ","")&amp;IF(AND(ISNUMBER($H386),$H386&gt;0.5),"Ash fraction above 0.5 — over half this sample was mineral soil. Re-wash. ","")&amp;IF($F386="Not separated","Live and dead not separated. Fine for a stock, but "&amp;"note it in reporting. ",""))</f>
        <v/>
      </c>
      <c r="P386" s="6" t="n"/>
      <c r="Q386" s="9">
        <f>IF($B386="",0,IF(COUNTIFS($B$5:$B386,$B386)=1,1,0))</f>
        <v/>
      </c>
    </row>
    <row r="387">
      <c r="A387" s="6" t="n"/>
      <c r="B387" s="6" t="n"/>
      <c r="C387" s="6" t="n"/>
      <c r="D387" s="6" t="n"/>
      <c r="E387" s="6" t="n"/>
      <c r="F387" s="6" t="n"/>
      <c r="G387" s="7" t="n"/>
      <c r="H387" s="7" t="n"/>
      <c r="I387" s="6" t="n"/>
      <c r="J387" s="9">
        <f>IF(NOT(ISNUMBER($G387)),"",IF(AND(ASH_CORRECTED="Yes",ISNUMBER($H387)),$G387*(1-$H387),$G387))</f>
        <v/>
      </c>
      <c r="K387" s="9">
        <f>IF($B387="","",IFERROR(AVERAGEIFS('2. Soil Data'!$G$5:$G$604,'2. Soil Data'!$B$5:$B$604,$B387),""))</f>
        <v/>
      </c>
      <c r="L387" s="9">
        <f>IF(NOT(ISNUMBER($K387)),"",PI()*($K387/2)^2)</f>
        <v/>
      </c>
      <c r="M387" s="9">
        <f>IF(OR(NOT(ISNUMBER($J387)),NOT(ISNUMBER($L387)),$L387=0),"",$J387/$L387*10000)</f>
        <v/>
      </c>
      <c r="N387" s="9">
        <f>IF(NOT(ISNUMBER($M387)),"",$M387*CARBON_FRACTION_ROOT/1000)</f>
        <v/>
      </c>
      <c r="O387" s="11">
        <f>IF(AND($A387="",$B387="",$G387=""),"",IF(AND($B387&lt;&gt;"",COUNTIFS('2. Soil Data'!$B$5:$B$604,$B387)=0),"Core ID not found in Soil Data, so the corer diameter cannot be looked up. ","")&amp;IF(ASH_CORRECTED&lt;&gt;"Yes","Root mass is NOT ash-corrected, so it includes adhering mineral soil and is too high. Set ASH_CORRECTED once you have done it. ","")&amp;IF(AND(ASH_CORRECTED="Yes",NOT(ISNUMBER($H387))),"Ash correction is switched on but no ash fraction is given for this row. ","")&amp;IF($I387="","Sieve mesh not recorded — a fine-root figure cannot be interpreted without it. ","")&amp;IF(AND(ISNUMBER($H387),$H387&gt;0.5),"Ash fraction above 0.5 — over half this sample was mineral soil. Re-wash. ","")&amp;IF($F387="Not separated","Live and dead not separated. Fine for a stock, but "&amp;"note it in reporting. ",""))</f>
        <v/>
      </c>
      <c r="P387" s="6" t="n"/>
      <c r="Q387" s="9">
        <f>IF($B387="",0,IF(COUNTIFS($B$5:$B387,$B387)=1,1,0))</f>
        <v/>
      </c>
    </row>
    <row r="388">
      <c r="A388" s="6" t="n"/>
      <c r="B388" s="6" t="n"/>
      <c r="C388" s="6" t="n"/>
      <c r="D388" s="6" t="n"/>
      <c r="E388" s="6" t="n"/>
      <c r="F388" s="6" t="n"/>
      <c r="G388" s="7" t="n"/>
      <c r="H388" s="7" t="n"/>
      <c r="I388" s="6" t="n"/>
      <c r="J388" s="9">
        <f>IF(NOT(ISNUMBER($G388)),"",IF(AND(ASH_CORRECTED="Yes",ISNUMBER($H388)),$G388*(1-$H388),$G388))</f>
        <v/>
      </c>
      <c r="K388" s="9">
        <f>IF($B388="","",IFERROR(AVERAGEIFS('2. Soil Data'!$G$5:$G$604,'2. Soil Data'!$B$5:$B$604,$B388),""))</f>
        <v/>
      </c>
      <c r="L388" s="9">
        <f>IF(NOT(ISNUMBER($K388)),"",PI()*($K388/2)^2)</f>
        <v/>
      </c>
      <c r="M388" s="9">
        <f>IF(OR(NOT(ISNUMBER($J388)),NOT(ISNUMBER($L388)),$L388=0),"",$J388/$L388*10000)</f>
        <v/>
      </c>
      <c r="N388" s="9">
        <f>IF(NOT(ISNUMBER($M388)),"",$M388*CARBON_FRACTION_ROOT/1000)</f>
        <v/>
      </c>
      <c r="O388" s="11">
        <f>IF(AND($A388="",$B388="",$G388=""),"",IF(AND($B388&lt;&gt;"",COUNTIFS('2. Soil Data'!$B$5:$B$604,$B388)=0),"Core ID not found in Soil Data, so the corer diameter cannot be looked up. ","")&amp;IF(ASH_CORRECTED&lt;&gt;"Yes","Root mass is NOT ash-corrected, so it includes adhering mineral soil and is too high. Set ASH_CORRECTED once you have done it. ","")&amp;IF(AND(ASH_CORRECTED="Yes",NOT(ISNUMBER($H388))),"Ash correction is switched on but no ash fraction is given for this row. ","")&amp;IF($I388="","Sieve mesh not recorded — a fine-root figure cannot be interpreted without it. ","")&amp;IF(AND(ISNUMBER($H388),$H388&gt;0.5),"Ash fraction above 0.5 — over half this sample was mineral soil. Re-wash. ","")&amp;IF($F388="Not separated","Live and dead not separated. Fine for a stock, but "&amp;"note it in reporting. ",""))</f>
        <v/>
      </c>
      <c r="P388" s="6" t="n"/>
      <c r="Q388" s="9">
        <f>IF($B388="",0,IF(COUNTIFS($B$5:$B388,$B388)=1,1,0))</f>
        <v/>
      </c>
    </row>
    <row r="389">
      <c r="A389" s="6" t="n"/>
      <c r="B389" s="6" t="n"/>
      <c r="C389" s="6" t="n"/>
      <c r="D389" s="6" t="n"/>
      <c r="E389" s="6" t="n"/>
      <c r="F389" s="6" t="n"/>
      <c r="G389" s="7" t="n"/>
      <c r="H389" s="7" t="n"/>
      <c r="I389" s="6" t="n"/>
      <c r="J389" s="9">
        <f>IF(NOT(ISNUMBER($G389)),"",IF(AND(ASH_CORRECTED="Yes",ISNUMBER($H389)),$G389*(1-$H389),$G389))</f>
        <v/>
      </c>
      <c r="K389" s="9">
        <f>IF($B389="","",IFERROR(AVERAGEIFS('2. Soil Data'!$G$5:$G$604,'2. Soil Data'!$B$5:$B$604,$B389),""))</f>
        <v/>
      </c>
      <c r="L389" s="9">
        <f>IF(NOT(ISNUMBER($K389)),"",PI()*($K389/2)^2)</f>
        <v/>
      </c>
      <c r="M389" s="9">
        <f>IF(OR(NOT(ISNUMBER($J389)),NOT(ISNUMBER($L389)),$L389=0),"",$J389/$L389*10000)</f>
        <v/>
      </c>
      <c r="N389" s="9">
        <f>IF(NOT(ISNUMBER($M389)),"",$M389*CARBON_FRACTION_ROOT/1000)</f>
        <v/>
      </c>
      <c r="O389" s="11">
        <f>IF(AND($A389="",$B389="",$G389=""),"",IF(AND($B389&lt;&gt;"",COUNTIFS('2. Soil Data'!$B$5:$B$604,$B389)=0),"Core ID not found in Soil Data, so the corer diameter cannot be looked up. ","")&amp;IF(ASH_CORRECTED&lt;&gt;"Yes","Root mass is NOT ash-corrected, so it includes adhering mineral soil and is too high. Set ASH_CORRECTED once you have done it. ","")&amp;IF(AND(ASH_CORRECTED="Yes",NOT(ISNUMBER($H389))),"Ash correction is switched on but no ash fraction is given for this row. ","")&amp;IF($I389="","Sieve mesh not recorded — a fine-root figure cannot be interpreted without it. ","")&amp;IF(AND(ISNUMBER($H389),$H389&gt;0.5),"Ash fraction above 0.5 — over half this sample was mineral soil. Re-wash. ","")&amp;IF($F389="Not separated","Live and dead not separated. Fine for a stock, but "&amp;"note it in reporting. ",""))</f>
        <v/>
      </c>
      <c r="P389" s="6" t="n"/>
      <c r="Q389" s="9">
        <f>IF($B389="",0,IF(COUNTIFS($B$5:$B389,$B389)=1,1,0))</f>
        <v/>
      </c>
    </row>
    <row r="390">
      <c r="A390" s="6" t="n"/>
      <c r="B390" s="6" t="n"/>
      <c r="C390" s="6" t="n"/>
      <c r="D390" s="6" t="n"/>
      <c r="E390" s="6" t="n"/>
      <c r="F390" s="6" t="n"/>
      <c r="G390" s="7" t="n"/>
      <c r="H390" s="7" t="n"/>
      <c r="I390" s="6" t="n"/>
      <c r="J390" s="9">
        <f>IF(NOT(ISNUMBER($G390)),"",IF(AND(ASH_CORRECTED="Yes",ISNUMBER($H390)),$G390*(1-$H390),$G390))</f>
        <v/>
      </c>
      <c r="K390" s="9">
        <f>IF($B390="","",IFERROR(AVERAGEIFS('2. Soil Data'!$G$5:$G$604,'2. Soil Data'!$B$5:$B$604,$B390),""))</f>
        <v/>
      </c>
      <c r="L390" s="9">
        <f>IF(NOT(ISNUMBER($K390)),"",PI()*($K390/2)^2)</f>
        <v/>
      </c>
      <c r="M390" s="9">
        <f>IF(OR(NOT(ISNUMBER($J390)),NOT(ISNUMBER($L390)),$L390=0),"",$J390/$L390*10000)</f>
        <v/>
      </c>
      <c r="N390" s="9">
        <f>IF(NOT(ISNUMBER($M390)),"",$M390*CARBON_FRACTION_ROOT/1000)</f>
        <v/>
      </c>
      <c r="O390" s="11">
        <f>IF(AND($A390="",$B390="",$G390=""),"",IF(AND($B390&lt;&gt;"",COUNTIFS('2. Soil Data'!$B$5:$B$604,$B390)=0),"Core ID not found in Soil Data, so the corer diameter cannot be looked up. ","")&amp;IF(ASH_CORRECTED&lt;&gt;"Yes","Root mass is NOT ash-corrected, so it includes adhering mineral soil and is too high. Set ASH_CORRECTED once you have done it. ","")&amp;IF(AND(ASH_CORRECTED="Yes",NOT(ISNUMBER($H390))),"Ash correction is switched on but no ash fraction is given for this row. ","")&amp;IF($I390="","Sieve mesh not recorded — a fine-root figure cannot be interpreted without it. ","")&amp;IF(AND(ISNUMBER($H390),$H390&gt;0.5),"Ash fraction above 0.5 — over half this sample was mineral soil. Re-wash. ","")&amp;IF($F390="Not separated","Live and dead not separated. Fine for a stock, but "&amp;"note it in reporting. ",""))</f>
        <v/>
      </c>
      <c r="P390" s="6" t="n"/>
      <c r="Q390" s="9">
        <f>IF($B390="",0,IF(COUNTIFS($B$5:$B390,$B390)=1,1,0))</f>
        <v/>
      </c>
    </row>
    <row r="391">
      <c r="A391" s="6" t="n"/>
      <c r="B391" s="6" t="n"/>
      <c r="C391" s="6" t="n"/>
      <c r="D391" s="6" t="n"/>
      <c r="E391" s="6" t="n"/>
      <c r="F391" s="6" t="n"/>
      <c r="G391" s="7" t="n"/>
      <c r="H391" s="7" t="n"/>
      <c r="I391" s="6" t="n"/>
      <c r="J391" s="9">
        <f>IF(NOT(ISNUMBER($G391)),"",IF(AND(ASH_CORRECTED="Yes",ISNUMBER($H391)),$G391*(1-$H391),$G391))</f>
        <v/>
      </c>
      <c r="K391" s="9">
        <f>IF($B391="","",IFERROR(AVERAGEIFS('2. Soil Data'!$G$5:$G$604,'2. Soil Data'!$B$5:$B$604,$B391),""))</f>
        <v/>
      </c>
      <c r="L391" s="9">
        <f>IF(NOT(ISNUMBER($K391)),"",PI()*($K391/2)^2)</f>
        <v/>
      </c>
      <c r="M391" s="9">
        <f>IF(OR(NOT(ISNUMBER($J391)),NOT(ISNUMBER($L391)),$L391=0),"",$J391/$L391*10000)</f>
        <v/>
      </c>
      <c r="N391" s="9">
        <f>IF(NOT(ISNUMBER($M391)),"",$M391*CARBON_FRACTION_ROOT/1000)</f>
        <v/>
      </c>
      <c r="O391" s="11">
        <f>IF(AND($A391="",$B391="",$G391=""),"",IF(AND($B391&lt;&gt;"",COUNTIFS('2. Soil Data'!$B$5:$B$604,$B391)=0),"Core ID not found in Soil Data, so the corer diameter cannot be looked up. ","")&amp;IF(ASH_CORRECTED&lt;&gt;"Yes","Root mass is NOT ash-corrected, so it includes adhering mineral soil and is too high. Set ASH_CORRECTED once you have done it. ","")&amp;IF(AND(ASH_CORRECTED="Yes",NOT(ISNUMBER($H391))),"Ash correction is switched on but no ash fraction is given for this row. ","")&amp;IF($I391="","Sieve mesh not recorded — a fine-root figure cannot be interpreted without it. ","")&amp;IF(AND(ISNUMBER($H391),$H391&gt;0.5),"Ash fraction above 0.5 — over half this sample was mineral soil. Re-wash. ","")&amp;IF($F391="Not separated","Live and dead not separated. Fine for a stock, but "&amp;"note it in reporting. ",""))</f>
        <v/>
      </c>
      <c r="P391" s="6" t="n"/>
      <c r="Q391" s="9">
        <f>IF($B391="",0,IF(COUNTIFS($B$5:$B391,$B391)=1,1,0))</f>
        <v/>
      </c>
    </row>
    <row r="392">
      <c r="A392" s="6" t="n"/>
      <c r="B392" s="6" t="n"/>
      <c r="C392" s="6" t="n"/>
      <c r="D392" s="6" t="n"/>
      <c r="E392" s="6" t="n"/>
      <c r="F392" s="6" t="n"/>
      <c r="G392" s="7" t="n"/>
      <c r="H392" s="7" t="n"/>
      <c r="I392" s="6" t="n"/>
      <c r="J392" s="9">
        <f>IF(NOT(ISNUMBER($G392)),"",IF(AND(ASH_CORRECTED="Yes",ISNUMBER($H392)),$G392*(1-$H392),$G392))</f>
        <v/>
      </c>
      <c r="K392" s="9">
        <f>IF($B392="","",IFERROR(AVERAGEIFS('2. Soil Data'!$G$5:$G$604,'2. Soil Data'!$B$5:$B$604,$B392),""))</f>
        <v/>
      </c>
      <c r="L392" s="9">
        <f>IF(NOT(ISNUMBER($K392)),"",PI()*($K392/2)^2)</f>
        <v/>
      </c>
      <c r="M392" s="9">
        <f>IF(OR(NOT(ISNUMBER($J392)),NOT(ISNUMBER($L392)),$L392=0),"",$J392/$L392*10000)</f>
        <v/>
      </c>
      <c r="N392" s="9">
        <f>IF(NOT(ISNUMBER($M392)),"",$M392*CARBON_FRACTION_ROOT/1000)</f>
        <v/>
      </c>
      <c r="O392" s="11">
        <f>IF(AND($A392="",$B392="",$G392=""),"",IF(AND($B392&lt;&gt;"",COUNTIFS('2. Soil Data'!$B$5:$B$604,$B392)=0),"Core ID not found in Soil Data, so the corer diameter cannot be looked up. ","")&amp;IF(ASH_CORRECTED&lt;&gt;"Yes","Root mass is NOT ash-corrected, so it includes adhering mineral soil and is too high. Set ASH_CORRECTED once you have done it. ","")&amp;IF(AND(ASH_CORRECTED="Yes",NOT(ISNUMBER($H392))),"Ash correction is switched on but no ash fraction is given for this row. ","")&amp;IF($I392="","Sieve mesh not recorded — a fine-root figure cannot be interpreted without it. ","")&amp;IF(AND(ISNUMBER($H392),$H392&gt;0.5),"Ash fraction above 0.5 — over half this sample was mineral soil. Re-wash. ","")&amp;IF($F392="Not separated","Live and dead not separated. Fine for a stock, but "&amp;"note it in reporting. ",""))</f>
        <v/>
      </c>
      <c r="P392" s="6" t="n"/>
      <c r="Q392" s="9">
        <f>IF($B392="",0,IF(COUNTIFS($B$5:$B392,$B392)=1,1,0))</f>
        <v/>
      </c>
    </row>
    <row r="393">
      <c r="A393" s="6" t="n"/>
      <c r="B393" s="6" t="n"/>
      <c r="C393" s="6" t="n"/>
      <c r="D393" s="6" t="n"/>
      <c r="E393" s="6" t="n"/>
      <c r="F393" s="6" t="n"/>
      <c r="G393" s="7" t="n"/>
      <c r="H393" s="7" t="n"/>
      <c r="I393" s="6" t="n"/>
      <c r="J393" s="9">
        <f>IF(NOT(ISNUMBER($G393)),"",IF(AND(ASH_CORRECTED="Yes",ISNUMBER($H393)),$G393*(1-$H393),$G393))</f>
        <v/>
      </c>
      <c r="K393" s="9">
        <f>IF($B393="","",IFERROR(AVERAGEIFS('2. Soil Data'!$G$5:$G$604,'2. Soil Data'!$B$5:$B$604,$B393),""))</f>
        <v/>
      </c>
      <c r="L393" s="9">
        <f>IF(NOT(ISNUMBER($K393)),"",PI()*($K393/2)^2)</f>
        <v/>
      </c>
      <c r="M393" s="9">
        <f>IF(OR(NOT(ISNUMBER($J393)),NOT(ISNUMBER($L393)),$L393=0),"",$J393/$L393*10000)</f>
        <v/>
      </c>
      <c r="N393" s="9">
        <f>IF(NOT(ISNUMBER($M393)),"",$M393*CARBON_FRACTION_ROOT/1000)</f>
        <v/>
      </c>
      <c r="O393" s="11">
        <f>IF(AND($A393="",$B393="",$G393=""),"",IF(AND($B393&lt;&gt;"",COUNTIFS('2. Soil Data'!$B$5:$B$604,$B393)=0),"Core ID not found in Soil Data, so the corer diameter cannot be looked up. ","")&amp;IF(ASH_CORRECTED&lt;&gt;"Yes","Root mass is NOT ash-corrected, so it includes adhering mineral soil and is too high. Set ASH_CORRECTED once you have done it. ","")&amp;IF(AND(ASH_CORRECTED="Yes",NOT(ISNUMBER($H393))),"Ash correction is switched on but no ash fraction is given for this row. ","")&amp;IF($I393="","Sieve mesh not recorded — a fine-root figure cannot be interpreted without it. ","")&amp;IF(AND(ISNUMBER($H393),$H393&gt;0.5),"Ash fraction above 0.5 — over half this sample was mineral soil. Re-wash. ","")&amp;IF($F393="Not separated","Live and dead not separated. Fine for a stock, but "&amp;"note it in reporting. ",""))</f>
        <v/>
      </c>
      <c r="P393" s="6" t="n"/>
      <c r="Q393" s="9">
        <f>IF($B393="",0,IF(COUNTIFS($B$5:$B393,$B393)=1,1,0))</f>
        <v/>
      </c>
    </row>
    <row r="394">
      <c r="A394" s="6" t="n"/>
      <c r="B394" s="6" t="n"/>
      <c r="C394" s="6" t="n"/>
      <c r="D394" s="6" t="n"/>
      <c r="E394" s="6" t="n"/>
      <c r="F394" s="6" t="n"/>
      <c r="G394" s="7" t="n"/>
      <c r="H394" s="7" t="n"/>
      <c r="I394" s="6" t="n"/>
      <c r="J394" s="9">
        <f>IF(NOT(ISNUMBER($G394)),"",IF(AND(ASH_CORRECTED="Yes",ISNUMBER($H394)),$G394*(1-$H394),$G394))</f>
        <v/>
      </c>
      <c r="K394" s="9">
        <f>IF($B394="","",IFERROR(AVERAGEIFS('2. Soil Data'!$G$5:$G$604,'2. Soil Data'!$B$5:$B$604,$B394),""))</f>
        <v/>
      </c>
      <c r="L394" s="9">
        <f>IF(NOT(ISNUMBER($K394)),"",PI()*($K394/2)^2)</f>
        <v/>
      </c>
      <c r="M394" s="9">
        <f>IF(OR(NOT(ISNUMBER($J394)),NOT(ISNUMBER($L394)),$L394=0),"",$J394/$L394*10000)</f>
        <v/>
      </c>
      <c r="N394" s="9">
        <f>IF(NOT(ISNUMBER($M394)),"",$M394*CARBON_FRACTION_ROOT/1000)</f>
        <v/>
      </c>
      <c r="O394" s="11">
        <f>IF(AND($A394="",$B394="",$G394=""),"",IF(AND($B394&lt;&gt;"",COUNTIFS('2. Soil Data'!$B$5:$B$604,$B394)=0),"Core ID not found in Soil Data, so the corer diameter cannot be looked up. ","")&amp;IF(ASH_CORRECTED&lt;&gt;"Yes","Root mass is NOT ash-corrected, so it includes adhering mineral soil and is too high. Set ASH_CORRECTED once you have done it. ","")&amp;IF(AND(ASH_CORRECTED="Yes",NOT(ISNUMBER($H394))),"Ash correction is switched on but no ash fraction is given for this row. ","")&amp;IF($I394="","Sieve mesh not recorded — a fine-root figure cannot be interpreted without it. ","")&amp;IF(AND(ISNUMBER($H394),$H394&gt;0.5),"Ash fraction above 0.5 — over half this sample was mineral soil. Re-wash. ","")&amp;IF($F394="Not separated","Live and dead not separated. Fine for a stock, but "&amp;"note it in reporting. ",""))</f>
        <v/>
      </c>
      <c r="P394" s="6" t="n"/>
      <c r="Q394" s="9">
        <f>IF($B394="",0,IF(COUNTIFS($B$5:$B394,$B394)=1,1,0))</f>
        <v/>
      </c>
    </row>
    <row r="395">
      <c r="A395" s="6" t="n"/>
      <c r="B395" s="6" t="n"/>
      <c r="C395" s="6" t="n"/>
      <c r="D395" s="6" t="n"/>
      <c r="E395" s="6" t="n"/>
      <c r="F395" s="6" t="n"/>
      <c r="G395" s="7" t="n"/>
      <c r="H395" s="7" t="n"/>
      <c r="I395" s="6" t="n"/>
      <c r="J395" s="9">
        <f>IF(NOT(ISNUMBER($G395)),"",IF(AND(ASH_CORRECTED="Yes",ISNUMBER($H395)),$G395*(1-$H395),$G395))</f>
        <v/>
      </c>
      <c r="K395" s="9">
        <f>IF($B395="","",IFERROR(AVERAGEIFS('2. Soil Data'!$G$5:$G$604,'2. Soil Data'!$B$5:$B$604,$B395),""))</f>
        <v/>
      </c>
      <c r="L395" s="9">
        <f>IF(NOT(ISNUMBER($K395)),"",PI()*($K395/2)^2)</f>
        <v/>
      </c>
      <c r="M395" s="9">
        <f>IF(OR(NOT(ISNUMBER($J395)),NOT(ISNUMBER($L395)),$L395=0),"",$J395/$L395*10000)</f>
        <v/>
      </c>
      <c r="N395" s="9">
        <f>IF(NOT(ISNUMBER($M395)),"",$M395*CARBON_FRACTION_ROOT/1000)</f>
        <v/>
      </c>
      <c r="O395" s="11">
        <f>IF(AND($A395="",$B395="",$G395=""),"",IF(AND($B395&lt;&gt;"",COUNTIFS('2. Soil Data'!$B$5:$B$604,$B395)=0),"Core ID not found in Soil Data, so the corer diameter cannot be looked up. ","")&amp;IF(ASH_CORRECTED&lt;&gt;"Yes","Root mass is NOT ash-corrected, so it includes adhering mineral soil and is too high. Set ASH_CORRECTED once you have done it. ","")&amp;IF(AND(ASH_CORRECTED="Yes",NOT(ISNUMBER($H395))),"Ash correction is switched on but no ash fraction is given for this row. ","")&amp;IF($I395="","Sieve mesh not recorded — a fine-root figure cannot be interpreted without it. ","")&amp;IF(AND(ISNUMBER($H395),$H395&gt;0.5),"Ash fraction above 0.5 — over half this sample was mineral soil. Re-wash. ","")&amp;IF($F395="Not separated","Live and dead not separated. Fine for a stock, but "&amp;"note it in reporting. ",""))</f>
        <v/>
      </c>
      <c r="P395" s="6" t="n"/>
      <c r="Q395" s="9">
        <f>IF($B395="",0,IF(COUNTIFS($B$5:$B395,$B395)=1,1,0))</f>
        <v/>
      </c>
    </row>
    <row r="396">
      <c r="A396" s="6" t="n"/>
      <c r="B396" s="6" t="n"/>
      <c r="C396" s="6" t="n"/>
      <c r="D396" s="6" t="n"/>
      <c r="E396" s="6" t="n"/>
      <c r="F396" s="6" t="n"/>
      <c r="G396" s="7" t="n"/>
      <c r="H396" s="7" t="n"/>
      <c r="I396" s="6" t="n"/>
      <c r="J396" s="9">
        <f>IF(NOT(ISNUMBER($G396)),"",IF(AND(ASH_CORRECTED="Yes",ISNUMBER($H396)),$G396*(1-$H396),$G396))</f>
        <v/>
      </c>
      <c r="K396" s="9">
        <f>IF($B396="","",IFERROR(AVERAGEIFS('2. Soil Data'!$G$5:$G$604,'2. Soil Data'!$B$5:$B$604,$B396),""))</f>
        <v/>
      </c>
      <c r="L396" s="9">
        <f>IF(NOT(ISNUMBER($K396)),"",PI()*($K396/2)^2)</f>
        <v/>
      </c>
      <c r="M396" s="9">
        <f>IF(OR(NOT(ISNUMBER($J396)),NOT(ISNUMBER($L396)),$L396=0),"",$J396/$L396*10000)</f>
        <v/>
      </c>
      <c r="N396" s="9">
        <f>IF(NOT(ISNUMBER($M396)),"",$M396*CARBON_FRACTION_ROOT/1000)</f>
        <v/>
      </c>
      <c r="O396" s="11">
        <f>IF(AND($A396="",$B396="",$G396=""),"",IF(AND($B396&lt;&gt;"",COUNTIFS('2. Soil Data'!$B$5:$B$604,$B396)=0),"Core ID not found in Soil Data, so the corer diameter cannot be looked up. ","")&amp;IF(ASH_CORRECTED&lt;&gt;"Yes","Root mass is NOT ash-corrected, so it includes adhering mineral soil and is too high. Set ASH_CORRECTED once you have done it. ","")&amp;IF(AND(ASH_CORRECTED="Yes",NOT(ISNUMBER($H396))),"Ash correction is switched on but no ash fraction is given for this row. ","")&amp;IF($I396="","Sieve mesh not recorded — a fine-root figure cannot be interpreted without it. ","")&amp;IF(AND(ISNUMBER($H396),$H396&gt;0.5),"Ash fraction above 0.5 — over half this sample was mineral soil. Re-wash. ","")&amp;IF($F396="Not separated","Live and dead not separated. Fine for a stock, but "&amp;"note it in reporting. ",""))</f>
        <v/>
      </c>
      <c r="P396" s="6" t="n"/>
      <c r="Q396" s="9">
        <f>IF($B396="",0,IF(COUNTIFS($B$5:$B396,$B396)=1,1,0))</f>
        <v/>
      </c>
    </row>
    <row r="397">
      <c r="A397" s="6" t="n"/>
      <c r="B397" s="6" t="n"/>
      <c r="C397" s="6" t="n"/>
      <c r="D397" s="6" t="n"/>
      <c r="E397" s="6" t="n"/>
      <c r="F397" s="6" t="n"/>
      <c r="G397" s="7" t="n"/>
      <c r="H397" s="7" t="n"/>
      <c r="I397" s="6" t="n"/>
      <c r="J397" s="9">
        <f>IF(NOT(ISNUMBER($G397)),"",IF(AND(ASH_CORRECTED="Yes",ISNUMBER($H397)),$G397*(1-$H397),$G397))</f>
        <v/>
      </c>
      <c r="K397" s="9">
        <f>IF($B397="","",IFERROR(AVERAGEIFS('2. Soil Data'!$G$5:$G$604,'2. Soil Data'!$B$5:$B$604,$B397),""))</f>
        <v/>
      </c>
      <c r="L397" s="9">
        <f>IF(NOT(ISNUMBER($K397)),"",PI()*($K397/2)^2)</f>
        <v/>
      </c>
      <c r="M397" s="9">
        <f>IF(OR(NOT(ISNUMBER($J397)),NOT(ISNUMBER($L397)),$L397=0),"",$J397/$L397*10000)</f>
        <v/>
      </c>
      <c r="N397" s="9">
        <f>IF(NOT(ISNUMBER($M397)),"",$M397*CARBON_FRACTION_ROOT/1000)</f>
        <v/>
      </c>
      <c r="O397" s="11">
        <f>IF(AND($A397="",$B397="",$G397=""),"",IF(AND($B397&lt;&gt;"",COUNTIFS('2. Soil Data'!$B$5:$B$604,$B397)=0),"Core ID not found in Soil Data, so the corer diameter cannot be looked up. ","")&amp;IF(ASH_CORRECTED&lt;&gt;"Yes","Root mass is NOT ash-corrected, so it includes adhering mineral soil and is too high. Set ASH_CORRECTED once you have done it. ","")&amp;IF(AND(ASH_CORRECTED="Yes",NOT(ISNUMBER($H397))),"Ash correction is switched on but no ash fraction is given for this row. ","")&amp;IF($I397="","Sieve mesh not recorded — a fine-root figure cannot be interpreted without it. ","")&amp;IF(AND(ISNUMBER($H397),$H397&gt;0.5),"Ash fraction above 0.5 — over half this sample was mineral soil. Re-wash. ","")&amp;IF($F397="Not separated","Live and dead not separated. Fine for a stock, but "&amp;"note it in reporting. ",""))</f>
        <v/>
      </c>
      <c r="P397" s="6" t="n"/>
      <c r="Q397" s="9">
        <f>IF($B397="",0,IF(COUNTIFS($B$5:$B397,$B397)=1,1,0))</f>
        <v/>
      </c>
    </row>
    <row r="398">
      <c r="A398" s="6" t="n"/>
      <c r="B398" s="6" t="n"/>
      <c r="C398" s="6" t="n"/>
      <c r="D398" s="6" t="n"/>
      <c r="E398" s="6" t="n"/>
      <c r="F398" s="6" t="n"/>
      <c r="G398" s="7" t="n"/>
      <c r="H398" s="7" t="n"/>
      <c r="I398" s="6" t="n"/>
      <c r="J398" s="9">
        <f>IF(NOT(ISNUMBER($G398)),"",IF(AND(ASH_CORRECTED="Yes",ISNUMBER($H398)),$G398*(1-$H398),$G398))</f>
        <v/>
      </c>
      <c r="K398" s="9">
        <f>IF($B398="","",IFERROR(AVERAGEIFS('2. Soil Data'!$G$5:$G$604,'2. Soil Data'!$B$5:$B$604,$B398),""))</f>
        <v/>
      </c>
      <c r="L398" s="9">
        <f>IF(NOT(ISNUMBER($K398)),"",PI()*($K398/2)^2)</f>
        <v/>
      </c>
      <c r="M398" s="9">
        <f>IF(OR(NOT(ISNUMBER($J398)),NOT(ISNUMBER($L398)),$L398=0),"",$J398/$L398*10000)</f>
        <v/>
      </c>
      <c r="N398" s="9">
        <f>IF(NOT(ISNUMBER($M398)),"",$M398*CARBON_FRACTION_ROOT/1000)</f>
        <v/>
      </c>
      <c r="O398" s="11">
        <f>IF(AND($A398="",$B398="",$G398=""),"",IF(AND($B398&lt;&gt;"",COUNTIFS('2. Soil Data'!$B$5:$B$604,$B398)=0),"Core ID not found in Soil Data, so the corer diameter cannot be looked up. ","")&amp;IF(ASH_CORRECTED&lt;&gt;"Yes","Root mass is NOT ash-corrected, so it includes adhering mineral soil and is too high. Set ASH_CORRECTED once you have done it. ","")&amp;IF(AND(ASH_CORRECTED="Yes",NOT(ISNUMBER($H398))),"Ash correction is switched on but no ash fraction is given for this row. ","")&amp;IF($I398="","Sieve mesh not recorded — a fine-root figure cannot be interpreted without it. ","")&amp;IF(AND(ISNUMBER($H398),$H398&gt;0.5),"Ash fraction above 0.5 — over half this sample was mineral soil. Re-wash. ","")&amp;IF($F398="Not separated","Live and dead not separated. Fine for a stock, but "&amp;"note it in reporting. ",""))</f>
        <v/>
      </c>
      <c r="P398" s="6" t="n"/>
      <c r="Q398" s="9">
        <f>IF($B398="",0,IF(COUNTIFS($B$5:$B398,$B398)=1,1,0))</f>
        <v/>
      </c>
    </row>
    <row r="399">
      <c r="A399" s="6" t="n"/>
      <c r="B399" s="6" t="n"/>
      <c r="C399" s="6" t="n"/>
      <c r="D399" s="6" t="n"/>
      <c r="E399" s="6" t="n"/>
      <c r="F399" s="6" t="n"/>
      <c r="G399" s="7" t="n"/>
      <c r="H399" s="7" t="n"/>
      <c r="I399" s="6" t="n"/>
      <c r="J399" s="9">
        <f>IF(NOT(ISNUMBER($G399)),"",IF(AND(ASH_CORRECTED="Yes",ISNUMBER($H399)),$G399*(1-$H399),$G399))</f>
        <v/>
      </c>
      <c r="K399" s="9">
        <f>IF($B399="","",IFERROR(AVERAGEIFS('2. Soil Data'!$G$5:$G$604,'2. Soil Data'!$B$5:$B$604,$B399),""))</f>
        <v/>
      </c>
      <c r="L399" s="9">
        <f>IF(NOT(ISNUMBER($K399)),"",PI()*($K399/2)^2)</f>
        <v/>
      </c>
      <c r="M399" s="9">
        <f>IF(OR(NOT(ISNUMBER($J399)),NOT(ISNUMBER($L399)),$L399=0),"",$J399/$L399*10000)</f>
        <v/>
      </c>
      <c r="N399" s="9">
        <f>IF(NOT(ISNUMBER($M399)),"",$M399*CARBON_FRACTION_ROOT/1000)</f>
        <v/>
      </c>
      <c r="O399" s="11">
        <f>IF(AND($A399="",$B399="",$G399=""),"",IF(AND($B399&lt;&gt;"",COUNTIFS('2. Soil Data'!$B$5:$B$604,$B399)=0),"Core ID not found in Soil Data, so the corer diameter cannot be looked up. ","")&amp;IF(ASH_CORRECTED&lt;&gt;"Yes","Root mass is NOT ash-corrected, so it includes adhering mineral soil and is too high. Set ASH_CORRECTED once you have done it. ","")&amp;IF(AND(ASH_CORRECTED="Yes",NOT(ISNUMBER($H399))),"Ash correction is switched on but no ash fraction is given for this row. ","")&amp;IF($I399="","Sieve mesh not recorded — a fine-root figure cannot be interpreted without it. ","")&amp;IF(AND(ISNUMBER($H399),$H399&gt;0.5),"Ash fraction above 0.5 — over half this sample was mineral soil. Re-wash. ","")&amp;IF($F399="Not separated","Live and dead not separated. Fine for a stock, but "&amp;"note it in reporting. ",""))</f>
        <v/>
      </c>
      <c r="P399" s="6" t="n"/>
      <c r="Q399" s="9">
        <f>IF($B399="",0,IF(COUNTIFS($B$5:$B399,$B399)=1,1,0))</f>
        <v/>
      </c>
    </row>
    <row r="400">
      <c r="A400" s="6" t="n"/>
      <c r="B400" s="6" t="n"/>
      <c r="C400" s="6" t="n"/>
      <c r="D400" s="6" t="n"/>
      <c r="E400" s="6" t="n"/>
      <c r="F400" s="6" t="n"/>
      <c r="G400" s="7" t="n"/>
      <c r="H400" s="7" t="n"/>
      <c r="I400" s="6" t="n"/>
      <c r="J400" s="9">
        <f>IF(NOT(ISNUMBER($G400)),"",IF(AND(ASH_CORRECTED="Yes",ISNUMBER($H400)),$G400*(1-$H400),$G400))</f>
        <v/>
      </c>
      <c r="K400" s="9">
        <f>IF($B400="","",IFERROR(AVERAGEIFS('2. Soil Data'!$G$5:$G$604,'2. Soil Data'!$B$5:$B$604,$B400),""))</f>
        <v/>
      </c>
      <c r="L400" s="9">
        <f>IF(NOT(ISNUMBER($K400)),"",PI()*($K400/2)^2)</f>
        <v/>
      </c>
      <c r="M400" s="9">
        <f>IF(OR(NOT(ISNUMBER($J400)),NOT(ISNUMBER($L400)),$L400=0),"",$J400/$L400*10000)</f>
        <v/>
      </c>
      <c r="N400" s="9">
        <f>IF(NOT(ISNUMBER($M400)),"",$M400*CARBON_FRACTION_ROOT/1000)</f>
        <v/>
      </c>
      <c r="O400" s="11">
        <f>IF(AND($A400="",$B400="",$G400=""),"",IF(AND($B400&lt;&gt;"",COUNTIFS('2. Soil Data'!$B$5:$B$604,$B400)=0),"Core ID not found in Soil Data, so the corer diameter cannot be looked up. ","")&amp;IF(ASH_CORRECTED&lt;&gt;"Yes","Root mass is NOT ash-corrected, so it includes adhering mineral soil and is too high. Set ASH_CORRECTED once you have done it. ","")&amp;IF(AND(ASH_CORRECTED="Yes",NOT(ISNUMBER($H400))),"Ash correction is switched on but no ash fraction is given for this row. ","")&amp;IF($I400="","Sieve mesh not recorded — a fine-root figure cannot be interpreted without it. ","")&amp;IF(AND(ISNUMBER($H400),$H400&gt;0.5),"Ash fraction above 0.5 — over half this sample was mineral soil. Re-wash. ","")&amp;IF($F400="Not separated","Live and dead not separated. Fine for a stock, but "&amp;"note it in reporting. ",""))</f>
        <v/>
      </c>
      <c r="P400" s="6" t="n"/>
      <c r="Q400" s="9">
        <f>IF($B400="",0,IF(COUNTIFS($B$5:$B400,$B400)=1,1,0))</f>
        <v/>
      </c>
    </row>
    <row r="401">
      <c r="A401" s="6" t="n"/>
      <c r="B401" s="6" t="n"/>
      <c r="C401" s="6" t="n"/>
      <c r="D401" s="6" t="n"/>
      <c r="E401" s="6" t="n"/>
      <c r="F401" s="6" t="n"/>
      <c r="G401" s="7" t="n"/>
      <c r="H401" s="7" t="n"/>
      <c r="I401" s="6" t="n"/>
      <c r="J401" s="9">
        <f>IF(NOT(ISNUMBER($G401)),"",IF(AND(ASH_CORRECTED="Yes",ISNUMBER($H401)),$G401*(1-$H401),$G401))</f>
        <v/>
      </c>
      <c r="K401" s="9">
        <f>IF($B401="","",IFERROR(AVERAGEIFS('2. Soil Data'!$G$5:$G$604,'2. Soil Data'!$B$5:$B$604,$B401),""))</f>
        <v/>
      </c>
      <c r="L401" s="9">
        <f>IF(NOT(ISNUMBER($K401)),"",PI()*($K401/2)^2)</f>
        <v/>
      </c>
      <c r="M401" s="9">
        <f>IF(OR(NOT(ISNUMBER($J401)),NOT(ISNUMBER($L401)),$L401=0),"",$J401/$L401*10000)</f>
        <v/>
      </c>
      <c r="N401" s="9">
        <f>IF(NOT(ISNUMBER($M401)),"",$M401*CARBON_FRACTION_ROOT/1000)</f>
        <v/>
      </c>
      <c r="O401" s="11">
        <f>IF(AND($A401="",$B401="",$G401=""),"",IF(AND($B401&lt;&gt;"",COUNTIFS('2. Soil Data'!$B$5:$B$604,$B401)=0),"Core ID not found in Soil Data, so the corer diameter cannot be looked up. ","")&amp;IF(ASH_CORRECTED&lt;&gt;"Yes","Root mass is NOT ash-corrected, so it includes adhering mineral soil and is too high. Set ASH_CORRECTED once you have done it. ","")&amp;IF(AND(ASH_CORRECTED="Yes",NOT(ISNUMBER($H401))),"Ash correction is switched on but no ash fraction is given for this row. ","")&amp;IF($I401="","Sieve mesh not recorded — a fine-root figure cannot be interpreted without it. ","")&amp;IF(AND(ISNUMBER($H401),$H401&gt;0.5),"Ash fraction above 0.5 — over half this sample was mineral soil. Re-wash. ","")&amp;IF($F401="Not separated","Live and dead not separated. Fine for a stock, but "&amp;"note it in reporting. ",""))</f>
        <v/>
      </c>
      <c r="P401" s="6" t="n"/>
      <c r="Q401" s="9">
        <f>IF($B401="",0,IF(COUNTIFS($B$5:$B401,$B401)=1,1,0))</f>
        <v/>
      </c>
    </row>
    <row r="402">
      <c r="A402" s="6" t="n"/>
      <c r="B402" s="6" t="n"/>
      <c r="C402" s="6" t="n"/>
      <c r="D402" s="6" t="n"/>
      <c r="E402" s="6" t="n"/>
      <c r="F402" s="6" t="n"/>
      <c r="G402" s="7" t="n"/>
      <c r="H402" s="7" t="n"/>
      <c r="I402" s="6" t="n"/>
      <c r="J402" s="9">
        <f>IF(NOT(ISNUMBER($G402)),"",IF(AND(ASH_CORRECTED="Yes",ISNUMBER($H402)),$G402*(1-$H402),$G402))</f>
        <v/>
      </c>
      <c r="K402" s="9">
        <f>IF($B402="","",IFERROR(AVERAGEIFS('2. Soil Data'!$G$5:$G$604,'2. Soil Data'!$B$5:$B$604,$B402),""))</f>
        <v/>
      </c>
      <c r="L402" s="9">
        <f>IF(NOT(ISNUMBER($K402)),"",PI()*($K402/2)^2)</f>
        <v/>
      </c>
      <c r="M402" s="9">
        <f>IF(OR(NOT(ISNUMBER($J402)),NOT(ISNUMBER($L402)),$L402=0),"",$J402/$L402*10000)</f>
        <v/>
      </c>
      <c r="N402" s="9">
        <f>IF(NOT(ISNUMBER($M402)),"",$M402*CARBON_FRACTION_ROOT/1000)</f>
        <v/>
      </c>
      <c r="O402" s="11">
        <f>IF(AND($A402="",$B402="",$G402=""),"",IF(AND($B402&lt;&gt;"",COUNTIFS('2. Soil Data'!$B$5:$B$604,$B402)=0),"Core ID not found in Soil Data, so the corer diameter cannot be looked up. ","")&amp;IF(ASH_CORRECTED&lt;&gt;"Yes","Root mass is NOT ash-corrected, so it includes adhering mineral soil and is too high. Set ASH_CORRECTED once you have done it. ","")&amp;IF(AND(ASH_CORRECTED="Yes",NOT(ISNUMBER($H402))),"Ash correction is switched on but no ash fraction is given for this row. ","")&amp;IF($I402="","Sieve mesh not recorded — a fine-root figure cannot be interpreted without it. ","")&amp;IF(AND(ISNUMBER($H402),$H402&gt;0.5),"Ash fraction above 0.5 — over half this sample was mineral soil. Re-wash. ","")&amp;IF($F402="Not separated","Live and dead not separated. Fine for a stock, but "&amp;"note it in reporting. ",""))</f>
        <v/>
      </c>
      <c r="P402" s="6" t="n"/>
      <c r="Q402" s="9">
        <f>IF($B402="",0,IF(COUNTIFS($B$5:$B402,$B402)=1,1,0))</f>
        <v/>
      </c>
    </row>
    <row r="403">
      <c r="A403" s="6" t="n"/>
      <c r="B403" s="6" t="n"/>
      <c r="C403" s="6" t="n"/>
      <c r="D403" s="6" t="n"/>
      <c r="E403" s="6" t="n"/>
      <c r="F403" s="6" t="n"/>
      <c r="G403" s="7" t="n"/>
      <c r="H403" s="7" t="n"/>
      <c r="I403" s="6" t="n"/>
      <c r="J403" s="9">
        <f>IF(NOT(ISNUMBER($G403)),"",IF(AND(ASH_CORRECTED="Yes",ISNUMBER($H403)),$G403*(1-$H403),$G403))</f>
        <v/>
      </c>
      <c r="K403" s="9">
        <f>IF($B403="","",IFERROR(AVERAGEIFS('2. Soil Data'!$G$5:$G$604,'2. Soil Data'!$B$5:$B$604,$B403),""))</f>
        <v/>
      </c>
      <c r="L403" s="9">
        <f>IF(NOT(ISNUMBER($K403)),"",PI()*($K403/2)^2)</f>
        <v/>
      </c>
      <c r="M403" s="9">
        <f>IF(OR(NOT(ISNUMBER($J403)),NOT(ISNUMBER($L403)),$L403=0),"",$J403/$L403*10000)</f>
        <v/>
      </c>
      <c r="N403" s="9">
        <f>IF(NOT(ISNUMBER($M403)),"",$M403*CARBON_FRACTION_ROOT/1000)</f>
        <v/>
      </c>
      <c r="O403" s="11">
        <f>IF(AND($A403="",$B403="",$G403=""),"",IF(AND($B403&lt;&gt;"",COUNTIFS('2. Soil Data'!$B$5:$B$604,$B403)=0),"Core ID not found in Soil Data, so the corer diameter cannot be looked up. ","")&amp;IF(ASH_CORRECTED&lt;&gt;"Yes","Root mass is NOT ash-corrected, so it includes adhering mineral soil and is too high. Set ASH_CORRECTED once you have done it. ","")&amp;IF(AND(ASH_CORRECTED="Yes",NOT(ISNUMBER($H403))),"Ash correction is switched on but no ash fraction is given for this row. ","")&amp;IF($I403="","Sieve mesh not recorded — a fine-root figure cannot be interpreted without it. ","")&amp;IF(AND(ISNUMBER($H403),$H403&gt;0.5),"Ash fraction above 0.5 — over half this sample was mineral soil. Re-wash. ","")&amp;IF($F403="Not separated","Live and dead not separated. Fine for a stock, but "&amp;"note it in reporting. ",""))</f>
        <v/>
      </c>
      <c r="P403" s="6" t="n"/>
      <c r="Q403" s="9">
        <f>IF($B403="",0,IF(COUNTIFS($B$5:$B403,$B403)=1,1,0))</f>
        <v/>
      </c>
    </row>
    <row r="404">
      <c r="A404" s="6" t="n"/>
      <c r="B404" s="6" t="n"/>
      <c r="C404" s="6" t="n"/>
      <c r="D404" s="6" t="n"/>
      <c r="E404" s="6" t="n"/>
      <c r="F404" s="6" t="n"/>
      <c r="G404" s="7" t="n"/>
      <c r="H404" s="7" t="n"/>
      <c r="I404" s="6" t="n"/>
      <c r="J404" s="9">
        <f>IF(NOT(ISNUMBER($G404)),"",IF(AND(ASH_CORRECTED="Yes",ISNUMBER($H404)),$G404*(1-$H404),$G404))</f>
        <v/>
      </c>
      <c r="K404" s="9">
        <f>IF($B404="","",IFERROR(AVERAGEIFS('2. Soil Data'!$G$5:$G$604,'2. Soil Data'!$B$5:$B$604,$B404),""))</f>
        <v/>
      </c>
      <c r="L404" s="9">
        <f>IF(NOT(ISNUMBER($K404)),"",PI()*($K404/2)^2)</f>
        <v/>
      </c>
      <c r="M404" s="9">
        <f>IF(OR(NOT(ISNUMBER($J404)),NOT(ISNUMBER($L404)),$L404=0),"",$J404/$L404*10000)</f>
        <v/>
      </c>
      <c r="N404" s="9">
        <f>IF(NOT(ISNUMBER($M404)),"",$M404*CARBON_FRACTION_ROOT/1000)</f>
        <v/>
      </c>
      <c r="O404" s="11">
        <f>IF(AND($A404="",$B404="",$G404=""),"",IF(AND($B404&lt;&gt;"",COUNTIFS('2. Soil Data'!$B$5:$B$604,$B404)=0),"Core ID not found in Soil Data, so the corer diameter cannot be looked up. ","")&amp;IF(ASH_CORRECTED&lt;&gt;"Yes","Root mass is NOT ash-corrected, so it includes adhering mineral soil and is too high. Set ASH_CORRECTED once you have done it. ","")&amp;IF(AND(ASH_CORRECTED="Yes",NOT(ISNUMBER($H404))),"Ash correction is switched on but no ash fraction is given for this row. ","")&amp;IF($I404="","Sieve mesh not recorded — a fine-root figure cannot be interpreted without it. ","")&amp;IF(AND(ISNUMBER($H404),$H404&gt;0.5),"Ash fraction above 0.5 — over half this sample was mineral soil. Re-wash. ","")&amp;IF($F404="Not separated","Live and dead not separated. Fine for a stock, but "&amp;"note it in reporting. ",""))</f>
        <v/>
      </c>
      <c r="P404" s="6" t="n"/>
      <c r="Q404" s="9">
        <f>IF($B404="",0,IF(COUNTIFS($B$5:$B404,$B404)=1,1,0))</f>
        <v/>
      </c>
    </row>
    <row r="405">
      <c r="A405" s="6" t="n"/>
      <c r="B405" s="6" t="n"/>
      <c r="C405" s="6" t="n"/>
      <c r="D405" s="6" t="n"/>
      <c r="E405" s="6" t="n"/>
      <c r="F405" s="6" t="n"/>
      <c r="G405" s="7" t="n"/>
      <c r="H405" s="7" t="n"/>
      <c r="I405" s="6" t="n"/>
      <c r="J405" s="9">
        <f>IF(NOT(ISNUMBER($G405)),"",IF(AND(ASH_CORRECTED="Yes",ISNUMBER($H405)),$G405*(1-$H405),$G405))</f>
        <v/>
      </c>
      <c r="K405" s="9">
        <f>IF($B405="","",IFERROR(AVERAGEIFS('2. Soil Data'!$G$5:$G$604,'2. Soil Data'!$B$5:$B$604,$B405),""))</f>
        <v/>
      </c>
      <c r="L405" s="9">
        <f>IF(NOT(ISNUMBER($K405)),"",PI()*($K405/2)^2)</f>
        <v/>
      </c>
      <c r="M405" s="9">
        <f>IF(OR(NOT(ISNUMBER($J405)),NOT(ISNUMBER($L405)),$L405=0),"",$J405/$L405*10000)</f>
        <v/>
      </c>
      <c r="N405" s="9">
        <f>IF(NOT(ISNUMBER($M405)),"",$M405*CARBON_FRACTION_ROOT/1000)</f>
        <v/>
      </c>
      <c r="O405" s="11">
        <f>IF(AND($A405="",$B405="",$G405=""),"",IF(AND($B405&lt;&gt;"",COUNTIFS('2. Soil Data'!$B$5:$B$604,$B405)=0),"Core ID not found in Soil Data, so the corer diameter cannot be looked up. ","")&amp;IF(ASH_CORRECTED&lt;&gt;"Yes","Root mass is NOT ash-corrected, so it includes adhering mineral soil and is too high. Set ASH_CORRECTED once you have done it. ","")&amp;IF(AND(ASH_CORRECTED="Yes",NOT(ISNUMBER($H405))),"Ash correction is switched on but no ash fraction is given for this row. ","")&amp;IF($I405="","Sieve mesh not recorded — a fine-root figure cannot be interpreted without it. ","")&amp;IF(AND(ISNUMBER($H405),$H405&gt;0.5),"Ash fraction above 0.5 — over half this sample was mineral soil. Re-wash. ","")&amp;IF($F405="Not separated","Live and dead not separated. Fine for a stock, but "&amp;"note it in reporting. ",""))</f>
        <v/>
      </c>
      <c r="P405" s="6" t="n"/>
      <c r="Q405" s="9">
        <f>IF($B405="",0,IF(COUNTIFS($B$5:$B405,$B405)=1,1,0))</f>
        <v/>
      </c>
    </row>
    <row r="406">
      <c r="A406" s="6" t="n"/>
      <c r="B406" s="6" t="n"/>
      <c r="C406" s="6" t="n"/>
      <c r="D406" s="6" t="n"/>
      <c r="E406" s="6" t="n"/>
      <c r="F406" s="6" t="n"/>
      <c r="G406" s="7" t="n"/>
      <c r="H406" s="7" t="n"/>
      <c r="I406" s="6" t="n"/>
      <c r="J406" s="9">
        <f>IF(NOT(ISNUMBER($G406)),"",IF(AND(ASH_CORRECTED="Yes",ISNUMBER($H406)),$G406*(1-$H406),$G406))</f>
        <v/>
      </c>
      <c r="K406" s="9">
        <f>IF($B406="","",IFERROR(AVERAGEIFS('2. Soil Data'!$G$5:$G$604,'2. Soil Data'!$B$5:$B$604,$B406),""))</f>
        <v/>
      </c>
      <c r="L406" s="9">
        <f>IF(NOT(ISNUMBER($K406)),"",PI()*($K406/2)^2)</f>
        <v/>
      </c>
      <c r="M406" s="9">
        <f>IF(OR(NOT(ISNUMBER($J406)),NOT(ISNUMBER($L406)),$L406=0),"",$J406/$L406*10000)</f>
        <v/>
      </c>
      <c r="N406" s="9">
        <f>IF(NOT(ISNUMBER($M406)),"",$M406*CARBON_FRACTION_ROOT/1000)</f>
        <v/>
      </c>
      <c r="O406" s="11">
        <f>IF(AND($A406="",$B406="",$G406=""),"",IF(AND($B406&lt;&gt;"",COUNTIFS('2. Soil Data'!$B$5:$B$604,$B406)=0),"Core ID not found in Soil Data, so the corer diameter cannot be looked up. ","")&amp;IF(ASH_CORRECTED&lt;&gt;"Yes","Root mass is NOT ash-corrected, so it includes adhering mineral soil and is too high. Set ASH_CORRECTED once you have done it. ","")&amp;IF(AND(ASH_CORRECTED="Yes",NOT(ISNUMBER($H406))),"Ash correction is switched on but no ash fraction is given for this row. ","")&amp;IF($I406="","Sieve mesh not recorded — a fine-root figure cannot be interpreted without it. ","")&amp;IF(AND(ISNUMBER($H406),$H406&gt;0.5),"Ash fraction above 0.5 — over half this sample was mineral soil. Re-wash. ","")&amp;IF($F406="Not separated","Live and dead not separated. Fine for a stock, but "&amp;"note it in reporting. ",""))</f>
        <v/>
      </c>
      <c r="P406" s="6" t="n"/>
      <c r="Q406" s="9">
        <f>IF($B406="",0,IF(COUNTIFS($B$5:$B406,$B406)=1,1,0))</f>
        <v/>
      </c>
    </row>
    <row r="407">
      <c r="A407" s="6" t="n"/>
      <c r="B407" s="6" t="n"/>
      <c r="C407" s="6" t="n"/>
      <c r="D407" s="6" t="n"/>
      <c r="E407" s="6" t="n"/>
      <c r="F407" s="6" t="n"/>
      <c r="G407" s="7" t="n"/>
      <c r="H407" s="7" t="n"/>
      <c r="I407" s="6" t="n"/>
      <c r="J407" s="9">
        <f>IF(NOT(ISNUMBER($G407)),"",IF(AND(ASH_CORRECTED="Yes",ISNUMBER($H407)),$G407*(1-$H407),$G407))</f>
        <v/>
      </c>
      <c r="K407" s="9">
        <f>IF($B407="","",IFERROR(AVERAGEIFS('2. Soil Data'!$G$5:$G$604,'2. Soil Data'!$B$5:$B$604,$B407),""))</f>
        <v/>
      </c>
      <c r="L407" s="9">
        <f>IF(NOT(ISNUMBER($K407)),"",PI()*($K407/2)^2)</f>
        <v/>
      </c>
      <c r="M407" s="9">
        <f>IF(OR(NOT(ISNUMBER($J407)),NOT(ISNUMBER($L407)),$L407=0),"",$J407/$L407*10000)</f>
        <v/>
      </c>
      <c r="N407" s="9">
        <f>IF(NOT(ISNUMBER($M407)),"",$M407*CARBON_FRACTION_ROOT/1000)</f>
        <v/>
      </c>
      <c r="O407" s="11">
        <f>IF(AND($A407="",$B407="",$G407=""),"",IF(AND($B407&lt;&gt;"",COUNTIFS('2. Soil Data'!$B$5:$B$604,$B407)=0),"Core ID not found in Soil Data, so the corer diameter cannot be looked up. ","")&amp;IF(ASH_CORRECTED&lt;&gt;"Yes","Root mass is NOT ash-corrected, so it includes adhering mineral soil and is too high. Set ASH_CORRECTED once you have done it. ","")&amp;IF(AND(ASH_CORRECTED="Yes",NOT(ISNUMBER($H407))),"Ash correction is switched on but no ash fraction is given for this row. ","")&amp;IF($I407="","Sieve mesh not recorded — a fine-root figure cannot be interpreted without it. ","")&amp;IF(AND(ISNUMBER($H407),$H407&gt;0.5),"Ash fraction above 0.5 — over half this sample was mineral soil. Re-wash. ","")&amp;IF($F407="Not separated","Live and dead not separated. Fine for a stock, but "&amp;"note it in reporting. ",""))</f>
        <v/>
      </c>
      <c r="P407" s="6" t="n"/>
      <c r="Q407" s="9">
        <f>IF($B407="",0,IF(COUNTIFS($B$5:$B407,$B407)=1,1,0))</f>
        <v/>
      </c>
    </row>
    <row r="408">
      <c r="A408" s="6" t="n"/>
      <c r="B408" s="6" t="n"/>
      <c r="C408" s="6" t="n"/>
      <c r="D408" s="6" t="n"/>
      <c r="E408" s="6" t="n"/>
      <c r="F408" s="6" t="n"/>
      <c r="G408" s="7" t="n"/>
      <c r="H408" s="7" t="n"/>
      <c r="I408" s="6" t="n"/>
      <c r="J408" s="9">
        <f>IF(NOT(ISNUMBER($G408)),"",IF(AND(ASH_CORRECTED="Yes",ISNUMBER($H408)),$G408*(1-$H408),$G408))</f>
        <v/>
      </c>
      <c r="K408" s="9">
        <f>IF($B408="","",IFERROR(AVERAGEIFS('2. Soil Data'!$G$5:$G$604,'2. Soil Data'!$B$5:$B$604,$B408),""))</f>
        <v/>
      </c>
      <c r="L408" s="9">
        <f>IF(NOT(ISNUMBER($K408)),"",PI()*($K408/2)^2)</f>
        <v/>
      </c>
      <c r="M408" s="9">
        <f>IF(OR(NOT(ISNUMBER($J408)),NOT(ISNUMBER($L408)),$L408=0),"",$J408/$L408*10000)</f>
        <v/>
      </c>
      <c r="N408" s="9">
        <f>IF(NOT(ISNUMBER($M408)),"",$M408*CARBON_FRACTION_ROOT/1000)</f>
        <v/>
      </c>
      <c r="O408" s="11">
        <f>IF(AND($A408="",$B408="",$G408=""),"",IF(AND($B408&lt;&gt;"",COUNTIFS('2. Soil Data'!$B$5:$B$604,$B408)=0),"Core ID not found in Soil Data, so the corer diameter cannot be looked up. ","")&amp;IF(ASH_CORRECTED&lt;&gt;"Yes","Root mass is NOT ash-corrected, so it includes adhering mineral soil and is too high. Set ASH_CORRECTED once you have done it. ","")&amp;IF(AND(ASH_CORRECTED="Yes",NOT(ISNUMBER($H408))),"Ash correction is switched on but no ash fraction is given for this row. ","")&amp;IF($I408="","Sieve mesh not recorded — a fine-root figure cannot be interpreted without it. ","")&amp;IF(AND(ISNUMBER($H408),$H408&gt;0.5),"Ash fraction above 0.5 — over half this sample was mineral soil. Re-wash. ","")&amp;IF($F408="Not separated","Live and dead not separated. Fine for a stock, but "&amp;"note it in reporting. ",""))</f>
        <v/>
      </c>
      <c r="P408" s="6" t="n"/>
      <c r="Q408" s="9">
        <f>IF($B408="",0,IF(COUNTIFS($B$5:$B408,$B408)=1,1,0))</f>
        <v/>
      </c>
    </row>
    <row r="409">
      <c r="A409" s="6" t="n"/>
      <c r="B409" s="6" t="n"/>
      <c r="C409" s="6" t="n"/>
      <c r="D409" s="6" t="n"/>
      <c r="E409" s="6" t="n"/>
      <c r="F409" s="6" t="n"/>
      <c r="G409" s="7" t="n"/>
      <c r="H409" s="7" t="n"/>
      <c r="I409" s="6" t="n"/>
      <c r="J409" s="9">
        <f>IF(NOT(ISNUMBER($G409)),"",IF(AND(ASH_CORRECTED="Yes",ISNUMBER($H409)),$G409*(1-$H409),$G409))</f>
        <v/>
      </c>
      <c r="K409" s="9">
        <f>IF($B409="","",IFERROR(AVERAGEIFS('2. Soil Data'!$G$5:$G$604,'2. Soil Data'!$B$5:$B$604,$B409),""))</f>
        <v/>
      </c>
      <c r="L409" s="9">
        <f>IF(NOT(ISNUMBER($K409)),"",PI()*($K409/2)^2)</f>
        <v/>
      </c>
      <c r="M409" s="9">
        <f>IF(OR(NOT(ISNUMBER($J409)),NOT(ISNUMBER($L409)),$L409=0),"",$J409/$L409*10000)</f>
        <v/>
      </c>
      <c r="N409" s="9">
        <f>IF(NOT(ISNUMBER($M409)),"",$M409*CARBON_FRACTION_ROOT/1000)</f>
        <v/>
      </c>
      <c r="O409" s="11">
        <f>IF(AND($A409="",$B409="",$G409=""),"",IF(AND($B409&lt;&gt;"",COUNTIFS('2. Soil Data'!$B$5:$B$604,$B409)=0),"Core ID not found in Soil Data, so the corer diameter cannot be looked up. ","")&amp;IF(ASH_CORRECTED&lt;&gt;"Yes","Root mass is NOT ash-corrected, so it includes adhering mineral soil and is too high. Set ASH_CORRECTED once you have done it. ","")&amp;IF(AND(ASH_CORRECTED="Yes",NOT(ISNUMBER($H409))),"Ash correction is switched on but no ash fraction is given for this row. ","")&amp;IF($I409="","Sieve mesh not recorded — a fine-root figure cannot be interpreted without it. ","")&amp;IF(AND(ISNUMBER($H409),$H409&gt;0.5),"Ash fraction above 0.5 — over half this sample was mineral soil. Re-wash. ","")&amp;IF($F409="Not separated","Live and dead not separated. Fine for a stock, but "&amp;"note it in reporting. ",""))</f>
        <v/>
      </c>
      <c r="P409" s="6" t="n"/>
      <c r="Q409" s="9">
        <f>IF($B409="",0,IF(COUNTIFS($B$5:$B409,$B409)=1,1,0))</f>
        <v/>
      </c>
    </row>
    <row r="410">
      <c r="A410" s="6" t="n"/>
      <c r="B410" s="6" t="n"/>
      <c r="C410" s="6" t="n"/>
      <c r="D410" s="6" t="n"/>
      <c r="E410" s="6" t="n"/>
      <c r="F410" s="6" t="n"/>
      <c r="G410" s="7" t="n"/>
      <c r="H410" s="7" t="n"/>
      <c r="I410" s="6" t="n"/>
      <c r="J410" s="9">
        <f>IF(NOT(ISNUMBER($G410)),"",IF(AND(ASH_CORRECTED="Yes",ISNUMBER($H410)),$G410*(1-$H410),$G410))</f>
        <v/>
      </c>
      <c r="K410" s="9">
        <f>IF($B410="","",IFERROR(AVERAGEIFS('2. Soil Data'!$G$5:$G$604,'2. Soil Data'!$B$5:$B$604,$B410),""))</f>
        <v/>
      </c>
      <c r="L410" s="9">
        <f>IF(NOT(ISNUMBER($K410)),"",PI()*($K410/2)^2)</f>
        <v/>
      </c>
      <c r="M410" s="9">
        <f>IF(OR(NOT(ISNUMBER($J410)),NOT(ISNUMBER($L410)),$L410=0),"",$J410/$L410*10000)</f>
        <v/>
      </c>
      <c r="N410" s="9">
        <f>IF(NOT(ISNUMBER($M410)),"",$M410*CARBON_FRACTION_ROOT/1000)</f>
        <v/>
      </c>
      <c r="O410" s="11">
        <f>IF(AND($A410="",$B410="",$G410=""),"",IF(AND($B410&lt;&gt;"",COUNTIFS('2. Soil Data'!$B$5:$B$604,$B410)=0),"Core ID not found in Soil Data, so the corer diameter cannot be looked up. ","")&amp;IF(ASH_CORRECTED&lt;&gt;"Yes","Root mass is NOT ash-corrected, so it includes adhering mineral soil and is too high. Set ASH_CORRECTED once you have done it. ","")&amp;IF(AND(ASH_CORRECTED="Yes",NOT(ISNUMBER($H410))),"Ash correction is switched on but no ash fraction is given for this row. ","")&amp;IF($I410="","Sieve mesh not recorded — a fine-root figure cannot be interpreted without it. ","")&amp;IF(AND(ISNUMBER($H410),$H410&gt;0.5),"Ash fraction above 0.5 — over half this sample was mineral soil. Re-wash. ","")&amp;IF($F410="Not separated","Live and dead not separated. Fine for a stock, but "&amp;"note it in reporting. ",""))</f>
        <v/>
      </c>
      <c r="P410" s="6" t="n"/>
      <c r="Q410" s="9">
        <f>IF($B410="",0,IF(COUNTIFS($B$5:$B410,$B410)=1,1,0))</f>
        <v/>
      </c>
    </row>
    <row r="411">
      <c r="A411" s="6" t="n"/>
      <c r="B411" s="6" t="n"/>
      <c r="C411" s="6" t="n"/>
      <c r="D411" s="6" t="n"/>
      <c r="E411" s="6" t="n"/>
      <c r="F411" s="6" t="n"/>
      <c r="G411" s="7" t="n"/>
      <c r="H411" s="7" t="n"/>
      <c r="I411" s="6" t="n"/>
      <c r="J411" s="9">
        <f>IF(NOT(ISNUMBER($G411)),"",IF(AND(ASH_CORRECTED="Yes",ISNUMBER($H411)),$G411*(1-$H411),$G411))</f>
        <v/>
      </c>
      <c r="K411" s="9">
        <f>IF($B411="","",IFERROR(AVERAGEIFS('2. Soil Data'!$G$5:$G$604,'2. Soil Data'!$B$5:$B$604,$B411),""))</f>
        <v/>
      </c>
      <c r="L411" s="9">
        <f>IF(NOT(ISNUMBER($K411)),"",PI()*($K411/2)^2)</f>
        <v/>
      </c>
      <c r="M411" s="9">
        <f>IF(OR(NOT(ISNUMBER($J411)),NOT(ISNUMBER($L411)),$L411=0),"",$J411/$L411*10000)</f>
        <v/>
      </c>
      <c r="N411" s="9">
        <f>IF(NOT(ISNUMBER($M411)),"",$M411*CARBON_FRACTION_ROOT/1000)</f>
        <v/>
      </c>
      <c r="O411" s="11">
        <f>IF(AND($A411="",$B411="",$G411=""),"",IF(AND($B411&lt;&gt;"",COUNTIFS('2. Soil Data'!$B$5:$B$604,$B411)=0),"Core ID not found in Soil Data, so the corer diameter cannot be looked up. ","")&amp;IF(ASH_CORRECTED&lt;&gt;"Yes","Root mass is NOT ash-corrected, so it includes adhering mineral soil and is too high. Set ASH_CORRECTED once you have done it. ","")&amp;IF(AND(ASH_CORRECTED="Yes",NOT(ISNUMBER($H411))),"Ash correction is switched on but no ash fraction is given for this row. ","")&amp;IF($I411="","Sieve mesh not recorded — a fine-root figure cannot be interpreted without it. ","")&amp;IF(AND(ISNUMBER($H411),$H411&gt;0.5),"Ash fraction above 0.5 — over half this sample was mineral soil. Re-wash. ","")&amp;IF($F411="Not separated","Live and dead not separated. Fine for a stock, but "&amp;"note it in reporting. ",""))</f>
        <v/>
      </c>
      <c r="P411" s="6" t="n"/>
      <c r="Q411" s="9">
        <f>IF($B411="",0,IF(COUNTIFS($B$5:$B411,$B411)=1,1,0))</f>
        <v/>
      </c>
    </row>
    <row r="412">
      <c r="A412" s="6" t="n"/>
      <c r="B412" s="6" t="n"/>
      <c r="C412" s="6" t="n"/>
      <c r="D412" s="6" t="n"/>
      <c r="E412" s="6" t="n"/>
      <c r="F412" s="6" t="n"/>
      <c r="G412" s="7" t="n"/>
      <c r="H412" s="7" t="n"/>
      <c r="I412" s="6" t="n"/>
      <c r="J412" s="9">
        <f>IF(NOT(ISNUMBER($G412)),"",IF(AND(ASH_CORRECTED="Yes",ISNUMBER($H412)),$G412*(1-$H412),$G412))</f>
        <v/>
      </c>
      <c r="K412" s="9">
        <f>IF($B412="","",IFERROR(AVERAGEIFS('2. Soil Data'!$G$5:$G$604,'2. Soil Data'!$B$5:$B$604,$B412),""))</f>
        <v/>
      </c>
      <c r="L412" s="9">
        <f>IF(NOT(ISNUMBER($K412)),"",PI()*($K412/2)^2)</f>
        <v/>
      </c>
      <c r="M412" s="9">
        <f>IF(OR(NOT(ISNUMBER($J412)),NOT(ISNUMBER($L412)),$L412=0),"",$J412/$L412*10000)</f>
        <v/>
      </c>
      <c r="N412" s="9">
        <f>IF(NOT(ISNUMBER($M412)),"",$M412*CARBON_FRACTION_ROOT/1000)</f>
        <v/>
      </c>
      <c r="O412" s="11">
        <f>IF(AND($A412="",$B412="",$G412=""),"",IF(AND($B412&lt;&gt;"",COUNTIFS('2. Soil Data'!$B$5:$B$604,$B412)=0),"Core ID not found in Soil Data, so the corer diameter cannot be looked up. ","")&amp;IF(ASH_CORRECTED&lt;&gt;"Yes","Root mass is NOT ash-corrected, so it includes adhering mineral soil and is too high. Set ASH_CORRECTED once you have done it. ","")&amp;IF(AND(ASH_CORRECTED="Yes",NOT(ISNUMBER($H412))),"Ash correction is switched on but no ash fraction is given for this row. ","")&amp;IF($I412="","Sieve mesh not recorded — a fine-root figure cannot be interpreted without it. ","")&amp;IF(AND(ISNUMBER($H412),$H412&gt;0.5),"Ash fraction above 0.5 — over half this sample was mineral soil. Re-wash. ","")&amp;IF($F412="Not separated","Live and dead not separated. Fine for a stock, but "&amp;"note it in reporting. ",""))</f>
        <v/>
      </c>
      <c r="P412" s="6" t="n"/>
      <c r="Q412" s="9">
        <f>IF($B412="",0,IF(COUNTIFS($B$5:$B412,$B412)=1,1,0))</f>
        <v/>
      </c>
    </row>
    <row r="413">
      <c r="A413" s="6" t="n"/>
      <c r="B413" s="6" t="n"/>
      <c r="C413" s="6" t="n"/>
      <c r="D413" s="6" t="n"/>
      <c r="E413" s="6" t="n"/>
      <c r="F413" s="6" t="n"/>
      <c r="G413" s="7" t="n"/>
      <c r="H413" s="7" t="n"/>
      <c r="I413" s="6" t="n"/>
      <c r="J413" s="9">
        <f>IF(NOT(ISNUMBER($G413)),"",IF(AND(ASH_CORRECTED="Yes",ISNUMBER($H413)),$G413*(1-$H413),$G413))</f>
        <v/>
      </c>
      <c r="K413" s="9">
        <f>IF($B413="","",IFERROR(AVERAGEIFS('2. Soil Data'!$G$5:$G$604,'2. Soil Data'!$B$5:$B$604,$B413),""))</f>
        <v/>
      </c>
      <c r="L413" s="9">
        <f>IF(NOT(ISNUMBER($K413)),"",PI()*($K413/2)^2)</f>
        <v/>
      </c>
      <c r="M413" s="9">
        <f>IF(OR(NOT(ISNUMBER($J413)),NOT(ISNUMBER($L413)),$L413=0),"",$J413/$L413*10000)</f>
        <v/>
      </c>
      <c r="N413" s="9">
        <f>IF(NOT(ISNUMBER($M413)),"",$M413*CARBON_FRACTION_ROOT/1000)</f>
        <v/>
      </c>
      <c r="O413" s="11">
        <f>IF(AND($A413="",$B413="",$G413=""),"",IF(AND($B413&lt;&gt;"",COUNTIFS('2. Soil Data'!$B$5:$B$604,$B413)=0),"Core ID not found in Soil Data, so the corer diameter cannot be looked up. ","")&amp;IF(ASH_CORRECTED&lt;&gt;"Yes","Root mass is NOT ash-corrected, so it includes adhering mineral soil and is too high. Set ASH_CORRECTED once you have done it. ","")&amp;IF(AND(ASH_CORRECTED="Yes",NOT(ISNUMBER($H413))),"Ash correction is switched on but no ash fraction is given for this row. ","")&amp;IF($I413="","Sieve mesh not recorded — a fine-root figure cannot be interpreted without it. ","")&amp;IF(AND(ISNUMBER($H413),$H413&gt;0.5),"Ash fraction above 0.5 — over half this sample was mineral soil. Re-wash. ","")&amp;IF($F413="Not separated","Live and dead not separated. Fine for a stock, but "&amp;"note it in reporting. ",""))</f>
        <v/>
      </c>
      <c r="P413" s="6" t="n"/>
      <c r="Q413" s="9">
        <f>IF($B413="",0,IF(COUNTIFS($B$5:$B413,$B413)=1,1,0))</f>
        <v/>
      </c>
    </row>
    <row r="414">
      <c r="A414" s="6" t="n"/>
      <c r="B414" s="6" t="n"/>
      <c r="C414" s="6" t="n"/>
      <c r="D414" s="6" t="n"/>
      <c r="E414" s="6" t="n"/>
      <c r="F414" s="6" t="n"/>
      <c r="G414" s="7" t="n"/>
      <c r="H414" s="7" t="n"/>
      <c r="I414" s="6" t="n"/>
      <c r="J414" s="9">
        <f>IF(NOT(ISNUMBER($G414)),"",IF(AND(ASH_CORRECTED="Yes",ISNUMBER($H414)),$G414*(1-$H414),$G414))</f>
        <v/>
      </c>
      <c r="K414" s="9">
        <f>IF($B414="","",IFERROR(AVERAGEIFS('2. Soil Data'!$G$5:$G$604,'2. Soil Data'!$B$5:$B$604,$B414),""))</f>
        <v/>
      </c>
      <c r="L414" s="9">
        <f>IF(NOT(ISNUMBER($K414)),"",PI()*($K414/2)^2)</f>
        <v/>
      </c>
      <c r="M414" s="9">
        <f>IF(OR(NOT(ISNUMBER($J414)),NOT(ISNUMBER($L414)),$L414=0),"",$J414/$L414*10000)</f>
        <v/>
      </c>
      <c r="N414" s="9">
        <f>IF(NOT(ISNUMBER($M414)),"",$M414*CARBON_FRACTION_ROOT/1000)</f>
        <v/>
      </c>
      <c r="O414" s="11">
        <f>IF(AND($A414="",$B414="",$G414=""),"",IF(AND($B414&lt;&gt;"",COUNTIFS('2. Soil Data'!$B$5:$B$604,$B414)=0),"Core ID not found in Soil Data, so the corer diameter cannot be looked up. ","")&amp;IF(ASH_CORRECTED&lt;&gt;"Yes","Root mass is NOT ash-corrected, so it includes adhering mineral soil and is too high. Set ASH_CORRECTED once you have done it. ","")&amp;IF(AND(ASH_CORRECTED="Yes",NOT(ISNUMBER($H414))),"Ash correction is switched on but no ash fraction is given for this row. ","")&amp;IF($I414="","Sieve mesh not recorded — a fine-root figure cannot be interpreted without it. ","")&amp;IF(AND(ISNUMBER($H414),$H414&gt;0.5),"Ash fraction above 0.5 — over half this sample was mineral soil. Re-wash. ","")&amp;IF($F414="Not separated","Live and dead not separated. Fine for a stock, but "&amp;"note it in reporting. ",""))</f>
        <v/>
      </c>
      <c r="P414" s="6" t="n"/>
      <c r="Q414" s="9">
        <f>IF($B414="",0,IF(COUNTIFS($B$5:$B414,$B414)=1,1,0))</f>
        <v/>
      </c>
    </row>
    <row r="415">
      <c r="A415" s="6" t="n"/>
      <c r="B415" s="6" t="n"/>
      <c r="C415" s="6" t="n"/>
      <c r="D415" s="6" t="n"/>
      <c r="E415" s="6" t="n"/>
      <c r="F415" s="6" t="n"/>
      <c r="G415" s="7" t="n"/>
      <c r="H415" s="7" t="n"/>
      <c r="I415" s="6" t="n"/>
      <c r="J415" s="9">
        <f>IF(NOT(ISNUMBER($G415)),"",IF(AND(ASH_CORRECTED="Yes",ISNUMBER($H415)),$G415*(1-$H415),$G415))</f>
        <v/>
      </c>
      <c r="K415" s="9">
        <f>IF($B415="","",IFERROR(AVERAGEIFS('2. Soil Data'!$G$5:$G$604,'2. Soil Data'!$B$5:$B$604,$B415),""))</f>
        <v/>
      </c>
      <c r="L415" s="9">
        <f>IF(NOT(ISNUMBER($K415)),"",PI()*($K415/2)^2)</f>
        <v/>
      </c>
      <c r="M415" s="9">
        <f>IF(OR(NOT(ISNUMBER($J415)),NOT(ISNUMBER($L415)),$L415=0),"",$J415/$L415*10000)</f>
        <v/>
      </c>
      <c r="N415" s="9">
        <f>IF(NOT(ISNUMBER($M415)),"",$M415*CARBON_FRACTION_ROOT/1000)</f>
        <v/>
      </c>
      <c r="O415" s="11">
        <f>IF(AND($A415="",$B415="",$G415=""),"",IF(AND($B415&lt;&gt;"",COUNTIFS('2. Soil Data'!$B$5:$B$604,$B415)=0),"Core ID not found in Soil Data, so the corer diameter cannot be looked up. ","")&amp;IF(ASH_CORRECTED&lt;&gt;"Yes","Root mass is NOT ash-corrected, so it includes adhering mineral soil and is too high. Set ASH_CORRECTED once you have done it. ","")&amp;IF(AND(ASH_CORRECTED="Yes",NOT(ISNUMBER($H415))),"Ash correction is switched on but no ash fraction is given for this row. ","")&amp;IF($I415="","Sieve mesh not recorded — a fine-root figure cannot be interpreted without it. ","")&amp;IF(AND(ISNUMBER($H415),$H415&gt;0.5),"Ash fraction above 0.5 — over half this sample was mineral soil. Re-wash. ","")&amp;IF($F415="Not separated","Live and dead not separated. Fine for a stock, but "&amp;"note it in reporting. ",""))</f>
        <v/>
      </c>
      <c r="P415" s="6" t="n"/>
      <c r="Q415" s="9">
        <f>IF($B415="",0,IF(COUNTIFS($B$5:$B415,$B415)=1,1,0))</f>
        <v/>
      </c>
    </row>
    <row r="416">
      <c r="A416" s="6" t="n"/>
      <c r="B416" s="6" t="n"/>
      <c r="C416" s="6" t="n"/>
      <c r="D416" s="6" t="n"/>
      <c r="E416" s="6" t="n"/>
      <c r="F416" s="6" t="n"/>
      <c r="G416" s="7" t="n"/>
      <c r="H416" s="7" t="n"/>
      <c r="I416" s="6" t="n"/>
      <c r="J416" s="9">
        <f>IF(NOT(ISNUMBER($G416)),"",IF(AND(ASH_CORRECTED="Yes",ISNUMBER($H416)),$G416*(1-$H416),$G416))</f>
        <v/>
      </c>
      <c r="K416" s="9">
        <f>IF($B416="","",IFERROR(AVERAGEIFS('2. Soil Data'!$G$5:$G$604,'2. Soil Data'!$B$5:$B$604,$B416),""))</f>
        <v/>
      </c>
      <c r="L416" s="9">
        <f>IF(NOT(ISNUMBER($K416)),"",PI()*($K416/2)^2)</f>
        <v/>
      </c>
      <c r="M416" s="9">
        <f>IF(OR(NOT(ISNUMBER($J416)),NOT(ISNUMBER($L416)),$L416=0),"",$J416/$L416*10000)</f>
        <v/>
      </c>
      <c r="N416" s="9">
        <f>IF(NOT(ISNUMBER($M416)),"",$M416*CARBON_FRACTION_ROOT/1000)</f>
        <v/>
      </c>
      <c r="O416" s="11">
        <f>IF(AND($A416="",$B416="",$G416=""),"",IF(AND($B416&lt;&gt;"",COUNTIFS('2. Soil Data'!$B$5:$B$604,$B416)=0),"Core ID not found in Soil Data, so the corer diameter cannot be looked up. ","")&amp;IF(ASH_CORRECTED&lt;&gt;"Yes","Root mass is NOT ash-corrected, so it includes adhering mineral soil and is too high. Set ASH_CORRECTED once you have done it. ","")&amp;IF(AND(ASH_CORRECTED="Yes",NOT(ISNUMBER($H416))),"Ash correction is switched on but no ash fraction is given for this row. ","")&amp;IF($I416="","Sieve mesh not recorded — a fine-root figure cannot be interpreted without it. ","")&amp;IF(AND(ISNUMBER($H416),$H416&gt;0.5),"Ash fraction above 0.5 — over half this sample was mineral soil. Re-wash. ","")&amp;IF($F416="Not separated","Live and dead not separated. Fine for a stock, but "&amp;"note it in reporting. ",""))</f>
        <v/>
      </c>
      <c r="P416" s="6" t="n"/>
      <c r="Q416" s="9">
        <f>IF($B416="",0,IF(COUNTIFS($B$5:$B416,$B416)=1,1,0))</f>
        <v/>
      </c>
    </row>
    <row r="417">
      <c r="A417" s="6" t="n"/>
      <c r="B417" s="6" t="n"/>
      <c r="C417" s="6" t="n"/>
      <c r="D417" s="6" t="n"/>
      <c r="E417" s="6" t="n"/>
      <c r="F417" s="6" t="n"/>
      <c r="G417" s="7" t="n"/>
      <c r="H417" s="7" t="n"/>
      <c r="I417" s="6" t="n"/>
      <c r="J417" s="9">
        <f>IF(NOT(ISNUMBER($G417)),"",IF(AND(ASH_CORRECTED="Yes",ISNUMBER($H417)),$G417*(1-$H417),$G417))</f>
        <v/>
      </c>
      <c r="K417" s="9">
        <f>IF($B417="","",IFERROR(AVERAGEIFS('2. Soil Data'!$G$5:$G$604,'2. Soil Data'!$B$5:$B$604,$B417),""))</f>
        <v/>
      </c>
      <c r="L417" s="9">
        <f>IF(NOT(ISNUMBER($K417)),"",PI()*($K417/2)^2)</f>
        <v/>
      </c>
      <c r="M417" s="9">
        <f>IF(OR(NOT(ISNUMBER($J417)),NOT(ISNUMBER($L417)),$L417=0),"",$J417/$L417*10000)</f>
        <v/>
      </c>
      <c r="N417" s="9">
        <f>IF(NOT(ISNUMBER($M417)),"",$M417*CARBON_FRACTION_ROOT/1000)</f>
        <v/>
      </c>
      <c r="O417" s="11">
        <f>IF(AND($A417="",$B417="",$G417=""),"",IF(AND($B417&lt;&gt;"",COUNTIFS('2. Soil Data'!$B$5:$B$604,$B417)=0),"Core ID not found in Soil Data, so the corer diameter cannot be looked up. ","")&amp;IF(ASH_CORRECTED&lt;&gt;"Yes","Root mass is NOT ash-corrected, so it includes adhering mineral soil and is too high. Set ASH_CORRECTED once you have done it. ","")&amp;IF(AND(ASH_CORRECTED="Yes",NOT(ISNUMBER($H417))),"Ash correction is switched on but no ash fraction is given for this row. ","")&amp;IF($I417="","Sieve mesh not recorded — a fine-root figure cannot be interpreted without it. ","")&amp;IF(AND(ISNUMBER($H417),$H417&gt;0.5),"Ash fraction above 0.5 — over half this sample was mineral soil. Re-wash. ","")&amp;IF($F417="Not separated","Live and dead not separated. Fine for a stock, but "&amp;"note it in reporting. ",""))</f>
        <v/>
      </c>
      <c r="P417" s="6" t="n"/>
      <c r="Q417" s="9">
        <f>IF($B417="",0,IF(COUNTIFS($B$5:$B417,$B417)=1,1,0))</f>
        <v/>
      </c>
    </row>
    <row r="418">
      <c r="A418" s="6" t="n"/>
      <c r="B418" s="6" t="n"/>
      <c r="C418" s="6" t="n"/>
      <c r="D418" s="6" t="n"/>
      <c r="E418" s="6" t="n"/>
      <c r="F418" s="6" t="n"/>
      <c r="G418" s="7" t="n"/>
      <c r="H418" s="7" t="n"/>
      <c r="I418" s="6" t="n"/>
      <c r="J418" s="9">
        <f>IF(NOT(ISNUMBER($G418)),"",IF(AND(ASH_CORRECTED="Yes",ISNUMBER($H418)),$G418*(1-$H418),$G418))</f>
        <v/>
      </c>
      <c r="K418" s="9">
        <f>IF($B418="","",IFERROR(AVERAGEIFS('2. Soil Data'!$G$5:$G$604,'2. Soil Data'!$B$5:$B$604,$B418),""))</f>
        <v/>
      </c>
      <c r="L418" s="9">
        <f>IF(NOT(ISNUMBER($K418)),"",PI()*($K418/2)^2)</f>
        <v/>
      </c>
      <c r="M418" s="9">
        <f>IF(OR(NOT(ISNUMBER($J418)),NOT(ISNUMBER($L418)),$L418=0),"",$J418/$L418*10000)</f>
        <v/>
      </c>
      <c r="N418" s="9">
        <f>IF(NOT(ISNUMBER($M418)),"",$M418*CARBON_FRACTION_ROOT/1000)</f>
        <v/>
      </c>
      <c r="O418" s="11">
        <f>IF(AND($A418="",$B418="",$G418=""),"",IF(AND($B418&lt;&gt;"",COUNTIFS('2. Soil Data'!$B$5:$B$604,$B418)=0),"Core ID not found in Soil Data, so the corer diameter cannot be looked up. ","")&amp;IF(ASH_CORRECTED&lt;&gt;"Yes","Root mass is NOT ash-corrected, so it includes adhering mineral soil and is too high. Set ASH_CORRECTED once you have done it. ","")&amp;IF(AND(ASH_CORRECTED="Yes",NOT(ISNUMBER($H418))),"Ash correction is switched on but no ash fraction is given for this row. ","")&amp;IF($I418="","Sieve mesh not recorded — a fine-root figure cannot be interpreted without it. ","")&amp;IF(AND(ISNUMBER($H418),$H418&gt;0.5),"Ash fraction above 0.5 — over half this sample was mineral soil. Re-wash. ","")&amp;IF($F418="Not separated","Live and dead not separated. Fine for a stock, but "&amp;"note it in reporting. ",""))</f>
        <v/>
      </c>
      <c r="P418" s="6" t="n"/>
      <c r="Q418" s="9">
        <f>IF($B418="",0,IF(COUNTIFS($B$5:$B418,$B418)=1,1,0))</f>
        <v/>
      </c>
    </row>
    <row r="419">
      <c r="A419" s="6" t="n"/>
      <c r="B419" s="6" t="n"/>
      <c r="C419" s="6" t="n"/>
      <c r="D419" s="6" t="n"/>
      <c r="E419" s="6" t="n"/>
      <c r="F419" s="6" t="n"/>
      <c r="G419" s="7" t="n"/>
      <c r="H419" s="7" t="n"/>
      <c r="I419" s="6" t="n"/>
      <c r="J419" s="9">
        <f>IF(NOT(ISNUMBER($G419)),"",IF(AND(ASH_CORRECTED="Yes",ISNUMBER($H419)),$G419*(1-$H419),$G419))</f>
        <v/>
      </c>
      <c r="K419" s="9">
        <f>IF($B419="","",IFERROR(AVERAGEIFS('2. Soil Data'!$G$5:$G$604,'2. Soil Data'!$B$5:$B$604,$B419),""))</f>
        <v/>
      </c>
      <c r="L419" s="9">
        <f>IF(NOT(ISNUMBER($K419)),"",PI()*($K419/2)^2)</f>
        <v/>
      </c>
      <c r="M419" s="9">
        <f>IF(OR(NOT(ISNUMBER($J419)),NOT(ISNUMBER($L419)),$L419=0),"",$J419/$L419*10000)</f>
        <v/>
      </c>
      <c r="N419" s="9">
        <f>IF(NOT(ISNUMBER($M419)),"",$M419*CARBON_FRACTION_ROOT/1000)</f>
        <v/>
      </c>
      <c r="O419" s="11">
        <f>IF(AND($A419="",$B419="",$G419=""),"",IF(AND($B419&lt;&gt;"",COUNTIFS('2. Soil Data'!$B$5:$B$604,$B419)=0),"Core ID not found in Soil Data, so the corer diameter cannot be looked up. ","")&amp;IF(ASH_CORRECTED&lt;&gt;"Yes","Root mass is NOT ash-corrected, so it includes adhering mineral soil and is too high. Set ASH_CORRECTED once you have done it. ","")&amp;IF(AND(ASH_CORRECTED="Yes",NOT(ISNUMBER($H419))),"Ash correction is switched on but no ash fraction is given for this row. ","")&amp;IF($I419="","Sieve mesh not recorded — a fine-root figure cannot be interpreted without it. ","")&amp;IF(AND(ISNUMBER($H419),$H419&gt;0.5),"Ash fraction above 0.5 — over half this sample was mineral soil. Re-wash. ","")&amp;IF($F419="Not separated","Live and dead not separated. Fine for a stock, but "&amp;"note it in reporting. ",""))</f>
        <v/>
      </c>
      <c r="P419" s="6" t="n"/>
      <c r="Q419" s="9">
        <f>IF($B419="",0,IF(COUNTIFS($B$5:$B419,$B419)=1,1,0))</f>
        <v/>
      </c>
    </row>
    <row r="420">
      <c r="A420" s="6" t="n"/>
      <c r="B420" s="6" t="n"/>
      <c r="C420" s="6" t="n"/>
      <c r="D420" s="6" t="n"/>
      <c r="E420" s="6" t="n"/>
      <c r="F420" s="6" t="n"/>
      <c r="G420" s="7" t="n"/>
      <c r="H420" s="7" t="n"/>
      <c r="I420" s="6" t="n"/>
      <c r="J420" s="9">
        <f>IF(NOT(ISNUMBER($G420)),"",IF(AND(ASH_CORRECTED="Yes",ISNUMBER($H420)),$G420*(1-$H420),$G420))</f>
        <v/>
      </c>
      <c r="K420" s="9">
        <f>IF($B420="","",IFERROR(AVERAGEIFS('2. Soil Data'!$G$5:$G$604,'2. Soil Data'!$B$5:$B$604,$B420),""))</f>
        <v/>
      </c>
      <c r="L420" s="9">
        <f>IF(NOT(ISNUMBER($K420)),"",PI()*($K420/2)^2)</f>
        <v/>
      </c>
      <c r="M420" s="9">
        <f>IF(OR(NOT(ISNUMBER($J420)),NOT(ISNUMBER($L420)),$L420=0),"",$J420/$L420*10000)</f>
        <v/>
      </c>
      <c r="N420" s="9">
        <f>IF(NOT(ISNUMBER($M420)),"",$M420*CARBON_FRACTION_ROOT/1000)</f>
        <v/>
      </c>
      <c r="O420" s="11">
        <f>IF(AND($A420="",$B420="",$G420=""),"",IF(AND($B420&lt;&gt;"",COUNTIFS('2. Soil Data'!$B$5:$B$604,$B420)=0),"Core ID not found in Soil Data, so the corer diameter cannot be looked up. ","")&amp;IF(ASH_CORRECTED&lt;&gt;"Yes","Root mass is NOT ash-corrected, so it includes adhering mineral soil and is too high. Set ASH_CORRECTED once you have done it. ","")&amp;IF(AND(ASH_CORRECTED="Yes",NOT(ISNUMBER($H420))),"Ash correction is switched on but no ash fraction is given for this row. ","")&amp;IF($I420="","Sieve mesh not recorded — a fine-root figure cannot be interpreted without it. ","")&amp;IF(AND(ISNUMBER($H420),$H420&gt;0.5),"Ash fraction above 0.5 — over half this sample was mineral soil. Re-wash. ","")&amp;IF($F420="Not separated","Live and dead not separated. Fine for a stock, but "&amp;"note it in reporting. ",""))</f>
        <v/>
      </c>
      <c r="P420" s="6" t="n"/>
      <c r="Q420" s="9">
        <f>IF($B420="",0,IF(COUNTIFS($B$5:$B420,$B420)=1,1,0))</f>
        <v/>
      </c>
    </row>
    <row r="421">
      <c r="A421" s="6" t="n"/>
      <c r="B421" s="6" t="n"/>
      <c r="C421" s="6" t="n"/>
      <c r="D421" s="6" t="n"/>
      <c r="E421" s="6" t="n"/>
      <c r="F421" s="6" t="n"/>
      <c r="G421" s="7" t="n"/>
      <c r="H421" s="7" t="n"/>
      <c r="I421" s="6" t="n"/>
      <c r="J421" s="9">
        <f>IF(NOT(ISNUMBER($G421)),"",IF(AND(ASH_CORRECTED="Yes",ISNUMBER($H421)),$G421*(1-$H421),$G421))</f>
        <v/>
      </c>
      <c r="K421" s="9">
        <f>IF($B421="","",IFERROR(AVERAGEIFS('2. Soil Data'!$G$5:$G$604,'2. Soil Data'!$B$5:$B$604,$B421),""))</f>
        <v/>
      </c>
      <c r="L421" s="9">
        <f>IF(NOT(ISNUMBER($K421)),"",PI()*($K421/2)^2)</f>
        <v/>
      </c>
      <c r="M421" s="9">
        <f>IF(OR(NOT(ISNUMBER($J421)),NOT(ISNUMBER($L421)),$L421=0),"",$J421/$L421*10000)</f>
        <v/>
      </c>
      <c r="N421" s="9">
        <f>IF(NOT(ISNUMBER($M421)),"",$M421*CARBON_FRACTION_ROOT/1000)</f>
        <v/>
      </c>
      <c r="O421" s="11">
        <f>IF(AND($A421="",$B421="",$G421=""),"",IF(AND($B421&lt;&gt;"",COUNTIFS('2. Soil Data'!$B$5:$B$604,$B421)=0),"Core ID not found in Soil Data, so the corer diameter cannot be looked up. ","")&amp;IF(ASH_CORRECTED&lt;&gt;"Yes","Root mass is NOT ash-corrected, so it includes adhering mineral soil and is too high. Set ASH_CORRECTED once you have done it. ","")&amp;IF(AND(ASH_CORRECTED="Yes",NOT(ISNUMBER($H421))),"Ash correction is switched on but no ash fraction is given for this row. ","")&amp;IF($I421="","Sieve mesh not recorded — a fine-root figure cannot be interpreted without it. ","")&amp;IF(AND(ISNUMBER($H421),$H421&gt;0.5),"Ash fraction above 0.5 — over half this sample was mineral soil. Re-wash. ","")&amp;IF($F421="Not separated","Live and dead not separated. Fine for a stock, but "&amp;"note it in reporting. ",""))</f>
        <v/>
      </c>
      <c r="P421" s="6" t="n"/>
      <c r="Q421" s="9">
        <f>IF($B421="",0,IF(COUNTIFS($B$5:$B421,$B421)=1,1,0))</f>
        <v/>
      </c>
    </row>
    <row r="422">
      <c r="A422" s="6" t="n"/>
      <c r="B422" s="6" t="n"/>
      <c r="C422" s="6" t="n"/>
      <c r="D422" s="6" t="n"/>
      <c r="E422" s="6" t="n"/>
      <c r="F422" s="6" t="n"/>
      <c r="G422" s="7" t="n"/>
      <c r="H422" s="7" t="n"/>
      <c r="I422" s="6" t="n"/>
      <c r="J422" s="9">
        <f>IF(NOT(ISNUMBER($G422)),"",IF(AND(ASH_CORRECTED="Yes",ISNUMBER($H422)),$G422*(1-$H422),$G422))</f>
        <v/>
      </c>
      <c r="K422" s="9">
        <f>IF($B422="","",IFERROR(AVERAGEIFS('2. Soil Data'!$G$5:$G$604,'2. Soil Data'!$B$5:$B$604,$B422),""))</f>
        <v/>
      </c>
      <c r="L422" s="9">
        <f>IF(NOT(ISNUMBER($K422)),"",PI()*($K422/2)^2)</f>
        <v/>
      </c>
      <c r="M422" s="9">
        <f>IF(OR(NOT(ISNUMBER($J422)),NOT(ISNUMBER($L422)),$L422=0),"",$J422/$L422*10000)</f>
        <v/>
      </c>
      <c r="N422" s="9">
        <f>IF(NOT(ISNUMBER($M422)),"",$M422*CARBON_FRACTION_ROOT/1000)</f>
        <v/>
      </c>
      <c r="O422" s="11">
        <f>IF(AND($A422="",$B422="",$G422=""),"",IF(AND($B422&lt;&gt;"",COUNTIFS('2. Soil Data'!$B$5:$B$604,$B422)=0),"Core ID not found in Soil Data, so the corer diameter cannot be looked up. ","")&amp;IF(ASH_CORRECTED&lt;&gt;"Yes","Root mass is NOT ash-corrected, so it includes adhering mineral soil and is too high. Set ASH_CORRECTED once you have done it. ","")&amp;IF(AND(ASH_CORRECTED="Yes",NOT(ISNUMBER($H422))),"Ash correction is switched on but no ash fraction is given for this row. ","")&amp;IF($I422="","Sieve mesh not recorded — a fine-root figure cannot be interpreted without it. ","")&amp;IF(AND(ISNUMBER($H422),$H422&gt;0.5),"Ash fraction above 0.5 — over half this sample was mineral soil. Re-wash. ","")&amp;IF($F422="Not separated","Live and dead not separated. Fine for a stock, but "&amp;"note it in reporting. ",""))</f>
        <v/>
      </c>
      <c r="P422" s="6" t="n"/>
      <c r="Q422" s="9">
        <f>IF($B422="",0,IF(COUNTIFS($B$5:$B422,$B422)=1,1,0))</f>
        <v/>
      </c>
    </row>
    <row r="423">
      <c r="A423" s="6" t="n"/>
      <c r="B423" s="6" t="n"/>
      <c r="C423" s="6" t="n"/>
      <c r="D423" s="6" t="n"/>
      <c r="E423" s="6" t="n"/>
      <c r="F423" s="6" t="n"/>
      <c r="G423" s="7" t="n"/>
      <c r="H423" s="7" t="n"/>
      <c r="I423" s="6" t="n"/>
      <c r="J423" s="9">
        <f>IF(NOT(ISNUMBER($G423)),"",IF(AND(ASH_CORRECTED="Yes",ISNUMBER($H423)),$G423*(1-$H423),$G423))</f>
        <v/>
      </c>
      <c r="K423" s="9">
        <f>IF($B423="","",IFERROR(AVERAGEIFS('2. Soil Data'!$G$5:$G$604,'2. Soil Data'!$B$5:$B$604,$B423),""))</f>
        <v/>
      </c>
      <c r="L423" s="9">
        <f>IF(NOT(ISNUMBER($K423)),"",PI()*($K423/2)^2)</f>
        <v/>
      </c>
      <c r="M423" s="9">
        <f>IF(OR(NOT(ISNUMBER($J423)),NOT(ISNUMBER($L423)),$L423=0),"",$J423/$L423*10000)</f>
        <v/>
      </c>
      <c r="N423" s="9">
        <f>IF(NOT(ISNUMBER($M423)),"",$M423*CARBON_FRACTION_ROOT/1000)</f>
        <v/>
      </c>
      <c r="O423" s="11">
        <f>IF(AND($A423="",$B423="",$G423=""),"",IF(AND($B423&lt;&gt;"",COUNTIFS('2. Soil Data'!$B$5:$B$604,$B423)=0),"Core ID not found in Soil Data, so the corer diameter cannot be looked up. ","")&amp;IF(ASH_CORRECTED&lt;&gt;"Yes","Root mass is NOT ash-corrected, so it includes adhering mineral soil and is too high. Set ASH_CORRECTED once you have done it. ","")&amp;IF(AND(ASH_CORRECTED="Yes",NOT(ISNUMBER($H423))),"Ash correction is switched on but no ash fraction is given for this row. ","")&amp;IF($I423="","Sieve mesh not recorded — a fine-root figure cannot be interpreted without it. ","")&amp;IF(AND(ISNUMBER($H423),$H423&gt;0.5),"Ash fraction above 0.5 — over half this sample was mineral soil. Re-wash. ","")&amp;IF($F423="Not separated","Live and dead not separated. Fine for a stock, but "&amp;"note it in reporting. ",""))</f>
        <v/>
      </c>
      <c r="P423" s="6" t="n"/>
      <c r="Q423" s="9">
        <f>IF($B423="",0,IF(COUNTIFS($B$5:$B423,$B423)=1,1,0))</f>
        <v/>
      </c>
    </row>
    <row r="424">
      <c r="A424" s="6" t="n"/>
      <c r="B424" s="6" t="n"/>
      <c r="C424" s="6" t="n"/>
      <c r="D424" s="6" t="n"/>
      <c r="E424" s="6" t="n"/>
      <c r="F424" s="6" t="n"/>
      <c r="G424" s="7" t="n"/>
      <c r="H424" s="7" t="n"/>
      <c r="I424" s="6" t="n"/>
      <c r="J424" s="9">
        <f>IF(NOT(ISNUMBER($G424)),"",IF(AND(ASH_CORRECTED="Yes",ISNUMBER($H424)),$G424*(1-$H424),$G424))</f>
        <v/>
      </c>
      <c r="K424" s="9">
        <f>IF($B424="","",IFERROR(AVERAGEIFS('2. Soil Data'!$G$5:$G$604,'2. Soil Data'!$B$5:$B$604,$B424),""))</f>
        <v/>
      </c>
      <c r="L424" s="9">
        <f>IF(NOT(ISNUMBER($K424)),"",PI()*($K424/2)^2)</f>
        <v/>
      </c>
      <c r="M424" s="9">
        <f>IF(OR(NOT(ISNUMBER($J424)),NOT(ISNUMBER($L424)),$L424=0),"",$J424/$L424*10000)</f>
        <v/>
      </c>
      <c r="N424" s="9">
        <f>IF(NOT(ISNUMBER($M424)),"",$M424*CARBON_FRACTION_ROOT/1000)</f>
        <v/>
      </c>
      <c r="O424" s="11">
        <f>IF(AND($A424="",$B424="",$G424=""),"",IF(AND($B424&lt;&gt;"",COUNTIFS('2. Soil Data'!$B$5:$B$604,$B424)=0),"Core ID not found in Soil Data, so the corer diameter cannot be looked up. ","")&amp;IF(ASH_CORRECTED&lt;&gt;"Yes","Root mass is NOT ash-corrected, so it includes adhering mineral soil and is too high. Set ASH_CORRECTED once you have done it. ","")&amp;IF(AND(ASH_CORRECTED="Yes",NOT(ISNUMBER($H424))),"Ash correction is switched on but no ash fraction is given for this row. ","")&amp;IF($I424="","Sieve mesh not recorded — a fine-root figure cannot be interpreted without it. ","")&amp;IF(AND(ISNUMBER($H424),$H424&gt;0.5),"Ash fraction above 0.5 — over half this sample was mineral soil. Re-wash. ","")&amp;IF($F424="Not separated","Live and dead not separated. Fine for a stock, but "&amp;"note it in reporting. ",""))</f>
        <v/>
      </c>
      <c r="P424" s="6" t="n"/>
      <c r="Q424" s="9">
        <f>IF($B424="",0,IF(COUNTIFS($B$5:$B424,$B424)=1,1,0))</f>
        <v/>
      </c>
    </row>
    <row r="425">
      <c r="A425" s="6" t="n"/>
      <c r="B425" s="6" t="n"/>
      <c r="C425" s="6" t="n"/>
      <c r="D425" s="6" t="n"/>
      <c r="E425" s="6" t="n"/>
      <c r="F425" s="6" t="n"/>
      <c r="G425" s="7" t="n"/>
      <c r="H425" s="7" t="n"/>
      <c r="I425" s="6" t="n"/>
      <c r="J425" s="9">
        <f>IF(NOT(ISNUMBER($G425)),"",IF(AND(ASH_CORRECTED="Yes",ISNUMBER($H425)),$G425*(1-$H425),$G425))</f>
        <v/>
      </c>
      <c r="K425" s="9">
        <f>IF($B425="","",IFERROR(AVERAGEIFS('2. Soil Data'!$G$5:$G$604,'2. Soil Data'!$B$5:$B$604,$B425),""))</f>
        <v/>
      </c>
      <c r="L425" s="9">
        <f>IF(NOT(ISNUMBER($K425)),"",PI()*($K425/2)^2)</f>
        <v/>
      </c>
      <c r="M425" s="9">
        <f>IF(OR(NOT(ISNUMBER($J425)),NOT(ISNUMBER($L425)),$L425=0),"",$J425/$L425*10000)</f>
        <v/>
      </c>
      <c r="N425" s="9">
        <f>IF(NOT(ISNUMBER($M425)),"",$M425*CARBON_FRACTION_ROOT/1000)</f>
        <v/>
      </c>
      <c r="O425" s="11">
        <f>IF(AND($A425="",$B425="",$G425=""),"",IF(AND($B425&lt;&gt;"",COUNTIFS('2. Soil Data'!$B$5:$B$604,$B425)=0),"Core ID not found in Soil Data, so the corer diameter cannot be looked up. ","")&amp;IF(ASH_CORRECTED&lt;&gt;"Yes","Root mass is NOT ash-corrected, so it includes adhering mineral soil and is too high. Set ASH_CORRECTED once you have done it. ","")&amp;IF(AND(ASH_CORRECTED="Yes",NOT(ISNUMBER($H425))),"Ash correction is switched on but no ash fraction is given for this row. ","")&amp;IF($I425="","Sieve mesh not recorded — a fine-root figure cannot be interpreted without it. ","")&amp;IF(AND(ISNUMBER($H425),$H425&gt;0.5),"Ash fraction above 0.5 — over half this sample was mineral soil. Re-wash. ","")&amp;IF($F425="Not separated","Live and dead not separated. Fine for a stock, but "&amp;"note it in reporting. ",""))</f>
        <v/>
      </c>
      <c r="P425" s="6" t="n"/>
      <c r="Q425" s="9">
        <f>IF($B425="",0,IF(COUNTIFS($B$5:$B425,$B425)=1,1,0))</f>
        <v/>
      </c>
    </row>
    <row r="426">
      <c r="A426" s="6" t="n"/>
      <c r="B426" s="6" t="n"/>
      <c r="C426" s="6" t="n"/>
      <c r="D426" s="6" t="n"/>
      <c r="E426" s="6" t="n"/>
      <c r="F426" s="6" t="n"/>
      <c r="G426" s="7" t="n"/>
      <c r="H426" s="7" t="n"/>
      <c r="I426" s="6" t="n"/>
      <c r="J426" s="9">
        <f>IF(NOT(ISNUMBER($G426)),"",IF(AND(ASH_CORRECTED="Yes",ISNUMBER($H426)),$G426*(1-$H426),$G426))</f>
        <v/>
      </c>
      <c r="K426" s="9">
        <f>IF($B426="","",IFERROR(AVERAGEIFS('2. Soil Data'!$G$5:$G$604,'2. Soil Data'!$B$5:$B$604,$B426),""))</f>
        <v/>
      </c>
      <c r="L426" s="9">
        <f>IF(NOT(ISNUMBER($K426)),"",PI()*($K426/2)^2)</f>
        <v/>
      </c>
      <c r="M426" s="9">
        <f>IF(OR(NOT(ISNUMBER($J426)),NOT(ISNUMBER($L426)),$L426=0),"",$J426/$L426*10000)</f>
        <v/>
      </c>
      <c r="N426" s="9">
        <f>IF(NOT(ISNUMBER($M426)),"",$M426*CARBON_FRACTION_ROOT/1000)</f>
        <v/>
      </c>
      <c r="O426" s="11">
        <f>IF(AND($A426="",$B426="",$G426=""),"",IF(AND($B426&lt;&gt;"",COUNTIFS('2. Soil Data'!$B$5:$B$604,$B426)=0),"Core ID not found in Soil Data, so the corer diameter cannot be looked up. ","")&amp;IF(ASH_CORRECTED&lt;&gt;"Yes","Root mass is NOT ash-corrected, so it includes adhering mineral soil and is too high. Set ASH_CORRECTED once you have done it. ","")&amp;IF(AND(ASH_CORRECTED="Yes",NOT(ISNUMBER($H426))),"Ash correction is switched on but no ash fraction is given for this row. ","")&amp;IF($I426="","Sieve mesh not recorded — a fine-root figure cannot be interpreted without it. ","")&amp;IF(AND(ISNUMBER($H426),$H426&gt;0.5),"Ash fraction above 0.5 — over half this sample was mineral soil. Re-wash. ","")&amp;IF($F426="Not separated","Live and dead not separated. Fine for a stock, but "&amp;"note it in reporting. ",""))</f>
        <v/>
      </c>
      <c r="P426" s="6" t="n"/>
      <c r="Q426" s="9">
        <f>IF($B426="",0,IF(COUNTIFS($B$5:$B426,$B426)=1,1,0))</f>
        <v/>
      </c>
    </row>
    <row r="427">
      <c r="A427" s="6" t="n"/>
      <c r="B427" s="6" t="n"/>
      <c r="C427" s="6" t="n"/>
      <c r="D427" s="6" t="n"/>
      <c r="E427" s="6" t="n"/>
      <c r="F427" s="6" t="n"/>
      <c r="G427" s="7" t="n"/>
      <c r="H427" s="7" t="n"/>
      <c r="I427" s="6" t="n"/>
      <c r="J427" s="9">
        <f>IF(NOT(ISNUMBER($G427)),"",IF(AND(ASH_CORRECTED="Yes",ISNUMBER($H427)),$G427*(1-$H427),$G427))</f>
        <v/>
      </c>
      <c r="K427" s="9">
        <f>IF($B427="","",IFERROR(AVERAGEIFS('2. Soil Data'!$G$5:$G$604,'2. Soil Data'!$B$5:$B$604,$B427),""))</f>
        <v/>
      </c>
      <c r="L427" s="9">
        <f>IF(NOT(ISNUMBER($K427)),"",PI()*($K427/2)^2)</f>
        <v/>
      </c>
      <c r="M427" s="9">
        <f>IF(OR(NOT(ISNUMBER($J427)),NOT(ISNUMBER($L427)),$L427=0),"",$J427/$L427*10000)</f>
        <v/>
      </c>
      <c r="N427" s="9">
        <f>IF(NOT(ISNUMBER($M427)),"",$M427*CARBON_FRACTION_ROOT/1000)</f>
        <v/>
      </c>
      <c r="O427" s="11">
        <f>IF(AND($A427="",$B427="",$G427=""),"",IF(AND($B427&lt;&gt;"",COUNTIFS('2. Soil Data'!$B$5:$B$604,$B427)=0),"Core ID not found in Soil Data, so the corer diameter cannot be looked up. ","")&amp;IF(ASH_CORRECTED&lt;&gt;"Yes","Root mass is NOT ash-corrected, so it includes adhering mineral soil and is too high. Set ASH_CORRECTED once you have done it. ","")&amp;IF(AND(ASH_CORRECTED="Yes",NOT(ISNUMBER($H427))),"Ash correction is switched on but no ash fraction is given for this row. ","")&amp;IF($I427="","Sieve mesh not recorded — a fine-root figure cannot be interpreted without it. ","")&amp;IF(AND(ISNUMBER($H427),$H427&gt;0.5),"Ash fraction above 0.5 — over half this sample was mineral soil. Re-wash. ","")&amp;IF($F427="Not separated","Live and dead not separated. Fine for a stock, but "&amp;"note it in reporting. ",""))</f>
        <v/>
      </c>
      <c r="P427" s="6" t="n"/>
      <c r="Q427" s="9">
        <f>IF($B427="",0,IF(COUNTIFS($B$5:$B427,$B427)=1,1,0))</f>
        <v/>
      </c>
    </row>
    <row r="428">
      <c r="A428" s="6" t="n"/>
      <c r="B428" s="6" t="n"/>
      <c r="C428" s="6" t="n"/>
      <c r="D428" s="6" t="n"/>
      <c r="E428" s="6" t="n"/>
      <c r="F428" s="6" t="n"/>
      <c r="G428" s="7" t="n"/>
      <c r="H428" s="7" t="n"/>
      <c r="I428" s="6" t="n"/>
      <c r="J428" s="9">
        <f>IF(NOT(ISNUMBER($G428)),"",IF(AND(ASH_CORRECTED="Yes",ISNUMBER($H428)),$G428*(1-$H428),$G428))</f>
        <v/>
      </c>
      <c r="K428" s="9">
        <f>IF($B428="","",IFERROR(AVERAGEIFS('2. Soil Data'!$G$5:$G$604,'2. Soil Data'!$B$5:$B$604,$B428),""))</f>
        <v/>
      </c>
      <c r="L428" s="9">
        <f>IF(NOT(ISNUMBER($K428)),"",PI()*($K428/2)^2)</f>
        <v/>
      </c>
      <c r="M428" s="9">
        <f>IF(OR(NOT(ISNUMBER($J428)),NOT(ISNUMBER($L428)),$L428=0),"",$J428/$L428*10000)</f>
        <v/>
      </c>
      <c r="N428" s="9">
        <f>IF(NOT(ISNUMBER($M428)),"",$M428*CARBON_FRACTION_ROOT/1000)</f>
        <v/>
      </c>
      <c r="O428" s="11">
        <f>IF(AND($A428="",$B428="",$G428=""),"",IF(AND($B428&lt;&gt;"",COUNTIFS('2. Soil Data'!$B$5:$B$604,$B428)=0),"Core ID not found in Soil Data, so the corer diameter cannot be looked up. ","")&amp;IF(ASH_CORRECTED&lt;&gt;"Yes","Root mass is NOT ash-corrected, so it includes adhering mineral soil and is too high. Set ASH_CORRECTED once you have done it. ","")&amp;IF(AND(ASH_CORRECTED="Yes",NOT(ISNUMBER($H428))),"Ash correction is switched on but no ash fraction is given for this row. ","")&amp;IF($I428="","Sieve mesh not recorded — a fine-root figure cannot be interpreted without it. ","")&amp;IF(AND(ISNUMBER($H428),$H428&gt;0.5),"Ash fraction above 0.5 — over half this sample was mineral soil. Re-wash. ","")&amp;IF($F428="Not separated","Live and dead not separated. Fine for a stock, but "&amp;"note it in reporting. ",""))</f>
        <v/>
      </c>
      <c r="P428" s="6" t="n"/>
      <c r="Q428" s="9">
        <f>IF($B428="",0,IF(COUNTIFS($B$5:$B428,$B428)=1,1,0))</f>
        <v/>
      </c>
    </row>
    <row r="429">
      <c r="A429" s="6" t="n"/>
      <c r="B429" s="6" t="n"/>
      <c r="C429" s="6" t="n"/>
      <c r="D429" s="6" t="n"/>
      <c r="E429" s="6" t="n"/>
      <c r="F429" s="6" t="n"/>
      <c r="G429" s="7" t="n"/>
      <c r="H429" s="7" t="n"/>
      <c r="I429" s="6" t="n"/>
      <c r="J429" s="9">
        <f>IF(NOT(ISNUMBER($G429)),"",IF(AND(ASH_CORRECTED="Yes",ISNUMBER($H429)),$G429*(1-$H429),$G429))</f>
        <v/>
      </c>
      <c r="K429" s="9">
        <f>IF($B429="","",IFERROR(AVERAGEIFS('2. Soil Data'!$G$5:$G$604,'2. Soil Data'!$B$5:$B$604,$B429),""))</f>
        <v/>
      </c>
      <c r="L429" s="9">
        <f>IF(NOT(ISNUMBER($K429)),"",PI()*($K429/2)^2)</f>
        <v/>
      </c>
      <c r="M429" s="9">
        <f>IF(OR(NOT(ISNUMBER($J429)),NOT(ISNUMBER($L429)),$L429=0),"",$J429/$L429*10000)</f>
        <v/>
      </c>
      <c r="N429" s="9">
        <f>IF(NOT(ISNUMBER($M429)),"",$M429*CARBON_FRACTION_ROOT/1000)</f>
        <v/>
      </c>
      <c r="O429" s="11">
        <f>IF(AND($A429="",$B429="",$G429=""),"",IF(AND($B429&lt;&gt;"",COUNTIFS('2. Soil Data'!$B$5:$B$604,$B429)=0),"Core ID not found in Soil Data, so the corer diameter cannot be looked up. ","")&amp;IF(ASH_CORRECTED&lt;&gt;"Yes","Root mass is NOT ash-corrected, so it includes adhering mineral soil and is too high. Set ASH_CORRECTED once you have done it. ","")&amp;IF(AND(ASH_CORRECTED="Yes",NOT(ISNUMBER($H429))),"Ash correction is switched on but no ash fraction is given for this row. ","")&amp;IF($I429="","Sieve mesh not recorded — a fine-root figure cannot be interpreted without it. ","")&amp;IF(AND(ISNUMBER($H429),$H429&gt;0.5),"Ash fraction above 0.5 — over half this sample was mineral soil. Re-wash. ","")&amp;IF($F429="Not separated","Live and dead not separated. Fine for a stock, but "&amp;"note it in reporting. ",""))</f>
        <v/>
      </c>
      <c r="P429" s="6" t="n"/>
      <c r="Q429" s="9">
        <f>IF($B429="",0,IF(COUNTIFS($B$5:$B429,$B429)=1,1,0))</f>
        <v/>
      </c>
    </row>
    <row r="430">
      <c r="A430" s="6" t="n"/>
      <c r="B430" s="6" t="n"/>
      <c r="C430" s="6" t="n"/>
      <c r="D430" s="6" t="n"/>
      <c r="E430" s="6" t="n"/>
      <c r="F430" s="6" t="n"/>
      <c r="G430" s="7" t="n"/>
      <c r="H430" s="7" t="n"/>
      <c r="I430" s="6" t="n"/>
      <c r="J430" s="9">
        <f>IF(NOT(ISNUMBER($G430)),"",IF(AND(ASH_CORRECTED="Yes",ISNUMBER($H430)),$G430*(1-$H430),$G430))</f>
        <v/>
      </c>
      <c r="K430" s="9">
        <f>IF($B430="","",IFERROR(AVERAGEIFS('2. Soil Data'!$G$5:$G$604,'2. Soil Data'!$B$5:$B$604,$B430),""))</f>
        <v/>
      </c>
      <c r="L430" s="9">
        <f>IF(NOT(ISNUMBER($K430)),"",PI()*($K430/2)^2)</f>
        <v/>
      </c>
      <c r="M430" s="9">
        <f>IF(OR(NOT(ISNUMBER($J430)),NOT(ISNUMBER($L430)),$L430=0),"",$J430/$L430*10000)</f>
        <v/>
      </c>
      <c r="N430" s="9">
        <f>IF(NOT(ISNUMBER($M430)),"",$M430*CARBON_FRACTION_ROOT/1000)</f>
        <v/>
      </c>
      <c r="O430" s="11">
        <f>IF(AND($A430="",$B430="",$G430=""),"",IF(AND($B430&lt;&gt;"",COUNTIFS('2. Soil Data'!$B$5:$B$604,$B430)=0),"Core ID not found in Soil Data, so the corer diameter cannot be looked up. ","")&amp;IF(ASH_CORRECTED&lt;&gt;"Yes","Root mass is NOT ash-corrected, so it includes adhering mineral soil and is too high. Set ASH_CORRECTED once you have done it. ","")&amp;IF(AND(ASH_CORRECTED="Yes",NOT(ISNUMBER($H430))),"Ash correction is switched on but no ash fraction is given for this row. ","")&amp;IF($I430="","Sieve mesh not recorded — a fine-root figure cannot be interpreted without it. ","")&amp;IF(AND(ISNUMBER($H430),$H430&gt;0.5),"Ash fraction above 0.5 — over half this sample was mineral soil. Re-wash. ","")&amp;IF($F430="Not separated","Live and dead not separated. Fine for a stock, but "&amp;"note it in reporting. ",""))</f>
        <v/>
      </c>
      <c r="P430" s="6" t="n"/>
      <c r="Q430" s="9">
        <f>IF($B430="",0,IF(COUNTIFS($B$5:$B430,$B430)=1,1,0))</f>
        <v/>
      </c>
    </row>
    <row r="431">
      <c r="A431" s="6" t="n"/>
      <c r="B431" s="6" t="n"/>
      <c r="C431" s="6" t="n"/>
      <c r="D431" s="6" t="n"/>
      <c r="E431" s="6" t="n"/>
      <c r="F431" s="6" t="n"/>
      <c r="G431" s="7" t="n"/>
      <c r="H431" s="7" t="n"/>
      <c r="I431" s="6" t="n"/>
      <c r="J431" s="9">
        <f>IF(NOT(ISNUMBER($G431)),"",IF(AND(ASH_CORRECTED="Yes",ISNUMBER($H431)),$G431*(1-$H431),$G431))</f>
        <v/>
      </c>
      <c r="K431" s="9">
        <f>IF($B431="","",IFERROR(AVERAGEIFS('2. Soil Data'!$G$5:$G$604,'2. Soil Data'!$B$5:$B$604,$B431),""))</f>
        <v/>
      </c>
      <c r="L431" s="9">
        <f>IF(NOT(ISNUMBER($K431)),"",PI()*($K431/2)^2)</f>
        <v/>
      </c>
      <c r="M431" s="9">
        <f>IF(OR(NOT(ISNUMBER($J431)),NOT(ISNUMBER($L431)),$L431=0),"",$J431/$L431*10000)</f>
        <v/>
      </c>
      <c r="N431" s="9">
        <f>IF(NOT(ISNUMBER($M431)),"",$M431*CARBON_FRACTION_ROOT/1000)</f>
        <v/>
      </c>
      <c r="O431" s="11">
        <f>IF(AND($A431="",$B431="",$G431=""),"",IF(AND($B431&lt;&gt;"",COUNTIFS('2. Soil Data'!$B$5:$B$604,$B431)=0),"Core ID not found in Soil Data, so the corer diameter cannot be looked up. ","")&amp;IF(ASH_CORRECTED&lt;&gt;"Yes","Root mass is NOT ash-corrected, so it includes adhering mineral soil and is too high. Set ASH_CORRECTED once you have done it. ","")&amp;IF(AND(ASH_CORRECTED="Yes",NOT(ISNUMBER($H431))),"Ash correction is switched on but no ash fraction is given for this row. ","")&amp;IF($I431="","Sieve mesh not recorded — a fine-root figure cannot be interpreted without it. ","")&amp;IF(AND(ISNUMBER($H431),$H431&gt;0.5),"Ash fraction above 0.5 — over half this sample was mineral soil. Re-wash. ","")&amp;IF($F431="Not separated","Live and dead not separated. Fine for a stock, but "&amp;"note it in reporting. ",""))</f>
        <v/>
      </c>
      <c r="P431" s="6" t="n"/>
      <c r="Q431" s="9">
        <f>IF($B431="",0,IF(COUNTIFS($B$5:$B431,$B431)=1,1,0))</f>
        <v/>
      </c>
    </row>
    <row r="432">
      <c r="A432" s="6" t="n"/>
      <c r="B432" s="6" t="n"/>
      <c r="C432" s="6" t="n"/>
      <c r="D432" s="6" t="n"/>
      <c r="E432" s="6" t="n"/>
      <c r="F432" s="6" t="n"/>
      <c r="G432" s="7" t="n"/>
      <c r="H432" s="7" t="n"/>
      <c r="I432" s="6" t="n"/>
      <c r="J432" s="9">
        <f>IF(NOT(ISNUMBER($G432)),"",IF(AND(ASH_CORRECTED="Yes",ISNUMBER($H432)),$G432*(1-$H432),$G432))</f>
        <v/>
      </c>
      <c r="K432" s="9">
        <f>IF($B432="","",IFERROR(AVERAGEIFS('2. Soil Data'!$G$5:$G$604,'2. Soil Data'!$B$5:$B$604,$B432),""))</f>
        <v/>
      </c>
      <c r="L432" s="9">
        <f>IF(NOT(ISNUMBER($K432)),"",PI()*($K432/2)^2)</f>
        <v/>
      </c>
      <c r="M432" s="9">
        <f>IF(OR(NOT(ISNUMBER($J432)),NOT(ISNUMBER($L432)),$L432=0),"",$J432/$L432*10000)</f>
        <v/>
      </c>
      <c r="N432" s="9">
        <f>IF(NOT(ISNUMBER($M432)),"",$M432*CARBON_FRACTION_ROOT/1000)</f>
        <v/>
      </c>
      <c r="O432" s="11">
        <f>IF(AND($A432="",$B432="",$G432=""),"",IF(AND($B432&lt;&gt;"",COUNTIFS('2. Soil Data'!$B$5:$B$604,$B432)=0),"Core ID not found in Soil Data, so the corer diameter cannot be looked up. ","")&amp;IF(ASH_CORRECTED&lt;&gt;"Yes","Root mass is NOT ash-corrected, so it includes adhering mineral soil and is too high. Set ASH_CORRECTED once you have done it. ","")&amp;IF(AND(ASH_CORRECTED="Yes",NOT(ISNUMBER($H432))),"Ash correction is switched on but no ash fraction is given for this row. ","")&amp;IF($I432="","Sieve mesh not recorded — a fine-root figure cannot be interpreted without it. ","")&amp;IF(AND(ISNUMBER($H432),$H432&gt;0.5),"Ash fraction above 0.5 — over half this sample was mineral soil. Re-wash. ","")&amp;IF($F432="Not separated","Live and dead not separated. Fine for a stock, but "&amp;"note it in reporting. ",""))</f>
        <v/>
      </c>
      <c r="P432" s="6" t="n"/>
      <c r="Q432" s="9">
        <f>IF($B432="",0,IF(COUNTIFS($B$5:$B432,$B432)=1,1,0))</f>
        <v/>
      </c>
    </row>
    <row r="433">
      <c r="A433" s="6" t="n"/>
      <c r="B433" s="6" t="n"/>
      <c r="C433" s="6" t="n"/>
      <c r="D433" s="6" t="n"/>
      <c r="E433" s="6" t="n"/>
      <c r="F433" s="6" t="n"/>
      <c r="G433" s="7" t="n"/>
      <c r="H433" s="7" t="n"/>
      <c r="I433" s="6" t="n"/>
      <c r="J433" s="9">
        <f>IF(NOT(ISNUMBER($G433)),"",IF(AND(ASH_CORRECTED="Yes",ISNUMBER($H433)),$G433*(1-$H433),$G433))</f>
        <v/>
      </c>
      <c r="K433" s="9">
        <f>IF($B433="","",IFERROR(AVERAGEIFS('2. Soil Data'!$G$5:$G$604,'2. Soil Data'!$B$5:$B$604,$B433),""))</f>
        <v/>
      </c>
      <c r="L433" s="9">
        <f>IF(NOT(ISNUMBER($K433)),"",PI()*($K433/2)^2)</f>
        <v/>
      </c>
      <c r="M433" s="9">
        <f>IF(OR(NOT(ISNUMBER($J433)),NOT(ISNUMBER($L433)),$L433=0),"",$J433/$L433*10000)</f>
        <v/>
      </c>
      <c r="N433" s="9">
        <f>IF(NOT(ISNUMBER($M433)),"",$M433*CARBON_FRACTION_ROOT/1000)</f>
        <v/>
      </c>
      <c r="O433" s="11">
        <f>IF(AND($A433="",$B433="",$G433=""),"",IF(AND($B433&lt;&gt;"",COUNTIFS('2. Soil Data'!$B$5:$B$604,$B433)=0),"Core ID not found in Soil Data, so the corer diameter cannot be looked up. ","")&amp;IF(ASH_CORRECTED&lt;&gt;"Yes","Root mass is NOT ash-corrected, so it includes adhering mineral soil and is too high. Set ASH_CORRECTED once you have done it. ","")&amp;IF(AND(ASH_CORRECTED="Yes",NOT(ISNUMBER($H433))),"Ash correction is switched on but no ash fraction is given for this row. ","")&amp;IF($I433="","Sieve mesh not recorded — a fine-root figure cannot be interpreted without it. ","")&amp;IF(AND(ISNUMBER($H433),$H433&gt;0.5),"Ash fraction above 0.5 — over half this sample was mineral soil. Re-wash. ","")&amp;IF($F433="Not separated","Live and dead not separated. Fine for a stock, but "&amp;"note it in reporting. ",""))</f>
        <v/>
      </c>
      <c r="P433" s="6" t="n"/>
      <c r="Q433" s="9">
        <f>IF($B433="",0,IF(COUNTIFS($B$5:$B433,$B433)=1,1,0))</f>
        <v/>
      </c>
    </row>
    <row r="434">
      <c r="A434" s="6" t="n"/>
      <c r="B434" s="6" t="n"/>
      <c r="C434" s="6" t="n"/>
      <c r="D434" s="6" t="n"/>
      <c r="E434" s="6" t="n"/>
      <c r="F434" s="6" t="n"/>
      <c r="G434" s="7" t="n"/>
      <c r="H434" s="7" t="n"/>
      <c r="I434" s="6" t="n"/>
      <c r="J434" s="9">
        <f>IF(NOT(ISNUMBER($G434)),"",IF(AND(ASH_CORRECTED="Yes",ISNUMBER($H434)),$G434*(1-$H434),$G434))</f>
        <v/>
      </c>
      <c r="K434" s="9">
        <f>IF($B434="","",IFERROR(AVERAGEIFS('2. Soil Data'!$G$5:$G$604,'2. Soil Data'!$B$5:$B$604,$B434),""))</f>
        <v/>
      </c>
      <c r="L434" s="9">
        <f>IF(NOT(ISNUMBER($K434)),"",PI()*($K434/2)^2)</f>
        <v/>
      </c>
      <c r="M434" s="9">
        <f>IF(OR(NOT(ISNUMBER($J434)),NOT(ISNUMBER($L434)),$L434=0),"",$J434/$L434*10000)</f>
        <v/>
      </c>
      <c r="N434" s="9">
        <f>IF(NOT(ISNUMBER($M434)),"",$M434*CARBON_FRACTION_ROOT/1000)</f>
        <v/>
      </c>
      <c r="O434" s="11">
        <f>IF(AND($A434="",$B434="",$G434=""),"",IF(AND($B434&lt;&gt;"",COUNTIFS('2. Soil Data'!$B$5:$B$604,$B434)=0),"Core ID not found in Soil Data, so the corer diameter cannot be looked up. ","")&amp;IF(ASH_CORRECTED&lt;&gt;"Yes","Root mass is NOT ash-corrected, so it includes adhering mineral soil and is too high. Set ASH_CORRECTED once you have done it. ","")&amp;IF(AND(ASH_CORRECTED="Yes",NOT(ISNUMBER($H434))),"Ash correction is switched on but no ash fraction is given for this row. ","")&amp;IF($I434="","Sieve mesh not recorded — a fine-root figure cannot be interpreted without it. ","")&amp;IF(AND(ISNUMBER($H434),$H434&gt;0.5),"Ash fraction above 0.5 — over half this sample was mineral soil. Re-wash. ","")&amp;IF($F434="Not separated","Live and dead not separated. Fine for a stock, but "&amp;"note it in reporting. ",""))</f>
        <v/>
      </c>
      <c r="P434" s="6" t="n"/>
      <c r="Q434" s="9">
        <f>IF($B434="",0,IF(COUNTIFS($B$5:$B434,$B434)=1,1,0))</f>
        <v/>
      </c>
    </row>
    <row r="435">
      <c r="A435" s="6" t="n"/>
      <c r="B435" s="6" t="n"/>
      <c r="C435" s="6" t="n"/>
      <c r="D435" s="6" t="n"/>
      <c r="E435" s="6" t="n"/>
      <c r="F435" s="6" t="n"/>
      <c r="G435" s="7" t="n"/>
      <c r="H435" s="7" t="n"/>
      <c r="I435" s="6" t="n"/>
      <c r="J435" s="9">
        <f>IF(NOT(ISNUMBER($G435)),"",IF(AND(ASH_CORRECTED="Yes",ISNUMBER($H435)),$G435*(1-$H435),$G435))</f>
        <v/>
      </c>
      <c r="K435" s="9">
        <f>IF($B435="","",IFERROR(AVERAGEIFS('2. Soil Data'!$G$5:$G$604,'2. Soil Data'!$B$5:$B$604,$B435),""))</f>
        <v/>
      </c>
      <c r="L435" s="9">
        <f>IF(NOT(ISNUMBER($K435)),"",PI()*($K435/2)^2)</f>
        <v/>
      </c>
      <c r="M435" s="9">
        <f>IF(OR(NOT(ISNUMBER($J435)),NOT(ISNUMBER($L435)),$L435=0),"",$J435/$L435*10000)</f>
        <v/>
      </c>
      <c r="N435" s="9">
        <f>IF(NOT(ISNUMBER($M435)),"",$M435*CARBON_FRACTION_ROOT/1000)</f>
        <v/>
      </c>
      <c r="O435" s="11">
        <f>IF(AND($A435="",$B435="",$G435=""),"",IF(AND($B435&lt;&gt;"",COUNTIFS('2. Soil Data'!$B$5:$B$604,$B435)=0),"Core ID not found in Soil Data, so the corer diameter cannot be looked up. ","")&amp;IF(ASH_CORRECTED&lt;&gt;"Yes","Root mass is NOT ash-corrected, so it includes adhering mineral soil and is too high. Set ASH_CORRECTED once you have done it. ","")&amp;IF(AND(ASH_CORRECTED="Yes",NOT(ISNUMBER($H435))),"Ash correction is switched on but no ash fraction is given for this row. ","")&amp;IF($I435="","Sieve mesh not recorded — a fine-root figure cannot be interpreted without it. ","")&amp;IF(AND(ISNUMBER($H435),$H435&gt;0.5),"Ash fraction above 0.5 — over half this sample was mineral soil. Re-wash. ","")&amp;IF($F435="Not separated","Live and dead not separated. Fine for a stock, but "&amp;"note it in reporting. ",""))</f>
        <v/>
      </c>
      <c r="P435" s="6" t="n"/>
      <c r="Q435" s="9">
        <f>IF($B435="",0,IF(COUNTIFS($B$5:$B435,$B435)=1,1,0))</f>
        <v/>
      </c>
    </row>
    <row r="436">
      <c r="A436" s="6" t="n"/>
      <c r="B436" s="6" t="n"/>
      <c r="C436" s="6" t="n"/>
      <c r="D436" s="6" t="n"/>
      <c r="E436" s="6" t="n"/>
      <c r="F436" s="6" t="n"/>
      <c r="G436" s="7" t="n"/>
      <c r="H436" s="7" t="n"/>
      <c r="I436" s="6" t="n"/>
      <c r="J436" s="9">
        <f>IF(NOT(ISNUMBER($G436)),"",IF(AND(ASH_CORRECTED="Yes",ISNUMBER($H436)),$G436*(1-$H436),$G436))</f>
        <v/>
      </c>
      <c r="K436" s="9">
        <f>IF($B436="","",IFERROR(AVERAGEIFS('2. Soil Data'!$G$5:$G$604,'2. Soil Data'!$B$5:$B$604,$B436),""))</f>
        <v/>
      </c>
      <c r="L436" s="9">
        <f>IF(NOT(ISNUMBER($K436)),"",PI()*($K436/2)^2)</f>
        <v/>
      </c>
      <c r="M436" s="9">
        <f>IF(OR(NOT(ISNUMBER($J436)),NOT(ISNUMBER($L436)),$L436=0),"",$J436/$L436*10000)</f>
        <v/>
      </c>
      <c r="N436" s="9">
        <f>IF(NOT(ISNUMBER($M436)),"",$M436*CARBON_FRACTION_ROOT/1000)</f>
        <v/>
      </c>
      <c r="O436" s="11">
        <f>IF(AND($A436="",$B436="",$G436=""),"",IF(AND($B436&lt;&gt;"",COUNTIFS('2. Soil Data'!$B$5:$B$604,$B436)=0),"Core ID not found in Soil Data, so the corer diameter cannot be looked up. ","")&amp;IF(ASH_CORRECTED&lt;&gt;"Yes","Root mass is NOT ash-corrected, so it includes adhering mineral soil and is too high. Set ASH_CORRECTED once you have done it. ","")&amp;IF(AND(ASH_CORRECTED="Yes",NOT(ISNUMBER($H436))),"Ash correction is switched on but no ash fraction is given for this row. ","")&amp;IF($I436="","Sieve mesh not recorded — a fine-root figure cannot be interpreted without it. ","")&amp;IF(AND(ISNUMBER($H436),$H436&gt;0.5),"Ash fraction above 0.5 — over half this sample was mineral soil. Re-wash. ","")&amp;IF($F436="Not separated","Live and dead not separated. Fine for a stock, but "&amp;"note it in reporting. ",""))</f>
        <v/>
      </c>
      <c r="P436" s="6" t="n"/>
      <c r="Q436" s="9">
        <f>IF($B436="",0,IF(COUNTIFS($B$5:$B436,$B436)=1,1,0))</f>
        <v/>
      </c>
    </row>
    <row r="437">
      <c r="A437" s="6" t="n"/>
      <c r="B437" s="6" t="n"/>
      <c r="C437" s="6" t="n"/>
      <c r="D437" s="6" t="n"/>
      <c r="E437" s="6" t="n"/>
      <c r="F437" s="6" t="n"/>
      <c r="G437" s="7" t="n"/>
      <c r="H437" s="7" t="n"/>
      <c r="I437" s="6" t="n"/>
      <c r="J437" s="9">
        <f>IF(NOT(ISNUMBER($G437)),"",IF(AND(ASH_CORRECTED="Yes",ISNUMBER($H437)),$G437*(1-$H437),$G437))</f>
        <v/>
      </c>
      <c r="K437" s="9">
        <f>IF($B437="","",IFERROR(AVERAGEIFS('2. Soil Data'!$G$5:$G$604,'2. Soil Data'!$B$5:$B$604,$B437),""))</f>
        <v/>
      </c>
      <c r="L437" s="9">
        <f>IF(NOT(ISNUMBER($K437)),"",PI()*($K437/2)^2)</f>
        <v/>
      </c>
      <c r="M437" s="9">
        <f>IF(OR(NOT(ISNUMBER($J437)),NOT(ISNUMBER($L437)),$L437=0),"",$J437/$L437*10000)</f>
        <v/>
      </c>
      <c r="N437" s="9">
        <f>IF(NOT(ISNUMBER($M437)),"",$M437*CARBON_FRACTION_ROOT/1000)</f>
        <v/>
      </c>
      <c r="O437" s="11">
        <f>IF(AND($A437="",$B437="",$G437=""),"",IF(AND($B437&lt;&gt;"",COUNTIFS('2. Soil Data'!$B$5:$B$604,$B437)=0),"Core ID not found in Soil Data, so the corer diameter cannot be looked up. ","")&amp;IF(ASH_CORRECTED&lt;&gt;"Yes","Root mass is NOT ash-corrected, so it includes adhering mineral soil and is too high. Set ASH_CORRECTED once you have done it. ","")&amp;IF(AND(ASH_CORRECTED="Yes",NOT(ISNUMBER($H437))),"Ash correction is switched on but no ash fraction is given for this row. ","")&amp;IF($I437="","Sieve mesh not recorded — a fine-root figure cannot be interpreted without it. ","")&amp;IF(AND(ISNUMBER($H437),$H437&gt;0.5),"Ash fraction above 0.5 — over half this sample was mineral soil. Re-wash. ","")&amp;IF($F437="Not separated","Live and dead not separated. Fine for a stock, but "&amp;"note it in reporting. ",""))</f>
        <v/>
      </c>
      <c r="P437" s="6" t="n"/>
      <c r="Q437" s="9">
        <f>IF($B437="",0,IF(COUNTIFS($B$5:$B437,$B437)=1,1,0))</f>
        <v/>
      </c>
    </row>
    <row r="438">
      <c r="A438" s="6" t="n"/>
      <c r="B438" s="6" t="n"/>
      <c r="C438" s="6" t="n"/>
      <c r="D438" s="6" t="n"/>
      <c r="E438" s="6" t="n"/>
      <c r="F438" s="6" t="n"/>
      <c r="G438" s="7" t="n"/>
      <c r="H438" s="7" t="n"/>
      <c r="I438" s="6" t="n"/>
      <c r="J438" s="9">
        <f>IF(NOT(ISNUMBER($G438)),"",IF(AND(ASH_CORRECTED="Yes",ISNUMBER($H438)),$G438*(1-$H438),$G438))</f>
        <v/>
      </c>
      <c r="K438" s="9">
        <f>IF($B438="","",IFERROR(AVERAGEIFS('2. Soil Data'!$G$5:$G$604,'2. Soil Data'!$B$5:$B$604,$B438),""))</f>
        <v/>
      </c>
      <c r="L438" s="9">
        <f>IF(NOT(ISNUMBER($K438)),"",PI()*($K438/2)^2)</f>
        <v/>
      </c>
      <c r="M438" s="9">
        <f>IF(OR(NOT(ISNUMBER($J438)),NOT(ISNUMBER($L438)),$L438=0),"",$J438/$L438*10000)</f>
        <v/>
      </c>
      <c r="N438" s="9">
        <f>IF(NOT(ISNUMBER($M438)),"",$M438*CARBON_FRACTION_ROOT/1000)</f>
        <v/>
      </c>
      <c r="O438" s="11">
        <f>IF(AND($A438="",$B438="",$G438=""),"",IF(AND($B438&lt;&gt;"",COUNTIFS('2. Soil Data'!$B$5:$B$604,$B438)=0),"Core ID not found in Soil Data, so the corer diameter cannot be looked up. ","")&amp;IF(ASH_CORRECTED&lt;&gt;"Yes","Root mass is NOT ash-corrected, so it includes adhering mineral soil and is too high. Set ASH_CORRECTED once you have done it. ","")&amp;IF(AND(ASH_CORRECTED="Yes",NOT(ISNUMBER($H438))),"Ash correction is switched on but no ash fraction is given for this row. ","")&amp;IF($I438="","Sieve mesh not recorded — a fine-root figure cannot be interpreted without it. ","")&amp;IF(AND(ISNUMBER($H438),$H438&gt;0.5),"Ash fraction above 0.5 — over half this sample was mineral soil. Re-wash. ","")&amp;IF($F438="Not separated","Live and dead not separated. Fine for a stock, but "&amp;"note it in reporting. ",""))</f>
        <v/>
      </c>
      <c r="P438" s="6" t="n"/>
      <c r="Q438" s="9">
        <f>IF($B438="",0,IF(COUNTIFS($B$5:$B438,$B438)=1,1,0))</f>
        <v/>
      </c>
    </row>
    <row r="439">
      <c r="A439" s="6" t="n"/>
      <c r="B439" s="6" t="n"/>
      <c r="C439" s="6" t="n"/>
      <c r="D439" s="6" t="n"/>
      <c r="E439" s="6" t="n"/>
      <c r="F439" s="6" t="n"/>
      <c r="G439" s="7" t="n"/>
      <c r="H439" s="7" t="n"/>
      <c r="I439" s="6" t="n"/>
      <c r="J439" s="9">
        <f>IF(NOT(ISNUMBER($G439)),"",IF(AND(ASH_CORRECTED="Yes",ISNUMBER($H439)),$G439*(1-$H439),$G439))</f>
        <v/>
      </c>
      <c r="K439" s="9">
        <f>IF($B439="","",IFERROR(AVERAGEIFS('2. Soil Data'!$G$5:$G$604,'2. Soil Data'!$B$5:$B$604,$B439),""))</f>
        <v/>
      </c>
      <c r="L439" s="9">
        <f>IF(NOT(ISNUMBER($K439)),"",PI()*($K439/2)^2)</f>
        <v/>
      </c>
      <c r="M439" s="9">
        <f>IF(OR(NOT(ISNUMBER($J439)),NOT(ISNUMBER($L439)),$L439=0),"",$J439/$L439*10000)</f>
        <v/>
      </c>
      <c r="N439" s="9">
        <f>IF(NOT(ISNUMBER($M439)),"",$M439*CARBON_FRACTION_ROOT/1000)</f>
        <v/>
      </c>
      <c r="O439" s="11">
        <f>IF(AND($A439="",$B439="",$G439=""),"",IF(AND($B439&lt;&gt;"",COUNTIFS('2. Soil Data'!$B$5:$B$604,$B439)=0),"Core ID not found in Soil Data, so the corer diameter cannot be looked up. ","")&amp;IF(ASH_CORRECTED&lt;&gt;"Yes","Root mass is NOT ash-corrected, so it includes adhering mineral soil and is too high. Set ASH_CORRECTED once you have done it. ","")&amp;IF(AND(ASH_CORRECTED="Yes",NOT(ISNUMBER($H439))),"Ash correction is switched on but no ash fraction is given for this row. ","")&amp;IF($I439="","Sieve mesh not recorded — a fine-root figure cannot be interpreted without it. ","")&amp;IF(AND(ISNUMBER($H439),$H439&gt;0.5),"Ash fraction above 0.5 — over half this sample was mineral soil. Re-wash. ","")&amp;IF($F439="Not separated","Live and dead not separated. Fine for a stock, but "&amp;"note it in reporting. ",""))</f>
        <v/>
      </c>
      <c r="P439" s="6" t="n"/>
      <c r="Q439" s="9">
        <f>IF($B439="",0,IF(COUNTIFS($B$5:$B439,$B439)=1,1,0))</f>
        <v/>
      </c>
    </row>
    <row r="440">
      <c r="A440" s="6" t="n"/>
      <c r="B440" s="6" t="n"/>
      <c r="C440" s="6" t="n"/>
      <c r="D440" s="6" t="n"/>
      <c r="E440" s="6" t="n"/>
      <c r="F440" s="6" t="n"/>
      <c r="G440" s="7" t="n"/>
      <c r="H440" s="7" t="n"/>
      <c r="I440" s="6" t="n"/>
      <c r="J440" s="9">
        <f>IF(NOT(ISNUMBER($G440)),"",IF(AND(ASH_CORRECTED="Yes",ISNUMBER($H440)),$G440*(1-$H440),$G440))</f>
        <v/>
      </c>
      <c r="K440" s="9">
        <f>IF($B440="","",IFERROR(AVERAGEIFS('2. Soil Data'!$G$5:$G$604,'2. Soil Data'!$B$5:$B$604,$B440),""))</f>
        <v/>
      </c>
      <c r="L440" s="9">
        <f>IF(NOT(ISNUMBER($K440)),"",PI()*($K440/2)^2)</f>
        <v/>
      </c>
      <c r="M440" s="9">
        <f>IF(OR(NOT(ISNUMBER($J440)),NOT(ISNUMBER($L440)),$L440=0),"",$J440/$L440*10000)</f>
        <v/>
      </c>
      <c r="N440" s="9">
        <f>IF(NOT(ISNUMBER($M440)),"",$M440*CARBON_FRACTION_ROOT/1000)</f>
        <v/>
      </c>
      <c r="O440" s="11">
        <f>IF(AND($A440="",$B440="",$G440=""),"",IF(AND($B440&lt;&gt;"",COUNTIFS('2. Soil Data'!$B$5:$B$604,$B440)=0),"Core ID not found in Soil Data, so the corer diameter cannot be looked up. ","")&amp;IF(ASH_CORRECTED&lt;&gt;"Yes","Root mass is NOT ash-corrected, so it includes adhering mineral soil and is too high. Set ASH_CORRECTED once you have done it. ","")&amp;IF(AND(ASH_CORRECTED="Yes",NOT(ISNUMBER($H440))),"Ash correction is switched on but no ash fraction is given for this row. ","")&amp;IF($I440="","Sieve mesh not recorded — a fine-root figure cannot be interpreted without it. ","")&amp;IF(AND(ISNUMBER($H440),$H440&gt;0.5),"Ash fraction above 0.5 — over half this sample was mineral soil. Re-wash. ","")&amp;IF($F440="Not separated","Live and dead not separated. Fine for a stock, but "&amp;"note it in reporting. ",""))</f>
        <v/>
      </c>
      <c r="P440" s="6" t="n"/>
      <c r="Q440" s="9">
        <f>IF($B440="",0,IF(COUNTIFS($B$5:$B440,$B440)=1,1,0))</f>
        <v/>
      </c>
    </row>
    <row r="441">
      <c r="A441" s="6" t="n"/>
      <c r="B441" s="6" t="n"/>
      <c r="C441" s="6" t="n"/>
      <c r="D441" s="6" t="n"/>
      <c r="E441" s="6" t="n"/>
      <c r="F441" s="6" t="n"/>
      <c r="G441" s="7" t="n"/>
      <c r="H441" s="7" t="n"/>
      <c r="I441" s="6" t="n"/>
      <c r="J441" s="9">
        <f>IF(NOT(ISNUMBER($G441)),"",IF(AND(ASH_CORRECTED="Yes",ISNUMBER($H441)),$G441*(1-$H441),$G441))</f>
        <v/>
      </c>
      <c r="K441" s="9">
        <f>IF($B441="","",IFERROR(AVERAGEIFS('2. Soil Data'!$G$5:$G$604,'2. Soil Data'!$B$5:$B$604,$B441),""))</f>
        <v/>
      </c>
      <c r="L441" s="9">
        <f>IF(NOT(ISNUMBER($K441)),"",PI()*($K441/2)^2)</f>
        <v/>
      </c>
      <c r="M441" s="9">
        <f>IF(OR(NOT(ISNUMBER($J441)),NOT(ISNUMBER($L441)),$L441=0),"",$J441/$L441*10000)</f>
        <v/>
      </c>
      <c r="N441" s="9">
        <f>IF(NOT(ISNUMBER($M441)),"",$M441*CARBON_FRACTION_ROOT/1000)</f>
        <v/>
      </c>
      <c r="O441" s="11">
        <f>IF(AND($A441="",$B441="",$G441=""),"",IF(AND($B441&lt;&gt;"",COUNTIFS('2. Soil Data'!$B$5:$B$604,$B441)=0),"Core ID not found in Soil Data, so the corer diameter cannot be looked up. ","")&amp;IF(ASH_CORRECTED&lt;&gt;"Yes","Root mass is NOT ash-corrected, so it includes adhering mineral soil and is too high. Set ASH_CORRECTED once you have done it. ","")&amp;IF(AND(ASH_CORRECTED="Yes",NOT(ISNUMBER($H441))),"Ash correction is switched on but no ash fraction is given for this row. ","")&amp;IF($I441="","Sieve mesh not recorded — a fine-root figure cannot be interpreted without it. ","")&amp;IF(AND(ISNUMBER($H441),$H441&gt;0.5),"Ash fraction above 0.5 — over half this sample was mineral soil. Re-wash. ","")&amp;IF($F441="Not separated","Live and dead not separated. Fine for a stock, but "&amp;"note it in reporting. ",""))</f>
        <v/>
      </c>
      <c r="P441" s="6" t="n"/>
      <c r="Q441" s="9">
        <f>IF($B441="",0,IF(COUNTIFS($B$5:$B441,$B441)=1,1,0))</f>
        <v/>
      </c>
    </row>
    <row r="442">
      <c r="A442" s="6" t="n"/>
      <c r="B442" s="6" t="n"/>
      <c r="C442" s="6" t="n"/>
      <c r="D442" s="6" t="n"/>
      <c r="E442" s="6" t="n"/>
      <c r="F442" s="6" t="n"/>
      <c r="G442" s="7" t="n"/>
      <c r="H442" s="7" t="n"/>
      <c r="I442" s="6" t="n"/>
      <c r="J442" s="9">
        <f>IF(NOT(ISNUMBER($G442)),"",IF(AND(ASH_CORRECTED="Yes",ISNUMBER($H442)),$G442*(1-$H442),$G442))</f>
        <v/>
      </c>
      <c r="K442" s="9">
        <f>IF($B442="","",IFERROR(AVERAGEIFS('2. Soil Data'!$G$5:$G$604,'2. Soil Data'!$B$5:$B$604,$B442),""))</f>
        <v/>
      </c>
      <c r="L442" s="9">
        <f>IF(NOT(ISNUMBER($K442)),"",PI()*($K442/2)^2)</f>
        <v/>
      </c>
      <c r="M442" s="9">
        <f>IF(OR(NOT(ISNUMBER($J442)),NOT(ISNUMBER($L442)),$L442=0),"",$J442/$L442*10000)</f>
        <v/>
      </c>
      <c r="N442" s="9">
        <f>IF(NOT(ISNUMBER($M442)),"",$M442*CARBON_FRACTION_ROOT/1000)</f>
        <v/>
      </c>
      <c r="O442" s="11">
        <f>IF(AND($A442="",$B442="",$G442=""),"",IF(AND($B442&lt;&gt;"",COUNTIFS('2. Soil Data'!$B$5:$B$604,$B442)=0),"Core ID not found in Soil Data, so the corer diameter cannot be looked up. ","")&amp;IF(ASH_CORRECTED&lt;&gt;"Yes","Root mass is NOT ash-corrected, so it includes adhering mineral soil and is too high. Set ASH_CORRECTED once you have done it. ","")&amp;IF(AND(ASH_CORRECTED="Yes",NOT(ISNUMBER($H442))),"Ash correction is switched on but no ash fraction is given for this row. ","")&amp;IF($I442="","Sieve mesh not recorded — a fine-root figure cannot be interpreted without it. ","")&amp;IF(AND(ISNUMBER($H442),$H442&gt;0.5),"Ash fraction above 0.5 — over half this sample was mineral soil. Re-wash. ","")&amp;IF($F442="Not separated","Live and dead not separated. Fine for a stock, but "&amp;"note it in reporting. ",""))</f>
        <v/>
      </c>
      <c r="P442" s="6" t="n"/>
      <c r="Q442" s="9">
        <f>IF($B442="",0,IF(COUNTIFS($B$5:$B442,$B442)=1,1,0))</f>
        <v/>
      </c>
    </row>
    <row r="443">
      <c r="A443" s="6" t="n"/>
      <c r="B443" s="6" t="n"/>
      <c r="C443" s="6" t="n"/>
      <c r="D443" s="6" t="n"/>
      <c r="E443" s="6" t="n"/>
      <c r="F443" s="6" t="n"/>
      <c r="G443" s="7" t="n"/>
      <c r="H443" s="7" t="n"/>
      <c r="I443" s="6" t="n"/>
      <c r="J443" s="9">
        <f>IF(NOT(ISNUMBER($G443)),"",IF(AND(ASH_CORRECTED="Yes",ISNUMBER($H443)),$G443*(1-$H443),$G443))</f>
        <v/>
      </c>
      <c r="K443" s="9">
        <f>IF($B443="","",IFERROR(AVERAGEIFS('2. Soil Data'!$G$5:$G$604,'2. Soil Data'!$B$5:$B$604,$B443),""))</f>
        <v/>
      </c>
      <c r="L443" s="9">
        <f>IF(NOT(ISNUMBER($K443)),"",PI()*($K443/2)^2)</f>
        <v/>
      </c>
      <c r="M443" s="9">
        <f>IF(OR(NOT(ISNUMBER($J443)),NOT(ISNUMBER($L443)),$L443=0),"",$J443/$L443*10000)</f>
        <v/>
      </c>
      <c r="N443" s="9">
        <f>IF(NOT(ISNUMBER($M443)),"",$M443*CARBON_FRACTION_ROOT/1000)</f>
        <v/>
      </c>
      <c r="O443" s="11">
        <f>IF(AND($A443="",$B443="",$G443=""),"",IF(AND($B443&lt;&gt;"",COUNTIFS('2. Soil Data'!$B$5:$B$604,$B443)=0),"Core ID not found in Soil Data, so the corer diameter cannot be looked up. ","")&amp;IF(ASH_CORRECTED&lt;&gt;"Yes","Root mass is NOT ash-corrected, so it includes adhering mineral soil and is too high. Set ASH_CORRECTED once you have done it. ","")&amp;IF(AND(ASH_CORRECTED="Yes",NOT(ISNUMBER($H443))),"Ash correction is switched on but no ash fraction is given for this row. ","")&amp;IF($I443="","Sieve mesh not recorded — a fine-root figure cannot be interpreted without it. ","")&amp;IF(AND(ISNUMBER($H443),$H443&gt;0.5),"Ash fraction above 0.5 — over half this sample was mineral soil. Re-wash. ","")&amp;IF($F443="Not separated","Live and dead not separated. Fine for a stock, but "&amp;"note it in reporting. ",""))</f>
        <v/>
      </c>
      <c r="P443" s="6" t="n"/>
      <c r="Q443" s="9">
        <f>IF($B443="",0,IF(COUNTIFS($B$5:$B443,$B443)=1,1,0))</f>
        <v/>
      </c>
    </row>
    <row r="444">
      <c r="A444" s="6" t="n"/>
      <c r="B444" s="6" t="n"/>
      <c r="C444" s="6" t="n"/>
      <c r="D444" s="6" t="n"/>
      <c r="E444" s="6" t="n"/>
      <c r="F444" s="6" t="n"/>
      <c r="G444" s="7" t="n"/>
      <c r="H444" s="7" t="n"/>
      <c r="I444" s="6" t="n"/>
      <c r="J444" s="9">
        <f>IF(NOT(ISNUMBER($G444)),"",IF(AND(ASH_CORRECTED="Yes",ISNUMBER($H444)),$G444*(1-$H444),$G444))</f>
        <v/>
      </c>
      <c r="K444" s="9">
        <f>IF($B444="","",IFERROR(AVERAGEIFS('2. Soil Data'!$G$5:$G$604,'2. Soil Data'!$B$5:$B$604,$B444),""))</f>
        <v/>
      </c>
      <c r="L444" s="9">
        <f>IF(NOT(ISNUMBER($K444)),"",PI()*($K444/2)^2)</f>
        <v/>
      </c>
      <c r="M444" s="9">
        <f>IF(OR(NOT(ISNUMBER($J444)),NOT(ISNUMBER($L444)),$L444=0),"",$J444/$L444*10000)</f>
        <v/>
      </c>
      <c r="N444" s="9">
        <f>IF(NOT(ISNUMBER($M444)),"",$M444*CARBON_FRACTION_ROOT/1000)</f>
        <v/>
      </c>
      <c r="O444" s="11">
        <f>IF(AND($A444="",$B444="",$G444=""),"",IF(AND($B444&lt;&gt;"",COUNTIFS('2. Soil Data'!$B$5:$B$604,$B444)=0),"Core ID not found in Soil Data, so the corer diameter cannot be looked up. ","")&amp;IF(ASH_CORRECTED&lt;&gt;"Yes","Root mass is NOT ash-corrected, so it includes adhering mineral soil and is too high. Set ASH_CORRECTED once you have done it. ","")&amp;IF(AND(ASH_CORRECTED="Yes",NOT(ISNUMBER($H444))),"Ash correction is switched on but no ash fraction is given for this row. ","")&amp;IF($I444="","Sieve mesh not recorded — a fine-root figure cannot be interpreted without it. ","")&amp;IF(AND(ISNUMBER($H444),$H444&gt;0.5),"Ash fraction above 0.5 — over half this sample was mineral soil. Re-wash. ","")&amp;IF($F444="Not separated","Live and dead not separated. Fine for a stock, but "&amp;"note it in reporting. ",""))</f>
        <v/>
      </c>
      <c r="P444" s="6" t="n"/>
      <c r="Q444" s="9">
        <f>IF($B444="",0,IF(COUNTIFS($B$5:$B444,$B444)=1,1,0))</f>
        <v/>
      </c>
    </row>
    <row r="445">
      <c r="A445" s="6" t="n"/>
      <c r="B445" s="6" t="n"/>
      <c r="C445" s="6" t="n"/>
      <c r="D445" s="6" t="n"/>
      <c r="E445" s="6" t="n"/>
      <c r="F445" s="6" t="n"/>
      <c r="G445" s="7" t="n"/>
      <c r="H445" s="7" t="n"/>
      <c r="I445" s="6" t="n"/>
      <c r="J445" s="9">
        <f>IF(NOT(ISNUMBER($G445)),"",IF(AND(ASH_CORRECTED="Yes",ISNUMBER($H445)),$G445*(1-$H445),$G445))</f>
        <v/>
      </c>
      <c r="K445" s="9">
        <f>IF($B445="","",IFERROR(AVERAGEIFS('2. Soil Data'!$G$5:$G$604,'2. Soil Data'!$B$5:$B$604,$B445),""))</f>
        <v/>
      </c>
      <c r="L445" s="9">
        <f>IF(NOT(ISNUMBER($K445)),"",PI()*($K445/2)^2)</f>
        <v/>
      </c>
      <c r="M445" s="9">
        <f>IF(OR(NOT(ISNUMBER($J445)),NOT(ISNUMBER($L445)),$L445=0),"",$J445/$L445*10000)</f>
        <v/>
      </c>
      <c r="N445" s="9">
        <f>IF(NOT(ISNUMBER($M445)),"",$M445*CARBON_FRACTION_ROOT/1000)</f>
        <v/>
      </c>
      <c r="O445" s="11">
        <f>IF(AND($A445="",$B445="",$G445=""),"",IF(AND($B445&lt;&gt;"",COUNTIFS('2. Soil Data'!$B$5:$B$604,$B445)=0),"Core ID not found in Soil Data, so the corer diameter cannot be looked up. ","")&amp;IF(ASH_CORRECTED&lt;&gt;"Yes","Root mass is NOT ash-corrected, so it includes adhering mineral soil and is too high. Set ASH_CORRECTED once you have done it. ","")&amp;IF(AND(ASH_CORRECTED="Yes",NOT(ISNUMBER($H445))),"Ash correction is switched on but no ash fraction is given for this row. ","")&amp;IF($I445="","Sieve mesh not recorded — a fine-root figure cannot be interpreted without it. ","")&amp;IF(AND(ISNUMBER($H445),$H445&gt;0.5),"Ash fraction above 0.5 — over half this sample was mineral soil. Re-wash. ","")&amp;IF($F445="Not separated","Live and dead not separated. Fine for a stock, but "&amp;"note it in reporting. ",""))</f>
        <v/>
      </c>
      <c r="P445" s="6" t="n"/>
      <c r="Q445" s="9">
        <f>IF($B445="",0,IF(COUNTIFS($B$5:$B445,$B445)=1,1,0))</f>
        <v/>
      </c>
    </row>
    <row r="446">
      <c r="A446" s="6" t="n"/>
      <c r="B446" s="6" t="n"/>
      <c r="C446" s="6" t="n"/>
      <c r="D446" s="6" t="n"/>
      <c r="E446" s="6" t="n"/>
      <c r="F446" s="6" t="n"/>
      <c r="G446" s="7" t="n"/>
      <c r="H446" s="7" t="n"/>
      <c r="I446" s="6" t="n"/>
      <c r="J446" s="9">
        <f>IF(NOT(ISNUMBER($G446)),"",IF(AND(ASH_CORRECTED="Yes",ISNUMBER($H446)),$G446*(1-$H446),$G446))</f>
        <v/>
      </c>
      <c r="K446" s="9">
        <f>IF($B446="","",IFERROR(AVERAGEIFS('2. Soil Data'!$G$5:$G$604,'2. Soil Data'!$B$5:$B$604,$B446),""))</f>
        <v/>
      </c>
      <c r="L446" s="9">
        <f>IF(NOT(ISNUMBER($K446)),"",PI()*($K446/2)^2)</f>
        <v/>
      </c>
      <c r="M446" s="9">
        <f>IF(OR(NOT(ISNUMBER($J446)),NOT(ISNUMBER($L446)),$L446=0),"",$J446/$L446*10000)</f>
        <v/>
      </c>
      <c r="N446" s="9">
        <f>IF(NOT(ISNUMBER($M446)),"",$M446*CARBON_FRACTION_ROOT/1000)</f>
        <v/>
      </c>
      <c r="O446" s="11">
        <f>IF(AND($A446="",$B446="",$G446=""),"",IF(AND($B446&lt;&gt;"",COUNTIFS('2. Soil Data'!$B$5:$B$604,$B446)=0),"Core ID not found in Soil Data, so the corer diameter cannot be looked up. ","")&amp;IF(ASH_CORRECTED&lt;&gt;"Yes","Root mass is NOT ash-corrected, so it includes adhering mineral soil and is too high. Set ASH_CORRECTED once you have done it. ","")&amp;IF(AND(ASH_CORRECTED="Yes",NOT(ISNUMBER($H446))),"Ash correction is switched on but no ash fraction is given for this row. ","")&amp;IF($I446="","Sieve mesh not recorded — a fine-root figure cannot be interpreted without it. ","")&amp;IF(AND(ISNUMBER($H446),$H446&gt;0.5),"Ash fraction above 0.5 — over half this sample was mineral soil. Re-wash. ","")&amp;IF($F446="Not separated","Live and dead not separated. Fine for a stock, but "&amp;"note it in reporting. ",""))</f>
        <v/>
      </c>
      <c r="P446" s="6" t="n"/>
      <c r="Q446" s="9">
        <f>IF($B446="",0,IF(COUNTIFS($B$5:$B446,$B446)=1,1,0))</f>
        <v/>
      </c>
    </row>
    <row r="447">
      <c r="A447" s="6" t="n"/>
      <c r="B447" s="6" t="n"/>
      <c r="C447" s="6" t="n"/>
      <c r="D447" s="6" t="n"/>
      <c r="E447" s="6" t="n"/>
      <c r="F447" s="6" t="n"/>
      <c r="G447" s="7" t="n"/>
      <c r="H447" s="7" t="n"/>
      <c r="I447" s="6" t="n"/>
      <c r="J447" s="9">
        <f>IF(NOT(ISNUMBER($G447)),"",IF(AND(ASH_CORRECTED="Yes",ISNUMBER($H447)),$G447*(1-$H447),$G447))</f>
        <v/>
      </c>
      <c r="K447" s="9">
        <f>IF($B447="","",IFERROR(AVERAGEIFS('2. Soil Data'!$G$5:$G$604,'2. Soil Data'!$B$5:$B$604,$B447),""))</f>
        <v/>
      </c>
      <c r="L447" s="9">
        <f>IF(NOT(ISNUMBER($K447)),"",PI()*($K447/2)^2)</f>
        <v/>
      </c>
      <c r="M447" s="9">
        <f>IF(OR(NOT(ISNUMBER($J447)),NOT(ISNUMBER($L447)),$L447=0),"",$J447/$L447*10000)</f>
        <v/>
      </c>
      <c r="N447" s="9">
        <f>IF(NOT(ISNUMBER($M447)),"",$M447*CARBON_FRACTION_ROOT/1000)</f>
        <v/>
      </c>
      <c r="O447" s="11">
        <f>IF(AND($A447="",$B447="",$G447=""),"",IF(AND($B447&lt;&gt;"",COUNTIFS('2. Soil Data'!$B$5:$B$604,$B447)=0),"Core ID not found in Soil Data, so the corer diameter cannot be looked up. ","")&amp;IF(ASH_CORRECTED&lt;&gt;"Yes","Root mass is NOT ash-corrected, so it includes adhering mineral soil and is too high. Set ASH_CORRECTED once you have done it. ","")&amp;IF(AND(ASH_CORRECTED="Yes",NOT(ISNUMBER($H447))),"Ash correction is switched on but no ash fraction is given for this row. ","")&amp;IF($I447="","Sieve mesh not recorded — a fine-root figure cannot be interpreted without it. ","")&amp;IF(AND(ISNUMBER($H447),$H447&gt;0.5),"Ash fraction above 0.5 — over half this sample was mineral soil. Re-wash. ","")&amp;IF($F447="Not separated","Live and dead not separated. Fine for a stock, but "&amp;"note it in reporting. ",""))</f>
        <v/>
      </c>
      <c r="P447" s="6" t="n"/>
      <c r="Q447" s="9">
        <f>IF($B447="",0,IF(COUNTIFS($B$5:$B447,$B447)=1,1,0))</f>
        <v/>
      </c>
    </row>
    <row r="448">
      <c r="A448" s="6" t="n"/>
      <c r="B448" s="6" t="n"/>
      <c r="C448" s="6" t="n"/>
      <c r="D448" s="6" t="n"/>
      <c r="E448" s="6" t="n"/>
      <c r="F448" s="6" t="n"/>
      <c r="G448" s="7" t="n"/>
      <c r="H448" s="7" t="n"/>
      <c r="I448" s="6" t="n"/>
      <c r="J448" s="9">
        <f>IF(NOT(ISNUMBER($G448)),"",IF(AND(ASH_CORRECTED="Yes",ISNUMBER($H448)),$G448*(1-$H448),$G448))</f>
        <v/>
      </c>
      <c r="K448" s="9">
        <f>IF($B448="","",IFERROR(AVERAGEIFS('2. Soil Data'!$G$5:$G$604,'2. Soil Data'!$B$5:$B$604,$B448),""))</f>
        <v/>
      </c>
      <c r="L448" s="9">
        <f>IF(NOT(ISNUMBER($K448)),"",PI()*($K448/2)^2)</f>
        <v/>
      </c>
      <c r="M448" s="9">
        <f>IF(OR(NOT(ISNUMBER($J448)),NOT(ISNUMBER($L448)),$L448=0),"",$J448/$L448*10000)</f>
        <v/>
      </c>
      <c r="N448" s="9">
        <f>IF(NOT(ISNUMBER($M448)),"",$M448*CARBON_FRACTION_ROOT/1000)</f>
        <v/>
      </c>
      <c r="O448" s="11">
        <f>IF(AND($A448="",$B448="",$G448=""),"",IF(AND($B448&lt;&gt;"",COUNTIFS('2. Soil Data'!$B$5:$B$604,$B448)=0),"Core ID not found in Soil Data, so the corer diameter cannot be looked up. ","")&amp;IF(ASH_CORRECTED&lt;&gt;"Yes","Root mass is NOT ash-corrected, so it includes adhering mineral soil and is too high. Set ASH_CORRECTED once you have done it. ","")&amp;IF(AND(ASH_CORRECTED="Yes",NOT(ISNUMBER($H448))),"Ash correction is switched on but no ash fraction is given for this row. ","")&amp;IF($I448="","Sieve mesh not recorded — a fine-root figure cannot be interpreted without it. ","")&amp;IF(AND(ISNUMBER($H448),$H448&gt;0.5),"Ash fraction above 0.5 — over half this sample was mineral soil. Re-wash. ","")&amp;IF($F448="Not separated","Live and dead not separated. Fine for a stock, but "&amp;"note it in reporting. ",""))</f>
        <v/>
      </c>
      <c r="P448" s="6" t="n"/>
      <c r="Q448" s="9">
        <f>IF($B448="",0,IF(COUNTIFS($B$5:$B448,$B448)=1,1,0))</f>
        <v/>
      </c>
    </row>
    <row r="449">
      <c r="A449" s="6" t="n"/>
      <c r="B449" s="6" t="n"/>
      <c r="C449" s="6" t="n"/>
      <c r="D449" s="6" t="n"/>
      <c r="E449" s="6" t="n"/>
      <c r="F449" s="6" t="n"/>
      <c r="G449" s="7" t="n"/>
      <c r="H449" s="7" t="n"/>
      <c r="I449" s="6" t="n"/>
      <c r="J449" s="9">
        <f>IF(NOT(ISNUMBER($G449)),"",IF(AND(ASH_CORRECTED="Yes",ISNUMBER($H449)),$G449*(1-$H449),$G449))</f>
        <v/>
      </c>
      <c r="K449" s="9">
        <f>IF($B449="","",IFERROR(AVERAGEIFS('2. Soil Data'!$G$5:$G$604,'2. Soil Data'!$B$5:$B$604,$B449),""))</f>
        <v/>
      </c>
      <c r="L449" s="9">
        <f>IF(NOT(ISNUMBER($K449)),"",PI()*($K449/2)^2)</f>
        <v/>
      </c>
      <c r="M449" s="9">
        <f>IF(OR(NOT(ISNUMBER($J449)),NOT(ISNUMBER($L449)),$L449=0),"",$J449/$L449*10000)</f>
        <v/>
      </c>
      <c r="N449" s="9">
        <f>IF(NOT(ISNUMBER($M449)),"",$M449*CARBON_FRACTION_ROOT/1000)</f>
        <v/>
      </c>
      <c r="O449" s="11">
        <f>IF(AND($A449="",$B449="",$G449=""),"",IF(AND($B449&lt;&gt;"",COUNTIFS('2. Soil Data'!$B$5:$B$604,$B449)=0),"Core ID not found in Soil Data, so the corer diameter cannot be looked up. ","")&amp;IF(ASH_CORRECTED&lt;&gt;"Yes","Root mass is NOT ash-corrected, so it includes adhering mineral soil and is too high. Set ASH_CORRECTED once you have done it. ","")&amp;IF(AND(ASH_CORRECTED="Yes",NOT(ISNUMBER($H449))),"Ash correction is switched on but no ash fraction is given for this row. ","")&amp;IF($I449="","Sieve mesh not recorded — a fine-root figure cannot be interpreted without it. ","")&amp;IF(AND(ISNUMBER($H449),$H449&gt;0.5),"Ash fraction above 0.5 — over half this sample was mineral soil. Re-wash. ","")&amp;IF($F449="Not separated","Live and dead not separated. Fine for a stock, but "&amp;"note it in reporting. ",""))</f>
        <v/>
      </c>
      <c r="P449" s="6" t="n"/>
      <c r="Q449" s="9">
        <f>IF($B449="",0,IF(COUNTIFS($B$5:$B449,$B449)=1,1,0))</f>
        <v/>
      </c>
    </row>
    <row r="450">
      <c r="A450" s="6" t="n"/>
      <c r="B450" s="6" t="n"/>
      <c r="C450" s="6" t="n"/>
      <c r="D450" s="6" t="n"/>
      <c r="E450" s="6" t="n"/>
      <c r="F450" s="6" t="n"/>
      <c r="G450" s="7" t="n"/>
      <c r="H450" s="7" t="n"/>
      <c r="I450" s="6" t="n"/>
      <c r="J450" s="9">
        <f>IF(NOT(ISNUMBER($G450)),"",IF(AND(ASH_CORRECTED="Yes",ISNUMBER($H450)),$G450*(1-$H450),$G450))</f>
        <v/>
      </c>
      <c r="K450" s="9">
        <f>IF($B450="","",IFERROR(AVERAGEIFS('2. Soil Data'!$G$5:$G$604,'2. Soil Data'!$B$5:$B$604,$B450),""))</f>
        <v/>
      </c>
      <c r="L450" s="9">
        <f>IF(NOT(ISNUMBER($K450)),"",PI()*($K450/2)^2)</f>
        <v/>
      </c>
      <c r="M450" s="9">
        <f>IF(OR(NOT(ISNUMBER($J450)),NOT(ISNUMBER($L450)),$L450=0),"",$J450/$L450*10000)</f>
        <v/>
      </c>
      <c r="N450" s="9">
        <f>IF(NOT(ISNUMBER($M450)),"",$M450*CARBON_FRACTION_ROOT/1000)</f>
        <v/>
      </c>
      <c r="O450" s="11">
        <f>IF(AND($A450="",$B450="",$G450=""),"",IF(AND($B450&lt;&gt;"",COUNTIFS('2. Soil Data'!$B$5:$B$604,$B450)=0),"Core ID not found in Soil Data, so the corer diameter cannot be looked up. ","")&amp;IF(ASH_CORRECTED&lt;&gt;"Yes","Root mass is NOT ash-corrected, so it includes adhering mineral soil and is too high. Set ASH_CORRECTED once you have done it. ","")&amp;IF(AND(ASH_CORRECTED="Yes",NOT(ISNUMBER($H450))),"Ash correction is switched on but no ash fraction is given for this row. ","")&amp;IF($I450="","Sieve mesh not recorded — a fine-root figure cannot be interpreted without it. ","")&amp;IF(AND(ISNUMBER($H450),$H450&gt;0.5),"Ash fraction above 0.5 — over half this sample was mineral soil. Re-wash. ","")&amp;IF($F450="Not separated","Live and dead not separated. Fine for a stock, but "&amp;"note it in reporting. ",""))</f>
        <v/>
      </c>
      <c r="P450" s="6" t="n"/>
      <c r="Q450" s="9">
        <f>IF($B450="",0,IF(COUNTIFS($B$5:$B450,$B450)=1,1,0))</f>
        <v/>
      </c>
    </row>
    <row r="451">
      <c r="A451" s="6" t="n"/>
      <c r="B451" s="6" t="n"/>
      <c r="C451" s="6" t="n"/>
      <c r="D451" s="6" t="n"/>
      <c r="E451" s="6" t="n"/>
      <c r="F451" s="6" t="n"/>
      <c r="G451" s="7" t="n"/>
      <c r="H451" s="7" t="n"/>
      <c r="I451" s="6" t="n"/>
      <c r="J451" s="9">
        <f>IF(NOT(ISNUMBER($G451)),"",IF(AND(ASH_CORRECTED="Yes",ISNUMBER($H451)),$G451*(1-$H451),$G451))</f>
        <v/>
      </c>
      <c r="K451" s="9">
        <f>IF($B451="","",IFERROR(AVERAGEIFS('2. Soil Data'!$G$5:$G$604,'2. Soil Data'!$B$5:$B$604,$B451),""))</f>
        <v/>
      </c>
      <c r="L451" s="9">
        <f>IF(NOT(ISNUMBER($K451)),"",PI()*($K451/2)^2)</f>
        <v/>
      </c>
      <c r="M451" s="9">
        <f>IF(OR(NOT(ISNUMBER($J451)),NOT(ISNUMBER($L451)),$L451=0),"",$J451/$L451*10000)</f>
        <v/>
      </c>
      <c r="N451" s="9">
        <f>IF(NOT(ISNUMBER($M451)),"",$M451*CARBON_FRACTION_ROOT/1000)</f>
        <v/>
      </c>
      <c r="O451" s="11">
        <f>IF(AND($A451="",$B451="",$G451=""),"",IF(AND($B451&lt;&gt;"",COUNTIFS('2. Soil Data'!$B$5:$B$604,$B451)=0),"Core ID not found in Soil Data, so the corer diameter cannot be looked up. ","")&amp;IF(ASH_CORRECTED&lt;&gt;"Yes","Root mass is NOT ash-corrected, so it includes adhering mineral soil and is too high. Set ASH_CORRECTED once you have done it. ","")&amp;IF(AND(ASH_CORRECTED="Yes",NOT(ISNUMBER($H451))),"Ash correction is switched on but no ash fraction is given for this row. ","")&amp;IF($I451="","Sieve mesh not recorded — a fine-root figure cannot be interpreted without it. ","")&amp;IF(AND(ISNUMBER($H451),$H451&gt;0.5),"Ash fraction above 0.5 — over half this sample was mineral soil. Re-wash. ","")&amp;IF($F451="Not separated","Live and dead not separated. Fine for a stock, but "&amp;"note it in reporting. ",""))</f>
        <v/>
      </c>
      <c r="P451" s="6" t="n"/>
      <c r="Q451" s="9">
        <f>IF($B451="",0,IF(COUNTIFS($B$5:$B451,$B451)=1,1,0))</f>
        <v/>
      </c>
    </row>
    <row r="452">
      <c r="A452" s="6" t="n"/>
      <c r="B452" s="6" t="n"/>
      <c r="C452" s="6" t="n"/>
      <c r="D452" s="6" t="n"/>
      <c r="E452" s="6" t="n"/>
      <c r="F452" s="6" t="n"/>
      <c r="G452" s="7" t="n"/>
      <c r="H452" s="7" t="n"/>
      <c r="I452" s="6" t="n"/>
      <c r="J452" s="9">
        <f>IF(NOT(ISNUMBER($G452)),"",IF(AND(ASH_CORRECTED="Yes",ISNUMBER($H452)),$G452*(1-$H452),$G452))</f>
        <v/>
      </c>
      <c r="K452" s="9">
        <f>IF($B452="","",IFERROR(AVERAGEIFS('2. Soil Data'!$G$5:$G$604,'2. Soil Data'!$B$5:$B$604,$B452),""))</f>
        <v/>
      </c>
      <c r="L452" s="9">
        <f>IF(NOT(ISNUMBER($K452)),"",PI()*($K452/2)^2)</f>
        <v/>
      </c>
      <c r="M452" s="9">
        <f>IF(OR(NOT(ISNUMBER($J452)),NOT(ISNUMBER($L452)),$L452=0),"",$J452/$L452*10000)</f>
        <v/>
      </c>
      <c r="N452" s="9">
        <f>IF(NOT(ISNUMBER($M452)),"",$M452*CARBON_FRACTION_ROOT/1000)</f>
        <v/>
      </c>
      <c r="O452" s="11">
        <f>IF(AND($A452="",$B452="",$G452=""),"",IF(AND($B452&lt;&gt;"",COUNTIFS('2. Soil Data'!$B$5:$B$604,$B452)=0),"Core ID not found in Soil Data, so the corer diameter cannot be looked up. ","")&amp;IF(ASH_CORRECTED&lt;&gt;"Yes","Root mass is NOT ash-corrected, so it includes adhering mineral soil and is too high. Set ASH_CORRECTED once you have done it. ","")&amp;IF(AND(ASH_CORRECTED="Yes",NOT(ISNUMBER($H452))),"Ash correction is switched on but no ash fraction is given for this row. ","")&amp;IF($I452="","Sieve mesh not recorded — a fine-root figure cannot be interpreted without it. ","")&amp;IF(AND(ISNUMBER($H452),$H452&gt;0.5),"Ash fraction above 0.5 — over half this sample was mineral soil. Re-wash. ","")&amp;IF($F452="Not separated","Live and dead not separated. Fine for a stock, but "&amp;"note it in reporting. ",""))</f>
        <v/>
      </c>
      <c r="P452" s="6" t="n"/>
      <c r="Q452" s="9">
        <f>IF($B452="",0,IF(COUNTIFS($B$5:$B452,$B452)=1,1,0))</f>
        <v/>
      </c>
    </row>
    <row r="453">
      <c r="A453" s="6" t="n"/>
      <c r="B453" s="6" t="n"/>
      <c r="C453" s="6" t="n"/>
      <c r="D453" s="6" t="n"/>
      <c r="E453" s="6" t="n"/>
      <c r="F453" s="6" t="n"/>
      <c r="G453" s="7" t="n"/>
      <c r="H453" s="7" t="n"/>
      <c r="I453" s="6" t="n"/>
      <c r="J453" s="9">
        <f>IF(NOT(ISNUMBER($G453)),"",IF(AND(ASH_CORRECTED="Yes",ISNUMBER($H453)),$G453*(1-$H453),$G453))</f>
        <v/>
      </c>
      <c r="K453" s="9">
        <f>IF($B453="","",IFERROR(AVERAGEIFS('2. Soil Data'!$G$5:$G$604,'2. Soil Data'!$B$5:$B$604,$B453),""))</f>
        <v/>
      </c>
      <c r="L453" s="9">
        <f>IF(NOT(ISNUMBER($K453)),"",PI()*($K453/2)^2)</f>
        <v/>
      </c>
      <c r="M453" s="9">
        <f>IF(OR(NOT(ISNUMBER($J453)),NOT(ISNUMBER($L453)),$L453=0),"",$J453/$L453*10000)</f>
        <v/>
      </c>
      <c r="N453" s="9">
        <f>IF(NOT(ISNUMBER($M453)),"",$M453*CARBON_FRACTION_ROOT/1000)</f>
        <v/>
      </c>
      <c r="O453" s="11">
        <f>IF(AND($A453="",$B453="",$G453=""),"",IF(AND($B453&lt;&gt;"",COUNTIFS('2. Soil Data'!$B$5:$B$604,$B453)=0),"Core ID not found in Soil Data, so the corer diameter cannot be looked up. ","")&amp;IF(ASH_CORRECTED&lt;&gt;"Yes","Root mass is NOT ash-corrected, so it includes adhering mineral soil and is too high. Set ASH_CORRECTED once you have done it. ","")&amp;IF(AND(ASH_CORRECTED="Yes",NOT(ISNUMBER($H453))),"Ash correction is switched on but no ash fraction is given for this row. ","")&amp;IF($I453="","Sieve mesh not recorded — a fine-root figure cannot be interpreted without it. ","")&amp;IF(AND(ISNUMBER($H453),$H453&gt;0.5),"Ash fraction above 0.5 — over half this sample was mineral soil. Re-wash. ","")&amp;IF($F453="Not separated","Live and dead not separated. Fine for a stock, but "&amp;"note it in reporting. ",""))</f>
        <v/>
      </c>
      <c r="P453" s="6" t="n"/>
      <c r="Q453" s="9">
        <f>IF($B453="",0,IF(COUNTIFS($B$5:$B453,$B453)=1,1,0))</f>
        <v/>
      </c>
    </row>
    <row r="454">
      <c r="A454" s="6" t="n"/>
      <c r="B454" s="6" t="n"/>
      <c r="C454" s="6" t="n"/>
      <c r="D454" s="6" t="n"/>
      <c r="E454" s="6" t="n"/>
      <c r="F454" s="6" t="n"/>
      <c r="G454" s="7" t="n"/>
      <c r="H454" s="7" t="n"/>
      <c r="I454" s="6" t="n"/>
      <c r="J454" s="9">
        <f>IF(NOT(ISNUMBER($G454)),"",IF(AND(ASH_CORRECTED="Yes",ISNUMBER($H454)),$G454*(1-$H454),$G454))</f>
        <v/>
      </c>
      <c r="K454" s="9">
        <f>IF($B454="","",IFERROR(AVERAGEIFS('2. Soil Data'!$G$5:$G$604,'2. Soil Data'!$B$5:$B$604,$B454),""))</f>
        <v/>
      </c>
      <c r="L454" s="9">
        <f>IF(NOT(ISNUMBER($K454)),"",PI()*($K454/2)^2)</f>
        <v/>
      </c>
      <c r="M454" s="9">
        <f>IF(OR(NOT(ISNUMBER($J454)),NOT(ISNUMBER($L454)),$L454=0),"",$J454/$L454*10000)</f>
        <v/>
      </c>
      <c r="N454" s="9">
        <f>IF(NOT(ISNUMBER($M454)),"",$M454*CARBON_FRACTION_ROOT/1000)</f>
        <v/>
      </c>
      <c r="O454" s="11">
        <f>IF(AND($A454="",$B454="",$G454=""),"",IF(AND($B454&lt;&gt;"",COUNTIFS('2. Soil Data'!$B$5:$B$604,$B454)=0),"Core ID not found in Soil Data, so the corer diameter cannot be looked up. ","")&amp;IF(ASH_CORRECTED&lt;&gt;"Yes","Root mass is NOT ash-corrected, so it includes adhering mineral soil and is too high. Set ASH_CORRECTED once you have done it. ","")&amp;IF(AND(ASH_CORRECTED="Yes",NOT(ISNUMBER($H454))),"Ash correction is switched on but no ash fraction is given for this row. ","")&amp;IF($I454="","Sieve mesh not recorded — a fine-root figure cannot be interpreted without it. ","")&amp;IF(AND(ISNUMBER($H454),$H454&gt;0.5),"Ash fraction above 0.5 — over half this sample was mineral soil. Re-wash. ","")&amp;IF($F454="Not separated","Live and dead not separated. Fine for a stock, but "&amp;"note it in reporting. ",""))</f>
        <v/>
      </c>
      <c r="P454" s="6" t="n"/>
      <c r="Q454" s="9">
        <f>IF($B454="",0,IF(COUNTIFS($B$5:$B454,$B454)=1,1,0))</f>
        <v/>
      </c>
    </row>
    <row r="455">
      <c r="A455" s="6" t="n"/>
      <c r="B455" s="6" t="n"/>
      <c r="C455" s="6" t="n"/>
      <c r="D455" s="6" t="n"/>
      <c r="E455" s="6" t="n"/>
      <c r="F455" s="6" t="n"/>
      <c r="G455" s="7" t="n"/>
      <c r="H455" s="7" t="n"/>
      <c r="I455" s="6" t="n"/>
      <c r="J455" s="9">
        <f>IF(NOT(ISNUMBER($G455)),"",IF(AND(ASH_CORRECTED="Yes",ISNUMBER($H455)),$G455*(1-$H455),$G455))</f>
        <v/>
      </c>
      <c r="K455" s="9">
        <f>IF($B455="","",IFERROR(AVERAGEIFS('2. Soil Data'!$G$5:$G$604,'2. Soil Data'!$B$5:$B$604,$B455),""))</f>
        <v/>
      </c>
      <c r="L455" s="9">
        <f>IF(NOT(ISNUMBER($K455)),"",PI()*($K455/2)^2)</f>
        <v/>
      </c>
      <c r="M455" s="9">
        <f>IF(OR(NOT(ISNUMBER($J455)),NOT(ISNUMBER($L455)),$L455=0),"",$J455/$L455*10000)</f>
        <v/>
      </c>
      <c r="N455" s="9">
        <f>IF(NOT(ISNUMBER($M455)),"",$M455*CARBON_FRACTION_ROOT/1000)</f>
        <v/>
      </c>
      <c r="O455" s="11">
        <f>IF(AND($A455="",$B455="",$G455=""),"",IF(AND($B455&lt;&gt;"",COUNTIFS('2. Soil Data'!$B$5:$B$604,$B455)=0),"Core ID not found in Soil Data, so the corer diameter cannot be looked up. ","")&amp;IF(ASH_CORRECTED&lt;&gt;"Yes","Root mass is NOT ash-corrected, so it includes adhering mineral soil and is too high. Set ASH_CORRECTED once you have done it. ","")&amp;IF(AND(ASH_CORRECTED="Yes",NOT(ISNUMBER($H455))),"Ash correction is switched on but no ash fraction is given for this row. ","")&amp;IF($I455="","Sieve mesh not recorded — a fine-root figure cannot be interpreted without it. ","")&amp;IF(AND(ISNUMBER($H455),$H455&gt;0.5),"Ash fraction above 0.5 — over half this sample was mineral soil. Re-wash. ","")&amp;IF($F455="Not separated","Live and dead not separated. Fine for a stock, but "&amp;"note it in reporting. ",""))</f>
        <v/>
      </c>
      <c r="P455" s="6" t="n"/>
      <c r="Q455" s="9">
        <f>IF($B455="",0,IF(COUNTIFS($B$5:$B455,$B455)=1,1,0))</f>
        <v/>
      </c>
    </row>
    <row r="456">
      <c r="A456" s="6" t="n"/>
      <c r="B456" s="6" t="n"/>
      <c r="C456" s="6" t="n"/>
      <c r="D456" s="6" t="n"/>
      <c r="E456" s="6" t="n"/>
      <c r="F456" s="6" t="n"/>
      <c r="G456" s="7" t="n"/>
      <c r="H456" s="7" t="n"/>
      <c r="I456" s="6" t="n"/>
      <c r="J456" s="9">
        <f>IF(NOT(ISNUMBER($G456)),"",IF(AND(ASH_CORRECTED="Yes",ISNUMBER($H456)),$G456*(1-$H456),$G456))</f>
        <v/>
      </c>
      <c r="K456" s="9">
        <f>IF($B456="","",IFERROR(AVERAGEIFS('2. Soil Data'!$G$5:$G$604,'2. Soil Data'!$B$5:$B$604,$B456),""))</f>
        <v/>
      </c>
      <c r="L456" s="9">
        <f>IF(NOT(ISNUMBER($K456)),"",PI()*($K456/2)^2)</f>
        <v/>
      </c>
      <c r="M456" s="9">
        <f>IF(OR(NOT(ISNUMBER($J456)),NOT(ISNUMBER($L456)),$L456=0),"",$J456/$L456*10000)</f>
        <v/>
      </c>
      <c r="N456" s="9">
        <f>IF(NOT(ISNUMBER($M456)),"",$M456*CARBON_FRACTION_ROOT/1000)</f>
        <v/>
      </c>
      <c r="O456" s="11">
        <f>IF(AND($A456="",$B456="",$G456=""),"",IF(AND($B456&lt;&gt;"",COUNTIFS('2. Soil Data'!$B$5:$B$604,$B456)=0),"Core ID not found in Soil Data, so the corer diameter cannot be looked up. ","")&amp;IF(ASH_CORRECTED&lt;&gt;"Yes","Root mass is NOT ash-corrected, so it includes adhering mineral soil and is too high. Set ASH_CORRECTED once you have done it. ","")&amp;IF(AND(ASH_CORRECTED="Yes",NOT(ISNUMBER($H456))),"Ash correction is switched on but no ash fraction is given for this row. ","")&amp;IF($I456="","Sieve mesh not recorded — a fine-root figure cannot be interpreted without it. ","")&amp;IF(AND(ISNUMBER($H456),$H456&gt;0.5),"Ash fraction above 0.5 — over half this sample was mineral soil. Re-wash. ","")&amp;IF($F456="Not separated","Live and dead not separated. Fine for a stock, but "&amp;"note it in reporting. ",""))</f>
        <v/>
      </c>
      <c r="P456" s="6" t="n"/>
      <c r="Q456" s="9">
        <f>IF($B456="",0,IF(COUNTIFS($B$5:$B456,$B456)=1,1,0))</f>
        <v/>
      </c>
    </row>
    <row r="457">
      <c r="A457" s="6" t="n"/>
      <c r="B457" s="6" t="n"/>
      <c r="C457" s="6" t="n"/>
      <c r="D457" s="6" t="n"/>
      <c r="E457" s="6" t="n"/>
      <c r="F457" s="6" t="n"/>
      <c r="G457" s="7" t="n"/>
      <c r="H457" s="7" t="n"/>
      <c r="I457" s="6" t="n"/>
      <c r="J457" s="9">
        <f>IF(NOT(ISNUMBER($G457)),"",IF(AND(ASH_CORRECTED="Yes",ISNUMBER($H457)),$G457*(1-$H457),$G457))</f>
        <v/>
      </c>
      <c r="K457" s="9">
        <f>IF($B457="","",IFERROR(AVERAGEIFS('2. Soil Data'!$G$5:$G$604,'2. Soil Data'!$B$5:$B$604,$B457),""))</f>
        <v/>
      </c>
      <c r="L457" s="9">
        <f>IF(NOT(ISNUMBER($K457)),"",PI()*($K457/2)^2)</f>
        <v/>
      </c>
      <c r="M457" s="9">
        <f>IF(OR(NOT(ISNUMBER($J457)),NOT(ISNUMBER($L457)),$L457=0),"",$J457/$L457*10000)</f>
        <v/>
      </c>
      <c r="N457" s="9">
        <f>IF(NOT(ISNUMBER($M457)),"",$M457*CARBON_FRACTION_ROOT/1000)</f>
        <v/>
      </c>
      <c r="O457" s="11">
        <f>IF(AND($A457="",$B457="",$G457=""),"",IF(AND($B457&lt;&gt;"",COUNTIFS('2. Soil Data'!$B$5:$B$604,$B457)=0),"Core ID not found in Soil Data, so the corer diameter cannot be looked up. ","")&amp;IF(ASH_CORRECTED&lt;&gt;"Yes","Root mass is NOT ash-corrected, so it includes adhering mineral soil and is too high. Set ASH_CORRECTED once you have done it. ","")&amp;IF(AND(ASH_CORRECTED="Yes",NOT(ISNUMBER($H457))),"Ash correction is switched on but no ash fraction is given for this row. ","")&amp;IF($I457="","Sieve mesh not recorded — a fine-root figure cannot be interpreted without it. ","")&amp;IF(AND(ISNUMBER($H457),$H457&gt;0.5),"Ash fraction above 0.5 — over half this sample was mineral soil. Re-wash. ","")&amp;IF($F457="Not separated","Live and dead not separated. Fine for a stock, but "&amp;"note it in reporting. ",""))</f>
        <v/>
      </c>
      <c r="P457" s="6" t="n"/>
      <c r="Q457" s="9">
        <f>IF($B457="",0,IF(COUNTIFS($B$5:$B457,$B457)=1,1,0))</f>
        <v/>
      </c>
    </row>
    <row r="458">
      <c r="A458" s="6" t="n"/>
      <c r="B458" s="6" t="n"/>
      <c r="C458" s="6" t="n"/>
      <c r="D458" s="6" t="n"/>
      <c r="E458" s="6" t="n"/>
      <c r="F458" s="6" t="n"/>
      <c r="G458" s="7" t="n"/>
      <c r="H458" s="7" t="n"/>
      <c r="I458" s="6" t="n"/>
      <c r="J458" s="9">
        <f>IF(NOT(ISNUMBER($G458)),"",IF(AND(ASH_CORRECTED="Yes",ISNUMBER($H458)),$G458*(1-$H458),$G458))</f>
        <v/>
      </c>
      <c r="K458" s="9">
        <f>IF($B458="","",IFERROR(AVERAGEIFS('2. Soil Data'!$G$5:$G$604,'2. Soil Data'!$B$5:$B$604,$B458),""))</f>
        <v/>
      </c>
      <c r="L458" s="9">
        <f>IF(NOT(ISNUMBER($K458)),"",PI()*($K458/2)^2)</f>
        <v/>
      </c>
      <c r="M458" s="9">
        <f>IF(OR(NOT(ISNUMBER($J458)),NOT(ISNUMBER($L458)),$L458=0),"",$J458/$L458*10000)</f>
        <v/>
      </c>
      <c r="N458" s="9">
        <f>IF(NOT(ISNUMBER($M458)),"",$M458*CARBON_FRACTION_ROOT/1000)</f>
        <v/>
      </c>
      <c r="O458" s="11">
        <f>IF(AND($A458="",$B458="",$G458=""),"",IF(AND($B458&lt;&gt;"",COUNTIFS('2. Soil Data'!$B$5:$B$604,$B458)=0),"Core ID not found in Soil Data, so the corer diameter cannot be looked up. ","")&amp;IF(ASH_CORRECTED&lt;&gt;"Yes","Root mass is NOT ash-corrected, so it includes adhering mineral soil and is too high. Set ASH_CORRECTED once you have done it. ","")&amp;IF(AND(ASH_CORRECTED="Yes",NOT(ISNUMBER($H458))),"Ash correction is switched on but no ash fraction is given for this row. ","")&amp;IF($I458="","Sieve mesh not recorded — a fine-root figure cannot be interpreted without it. ","")&amp;IF(AND(ISNUMBER($H458),$H458&gt;0.5),"Ash fraction above 0.5 — over half this sample was mineral soil. Re-wash. ","")&amp;IF($F458="Not separated","Live and dead not separated. Fine for a stock, but "&amp;"note it in reporting. ",""))</f>
        <v/>
      </c>
      <c r="P458" s="6" t="n"/>
      <c r="Q458" s="9">
        <f>IF($B458="",0,IF(COUNTIFS($B$5:$B458,$B458)=1,1,0))</f>
        <v/>
      </c>
    </row>
    <row r="459">
      <c r="A459" s="6" t="n"/>
      <c r="B459" s="6" t="n"/>
      <c r="C459" s="6" t="n"/>
      <c r="D459" s="6" t="n"/>
      <c r="E459" s="6" t="n"/>
      <c r="F459" s="6" t="n"/>
      <c r="G459" s="7" t="n"/>
      <c r="H459" s="7" t="n"/>
      <c r="I459" s="6" t="n"/>
      <c r="J459" s="9">
        <f>IF(NOT(ISNUMBER($G459)),"",IF(AND(ASH_CORRECTED="Yes",ISNUMBER($H459)),$G459*(1-$H459),$G459))</f>
        <v/>
      </c>
      <c r="K459" s="9">
        <f>IF($B459="","",IFERROR(AVERAGEIFS('2. Soil Data'!$G$5:$G$604,'2. Soil Data'!$B$5:$B$604,$B459),""))</f>
        <v/>
      </c>
      <c r="L459" s="9">
        <f>IF(NOT(ISNUMBER($K459)),"",PI()*($K459/2)^2)</f>
        <v/>
      </c>
      <c r="M459" s="9">
        <f>IF(OR(NOT(ISNUMBER($J459)),NOT(ISNUMBER($L459)),$L459=0),"",$J459/$L459*10000)</f>
        <v/>
      </c>
      <c r="N459" s="9">
        <f>IF(NOT(ISNUMBER($M459)),"",$M459*CARBON_FRACTION_ROOT/1000)</f>
        <v/>
      </c>
      <c r="O459" s="11">
        <f>IF(AND($A459="",$B459="",$G459=""),"",IF(AND($B459&lt;&gt;"",COUNTIFS('2. Soil Data'!$B$5:$B$604,$B459)=0),"Core ID not found in Soil Data, so the corer diameter cannot be looked up. ","")&amp;IF(ASH_CORRECTED&lt;&gt;"Yes","Root mass is NOT ash-corrected, so it includes adhering mineral soil and is too high. Set ASH_CORRECTED once you have done it. ","")&amp;IF(AND(ASH_CORRECTED="Yes",NOT(ISNUMBER($H459))),"Ash correction is switched on but no ash fraction is given for this row. ","")&amp;IF($I459="","Sieve mesh not recorded — a fine-root figure cannot be interpreted without it. ","")&amp;IF(AND(ISNUMBER($H459),$H459&gt;0.5),"Ash fraction above 0.5 — over half this sample was mineral soil. Re-wash. ","")&amp;IF($F459="Not separated","Live and dead not separated. Fine for a stock, but "&amp;"note it in reporting. ",""))</f>
        <v/>
      </c>
      <c r="P459" s="6" t="n"/>
      <c r="Q459" s="9">
        <f>IF($B459="",0,IF(COUNTIFS($B$5:$B459,$B459)=1,1,0))</f>
        <v/>
      </c>
    </row>
    <row r="460">
      <c r="A460" s="6" t="n"/>
      <c r="B460" s="6" t="n"/>
      <c r="C460" s="6" t="n"/>
      <c r="D460" s="6" t="n"/>
      <c r="E460" s="6" t="n"/>
      <c r="F460" s="6" t="n"/>
      <c r="G460" s="7" t="n"/>
      <c r="H460" s="7" t="n"/>
      <c r="I460" s="6" t="n"/>
      <c r="J460" s="9">
        <f>IF(NOT(ISNUMBER($G460)),"",IF(AND(ASH_CORRECTED="Yes",ISNUMBER($H460)),$G460*(1-$H460),$G460))</f>
        <v/>
      </c>
      <c r="K460" s="9">
        <f>IF($B460="","",IFERROR(AVERAGEIFS('2. Soil Data'!$G$5:$G$604,'2. Soil Data'!$B$5:$B$604,$B460),""))</f>
        <v/>
      </c>
      <c r="L460" s="9">
        <f>IF(NOT(ISNUMBER($K460)),"",PI()*($K460/2)^2)</f>
        <v/>
      </c>
      <c r="M460" s="9">
        <f>IF(OR(NOT(ISNUMBER($J460)),NOT(ISNUMBER($L460)),$L460=0),"",$J460/$L460*10000)</f>
        <v/>
      </c>
      <c r="N460" s="9">
        <f>IF(NOT(ISNUMBER($M460)),"",$M460*CARBON_FRACTION_ROOT/1000)</f>
        <v/>
      </c>
      <c r="O460" s="11">
        <f>IF(AND($A460="",$B460="",$G460=""),"",IF(AND($B460&lt;&gt;"",COUNTIFS('2. Soil Data'!$B$5:$B$604,$B460)=0),"Core ID not found in Soil Data, so the corer diameter cannot be looked up. ","")&amp;IF(ASH_CORRECTED&lt;&gt;"Yes","Root mass is NOT ash-corrected, so it includes adhering mineral soil and is too high. Set ASH_CORRECTED once you have done it. ","")&amp;IF(AND(ASH_CORRECTED="Yes",NOT(ISNUMBER($H460))),"Ash correction is switched on but no ash fraction is given for this row. ","")&amp;IF($I460="","Sieve mesh not recorded — a fine-root figure cannot be interpreted without it. ","")&amp;IF(AND(ISNUMBER($H460),$H460&gt;0.5),"Ash fraction above 0.5 — over half this sample was mineral soil. Re-wash. ","")&amp;IF($F460="Not separated","Live and dead not separated. Fine for a stock, but "&amp;"note it in reporting. ",""))</f>
        <v/>
      </c>
      <c r="P460" s="6" t="n"/>
      <c r="Q460" s="9">
        <f>IF($B460="",0,IF(COUNTIFS($B$5:$B460,$B460)=1,1,0))</f>
        <v/>
      </c>
    </row>
    <row r="461">
      <c r="A461" s="6" t="n"/>
      <c r="B461" s="6" t="n"/>
      <c r="C461" s="6" t="n"/>
      <c r="D461" s="6" t="n"/>
      <c r="E461" s="6" t="n"/>
      <c r="F461" s="6" t="n"/>
      <c r="G461" s="7" t="n"/>
      <c r="H461" s="7" t="n"/>
      <c r="I461" s="6" t="n"/>
      <c r="J461" s="9">
        <f>IF(NOT(ISNUMBER($G461)),"",IF(AND(ASH_CORRECTED="Yes",ISNUMBER($H461)),$G461*(1-$H461),$G461))</f>
        <v/>
      </c>
      <c r="K461" s="9">
        <f>IF($B461="","",IFERROR(AVERAGEIFS('2. Soil Data'!$G$5:$G$604,'2. Soil Data'!$B$5:$B$604,$B461),""))</f>
        <v/>
      </c>
      <c r="L461" s="9">
        <f>IF(NOT(ISNUMBER($K461)),"",PI()*($K461/2)^2)</f>
        <v/>
      </c>
      <c r="M461" s="9">
        <f>IF(OR(NOT(ISNUMBER($J461)),NOT(ISNUMBER($L461)),$L461=0),"",$J461/$L461*10000)</f>
        <v/>
      </c>
      <c r="N461" s="9">
        <f>IF(NOT(ISNUMBER($M461)),"",$M461*CARBON_FRACTION_ROOT/1000)</f>
        <v/>
      </c>
      <c r="O461" s="11">
        <f>IF(AND($A461="",$B461="",$G461=""),"",IF(AND($B461&lt;&gt;"",COUNTIFS('2. Soil Data'!$B$5:$B$604,$B461)=0),"Core ID not found in Soil Data, so the corer diameter cannot be looked up. ","")&amp;IF(ASH_CORRECTED&lt;&gt;"Yes","Root mass is NOT ash-corrected, so it includes adhering mineral soil and is too high. Set ASH_CORRECTED once you have done it. ","")&amp;IF(AND(ASH_CORRECTED="Yes",NOT(ISNUMBER($H461))),"Ash correction is switched on but no ash fraction is given for this row. ","")&amp;IF($I461="","Sieve mesh not recorded — a fine-root figure cannot be interpreted without it. ","")&amp;IF(AND(ISNUMBER($H461),$H461&gt;0.5),"Ash fraction above 0.5 — over half this sample was mineral soil. Re-wash. ","")&amp;IF($F461="Not separated","Live and dead not separated. Fine for a stock, but "&amp;"note it in reporting. ",""))</f>
        <v/>
      </c>
      <c r="P461" s="6" t="n"/>
      <c r="Q461" s="9">
        <f>IF($B461="",0,IF(COUNTIFS($B$5:$B461,$B461)=1,1,0))</f>
        <v/>
      </c>
    </row>
    <row r="462">
      <c r="A462" s="6" t="n"/>
      <c r="B462" s="6" t="n"/>
      <c r="C462" s="6" t="n"/>
      <c r="D462" s="6" t="n"/>
      <c r="E462" s="6" t="n"/>
      <c r="F462" s="6" t="n"/>
      <c r="G462" s="7" t="n"/>
      <c r="H462" s="7" t="n"/>
      <c r="I462" s="6" t="n"/>
      <c r="J462" s="9">
        <f>IF(NOT(ISNUMBER($G462)),"",IF(AND(ASH_CORRECTED="Yes",ISNUMBER($H462)),$G462*(1-$H462),$G462))</f>
        <v/>
      </c>
      <c r="K462" s="9">
        <f>IF($B462="","",IFERROR(AVERAGEIFS('2. Soil Data'!$G$5:$G$604,'2. Soil Data'!$B$5:$B$604,$B462),""))</f>
        <v/>
      </c>
      <c r="L462" s="9">
        <f>IF(NOT(ISNUMBER($K462)),"",PI()*($K462/2)^2)</f>
        <v/>
      </c>
      <c r="M462" s="9">
        <f>IF(OR(NOT(ISNUMBER($J462)),NOT(ISNUMBER($L462)),$L462=0),"",$J462/$L462*10000)</f>
        <v/>
      </c>
      <c r="N462" s="9">
        <f>IF(NOT(ISNUMBER($M462)),"",$M462*CARBON_FRACTION_ROOT/1000)</f>
        <v/>
      </c>
      <c r="O462" s="11">
        <f>IF(AND($A462="",$B462="",$G462=""),"",IF(AND($B462&lt;&gt;"",COUNTIFS('2. Soil Data'!$B$5:$B$604,$B462)=0),"Core ID not found in Soil Data, so the corer diameter cannot be looked up. ","")&amp;IF(ASH_CORRECTED&lt;&gt;"Yes","Root mass is NOT ash-corrected, so it includes adhering mineral soil and is too high. Set ASH_CORRECTED once you have done it. ","")&amp;IF(AND(ASH_CORRECTED="Yes",NOT(ISNUMBER($H462))),"Ash correction is switched on but no ash fraction is given for this row. ","")&amp;IF($I462="","Sieve mesh not recorded — a fine-root figure cannot be interpreted without it. ","")&amp;IF(AND(ISNUMBER($H462),$H462&gt;0.5),"Ash fraction above 0.5 — over half this sample was mineral soil. Re-wash. ","")&amp;IF($F462="Not separated","Live and dead not separated. Fine for a stock, but "&amp;"note it in reporting. ",""))</f>
        <v/>
      </c>
      <c r="P462" s="6" t="n"/>
      <c r="Q462" s="9">
        <f>IF($B462="",0,IF(COUNTIFS($B$5:$B462,$B462)=1,1,0))</f>
        <v/>
      </c>
    </row>
    <row r="463">
      <c r="A463" s="6" t="n"/>
      <c r="B463" s="6" t="n"/>
      <c r="C463" s="6" t="n"/>
      <c r="D463" s="6" t="n"/>
      <c r="E463" s="6" t="n"/>
      <c r="F463" s="6" t="n"/>
      <c r="G463" s="7" t="n"/>
      <c r="H463" s="7" t="n"/>
      <c r="I463" s="6" t="n"/>
      <c r="J463" s="9">
        <f>IF(NOT(ISNUMBER($G463)),"",IF(AND(ASH_CORRECTED="Yes",ISNUMBER($H463)),$G463*(1-$H463),$G463))</f>
        <v/>
      </c>
      <c r="K463" s="9">
        <f>IF($B463="","",IFERROR(AVERAGEIFS('2. Soil Data'!$G$5:$G$604,'2. Soil Data'!$B$5:$B$604,$B463),""))</f>
        <v/>
      </c>
      <c r="L463" s="9">
        <f>IF(NOT(ISNUMBER($K463)),"",PI()*($K463/2)^2)</f>
        <v/>
      </c>
      <c r="M463" s="9">
        <f>IF(OR(NOT(ISNUMBER($J463)),NOT(ISNUMBER($L463)),$L463=0),"",$J463/$L463*10000)</f>
        <v/>
      </c>
      <c r="N463" s="9">
        <f>IF(NOT(ISNUMBER($M463)),"",$M463*CARBON_FRACTION_ROOT/1000)</f>
        <v/>
      </c>
      <c r="O463" s="11">
        <f>IF(AND($A463="",$B463="",$G463=""),"",IF(AND($B463&lt;&gt;"",COUNTIFS('2. Soil Data'!$B$5:$B$604,$B463)=0),"Core ID not found in Soil Data, so the corer diameter cannot be looked up. ","")&amp;IF(ASH_CORRECTED&lt;&gt;"Yes","Root mass is NOT ash-corrected, so it includes adhering mineral soil and is too high. Set ASH_CORRECTED once you have done it. ","")&amp;IF(AND(ASH_CORRECTED="Yes",NOT(ISNUMBER($H463))),"Ash correction is switched on but no ash fraction is given for this row. ","")&amp;IF($I463="","Sieve mesh not recorded — a fine-root figure cannot be interpreted without it. ","")&amp;IF(AND(ISNUMBER($H463),$H463&gt;0.5),"Ash fraction above 0.5 — over half this sample was mineral soil. Re-wash. ","")&amp;IF($F463="Not separated","Live and dead not separated. Fine for a stock, but "&amp;"note it in reporting. ",""))</f>
        <v/>
      </c>
      <c r="P463" s="6" t="n"/>
      <c r="Q463" s="9">
        <f>IF($B463="",0,IF(COUNTIFS($B$5:$B463,$B463)=1,1,0))</f>
        <v/>
      </c>
    </row>
    <row r="464">
      <c r="A464" s="6" t="n"/>
      <c r="B464" s="6" t="n"/>
      <c r="C464" s="6" t="n"/>
      <c r="D464" s="6" t="n"/>
      <c r="E464" s="6" t="n"/>
      <c r="F464" s="6" t="n"/>
      <c r="G464" s="7" t="n"/>
      <c r="H464" s="7" t="n"/>
      <c r="I464" s="6" t="n"/>
      <c r="J464" s="9">
        <f>IF(NOT(ISNUMBER($G464)),"",IF(AND(ASH_CORRECTED="Yes",ISNUMBER($H464)),$G464*(1-$H464),$G464))</f>
        <v/>
      </c>
      <c r="K464" s="9">
        <f>IF($B464="","",IFERROR(AVERAGEIFS('2. Soil Data'!$G$5:$G$604,'2. Soil Data'!$B$5:$B$604,$B464),""))</f>
        <v/>
      </c>
      <c r="L464" s="9">
        <f>IF(NOT(ISNUMBER($K464)),"",PI()*($K464/2)^2)</f>
        <v/>
      </c>
      <c r="M464" s="9">
        <f>IF(OR(NOT(ISNUMBER($J464)),NOT(ISNUMBER($L464)),$L464=0),"",$J464/$L464*10000)</f>
        <v/>
      </c>
      <c r="N464" s="9">
        <f>IF(NOT(ISNUMBER($M464)),"",$M464*CARBON_FRACTION_ROOT/1000)</f>
        <v/>
      </c>
      <c r="O464" s="11">
        <f>IF(AND($A464="",$B464="",$G464=""),"",IF(AND($B464&lt;&gt;"",COUNTIFS('2. Soil Data'!$B$5:$B$604,$B464)=0),"Core ID not found in Soil Data, so the corer diameter cannot be looked up. ","")&amp;IF(ASH_CORRECTED&lt;&gt;"Yes","Root mass is NOT ash-corrected, so it includes adhering mineral soil and is too high. Set ASH_CORRECTED once you have done it. ","")&amp;IF(AND(ASH_CORRECTED="Yes",NOT(ISNUMBER($H464))),"Ash correction is switched on but no ash fraction is given for this row. ","")&amp;IF($I464="","Sieve mesh not recorded — a fine-root figure cannot be interpreted without it. ","")&amp;IF(AND(ISNUMBER($H464),$H464&gt;0.5),"Ash fraction above 0.5 — over half this sample was mineral soil. Re-wash. ","")&amp;IF($F464="Not separated","Live and dead not separated. Fine for a stock, but "&amp;"note it in reporting. ",""))</f>
        <v/>
      </c>
      <c r="P464" s="6" t="n"/>
      <c r="Q464" s="9">
        <f>IF($B464="",0,IF(COUNTIFS($B$5:$B464,$B464)=1,1,0))</f>
        <v/>
      </c>
    </row>
    <row r="465">
      <c r="A465" s="6" t="n"/>
      <c r="B465" s="6" t="n"/>
      <c r="C465" s="6" t="n"/>
      <c r="D465" s="6" t="n"/>
      <c r="E465" s="6" t="n"/>
      <c r="F465" s="6" t="n"/>
      <c r="G465" s="7" t="n"/>
      <c r="H465" s="7" t="n"/>
      <c r="I465" s="6" t="n"/>
      <c r="J465" s="9">
        <f>IF(NOT(ISNUMBER($G465)),"",IF(AND(ASH_CORRECTED="Yes",ISNUMBER($H465)),$G465*(1-$H465),$G465))</f>
        <v/>
      </c>
      <c r="K465" s="9">
        <f>IF($B465="","",IFERROR(AVERAGEIFS('2. Soil Data'!$G$5:$G$604,'2. Soil Data'!$B$5:$B$604,$B465),""))</f>
        <v/>
      </c>
      <c r="L465" s="9">
        <f>IF(NOT(ISNUMBER($K465)),"",PI()*($K465/2)^2)</f>
        <v/>
      </c>
      <c r="M465" s="9">
        <f>IF(OR(NOT(ISNUMBER($J465)),NOT(ISNUMBER($L465)),$L465=0),"",$J465/$L465*10000)</f>
        <v/>
      </c>
      <c r="N465" s="9">
        <f>IF(NOT(ISNUMBER($M465)),"",$M465*CARBON_FRACTION_ROOT/1000)</f>
        <v/>
      </c>
      <c r="O465" s="11">
        <f>IF(AND($A465="",$B465="",$G465=""),"",IF(AND($B465&lt;&gt;"",COUNTIFS('2. Soil Data'!$B$5:$B$604,$B465)=0),"Core ID not found in Soil Data, so the corer diameter cannot be looked up. ","")&amp;IF(ASH_CORRECTED&lt;&gt;"Yes","Root mass is NOT ash-corrected, so it includes adhering mineral soil and is too high. Set ASH_CORRECTED once you have done it. ","")&amp;IF(AND(ASH_CORRECTED="Yes",NOT(ISNUMBER($H465))),"Ash correction is switched on but no ash fraction is given for this row. ","")&amp;IF($I465="","Sieve mesh not recorded — a fine-root figure cannot be interpreted without it. ","")&amp;IF(AND(ISNUMBER($H465),$H465&gt;0.5),"Ash fraction above 0.5 — over half this sample was mineral soil. Re-wash. ","")&amp;IF($F465="Not separated","Live and dead not separated. Fine for a stock, but "&amp;"note it in reporting. ",""))</f>
        <v/>
      </c>
      <c r="P465" s="6" t="n"/>
      <c r="Q465" s="9">
        <f>IF($B465="",0,IF(COUNTIFS($B$5:$B465,$B465)=1,1,0))</f>
        <v/>
      </c>
    </row>
    <row r="466">
      <c r="A466" s="6" t="n"/>
      <c r="B466" s="6" t="n"/>
      <c r="C466" s="6" t="n"/>
      <c r="D466" s="6" t="n"/>
      <c r="E466" s="6" t="n"/>
      <c r="F466" s="6" t="n"/>
      <c r="G466" s="7" t="n"/>
      <c r="H466" s="7" t="n"/>
      <c r="I466" s="6" t="n"/>
      <c r="J466" s="9">
        <f>IF(NOT(ISNUMBER($G466)),"",IF(AND(ASH_CORRECTED="Yes",ISNUMBER($H466)),$G466*(1-$H466),$G466))</f>
        <v/>
      </c>
      <c r="K466" s="9">
        <f>IF($B466="","",IFERROR(AVERAGEIFS('2. Soil Data'!$G$5:$G$604,'2. Soil Data'!$B$5:$B$604,$B466),""))</f>
        <v/>
      </c>
      <c r="L466" s="9">
        <f>IF(NOT(ISNUMBER($K466)),"",PI()*($K466/2)^2)</f>
        <v/>
      </c>
      <c r="M466" s="9">
        <f>IF(OR(NOT(ISNUMBER($J466)),NOT(ISNUMBER($L466)),$L466=0),"",$J466/$L466*10000)</f>
        <v/>
      </c>
      <c r="N466" s="9">
        <f>IF(NOT(ISNUMBER($M466)),"",$M466*CARBON_FRACTION_ROOT/1000)</f>
        <v/>
      </c>
      <c r="O466" s="11">
        <f>IF(AND($A466="",$B466="",$G466=""),"",IF(AND($B466&lt;&gt;"",COUNTIFS('2. Soil Data'!$B$5:$B$604,$B466)=0),"Core ID not found in Soil Data, so the corer diameter cannot be looked up. ","")&amp;IF(ASH_CORRECTED&lt;&gt;"Yes","Root mass is NOT ash-corrected, so it includes adhering mineral soil and is too high. Set ASH_CORRECTED once you have done it. ","")&amp;IF(AND(ASH_CORRECTED="Yes",NOT(ISNUMBER($H466))),"Ash correction is switched on but no ash fraction is given for this row. ","")&amp;IF($I466="","Sieve mesh not recorded — a fine-root figure cannot be interpreted without it. ","")&amp;IF(AND(ISNUMBER($H466),$H466&gt;0.5),"Ash fraction above 0.5 — over half this sample was mineral soil. Re-wash. ","")&amp;IF($F466="Not separated","Live and dead not separated. Fine for a stock, but "&amp;"note it in reporting. ",""))</f>
        <v/>
      </c>
      <c r="P466" s="6" t="n"/>
      <c r="Q466" s="9">
        <f>IF($B466="",0,IF(COUNTIFS($B$5:$B466,$B466)=1,1,0))</f>
        <v/>
      </c>
    </row>
    <row r="467">
      <c r="A467" s="6" t="n"/>
      <c r="B467" s="6" t="n"/>
      <c r="C467" s="6" t="n"/>
      <c r="D467" s="6" t="n"/>
      <c r="E467" s="6" t="n"/>
      <c r="F467" s="6" t="n"/>
      <c r="G467" s="7" t="n"/>
      <c r="H467" s="7" t="n"/>
      <c r="I467" s="6" t="n"/>
      <c r="J467" s="9">
        <f>IF(NOT(ISNUMBER($G467)),"",IF(AND(ASH_CORRECTED="Yes",ISNUMBER($H467)),$G467*(1-$H467),$G467))</f>
        <v/>
      </c>
      <c r="K467" s="9">
        <f>IF($B467="","",IFERROR(AVERAGEIFS('2. Soil Data'!$G$5:$G$604,'2. Soil Data'!$B$5:$B$604,$B467),""))</f>
        <v/>
      </c>
      <c r="L467" s="9">
        <f>IF(NOT(ISNUMBER($K467)),"",PI()*($K467/2)^2)</f>
        <v/>
      </c>
      <c r="M467" s="9">
        <f>IF(OR(NOT(ISNUMBER($J467)),NOT(ISNUMBER($L467)),$L467=0),"",$J467/$L467*10000)</f>
        <v/>
      </c>
      <c r="N467" s="9">
        <f>IF(NOT(ISNUMBER($M467)),"",$M467*CARBON_FRACTION_ROOT/1000)</f>
        <v/>
      </c>
      <c r="O467" s="11">
        <f>IF(AND($A467="",$B467="",$G467=""),"",IF(AND($B467&lt;&gt;"",COUNTIFS('2. Soil Data'!$B$5:$B$604,$B467)=0),"Core ID not found in Soil Data, so the corer diameter cannot be looked up. ","")&amp;IF(ASH_CORRECTED&lt;&gt;"Yes","Root mass is NOT ash-corrected, so it includes adhering mineral soil and is too high. Set ASH_CORRECTED once you have done it. ","")&amp;IF(AND(ASH_CORRECTED="Yes",NOT(ISNUMBER($H467))),"Ash correction is switched on but no ash fraction is given for this row. ","")&amp;IF($I467="","Sieve mesh not recorded — a fine-root figure cannot be interpreted without it. ","")&amp;IF(AND(ISNUMBER($H467),$H467&gt;0.5),"Ash fraction above 0.5 — over half this sample was mineral soil. Re-wash. ","")&amp;IF($F467="Not separated","Live and dead not separated. Fine for a stock, but "&amp;"note it in reporting. ",""))</f>
        <v/>
      </c>
      <c r="P467" s="6" t="n"/>
      <c r="Q467" s="9">
        <f>IF($B467="",0,IF(COUNTIFS($B$5:$B467,$B467)=1,1,0))</f>
        <v/>
      </c>
    </row>
    <row r="468">
      <c r="A468" s="6" t="n"/>
      <c r="B468" s="6" t="n"/>
      <c r="C468" s="6" t="n"/>
      <c r="D468" s="6" t="n"/>
      <c r="E468" s="6" t="n"/>
      <c r="F468" s="6" t="n"/>
      <c r="G468" s="7" t="n"/>
      <c r="H468" s="7" t="n"/>
      <c r="I468" s="6" t="n"/>
      <c r="J468" s="9">
        <f>IF(NOT(ISNUMBER($G468)),"",IF(AND(ASH_CORRECTED="Yes",ISNUMBER($H468)),$G468*(1-$H468),$G468))</f>
        <v/>
      </c>
      <c r="K468" s="9">
        <f>IF($B468="","",IFERROR(AVERAGEIFS('2. Soil Data'!$G$5:$G$604,'2. Soil Data'!$B$5:$B$604,$B468),""))</f>
        <v/>
      </c>
      <c r="L468" s="9">
        <f>IF(NOT(ISNUMBER($K468)),"",PI()*($K468/2)^2)</f>
        <v/>
      </c>
      <c r="M468" s="9">
        <f>IF(OR(NOT(ISNUMBER($J468)),NOT(ISNUMBER($L468)),$L468=0),"",$J468/$L468*10000)</f>
        <v/>
      </c>
      <c r="N468" s="9">
        <f>IF(NOT(ISNUMBER($M468)),"",$M468*CARBON_FRACTION_ROOT/1000)</f>
        <v/>
      </c>
      <c r="O468" s="11">
        <f>IF(AND($A468="",$B468="",$G468=""),"",IF(AND($B468&lt;&gt;"",COUNTIFS('2. Soil Data'!$B$5:$B$604,$B468)=0),"Core ID not found in Soil Data, so the corer diameter cannot be looked up. ","")&amp;IF(ASH_CORRECTED&lt;&gt;"Yes","Root mass is NOT ash-corrected, so it includes adhering mineral soil and is too high. Set ASH_CORRECTED once you have done it. ","")&amp;IF(AND(ASH_CORRECTED="Yes",NOT(ISNUMBER($H468))),"Ash correction is switched on but no ash fraction is given for this row. ","")&amp;IF($I468="","Sieve mesh not recorded — a fine-root figure cannot be interpreted without it. ","")&amp;IF(AND(ISNUMBER($H468),$H468&gt;0.5),"Ash fraction above 0.5 — over half this sample was mineral soil. Re-wash. ","")&amp;IF($F468="Not separated","Live and dead not separated. Fine for a stock, but "&amp;"note it in reporting. ",""))</f>
        <v/>
      </c>
      <c r="P468" s="6" t="n"/>
      <c r="Q468" s="9">
        <f>IF($B468="",0,IF(COUNTIFS($B$5:$B468,$B468)=1,1,0))</f>
        <v/>
      </c>
    </row>
    <row r="469">
      <c r="A469" s="6" t="n"/>
      <c r="B469" s="6" t="n"/>
      <c r="C469" s="6" t="n"/>
      <c r="D469" s="6" t="n"/>
      <c r="E469" s="6" t="n"/>
      <c r="F469" s="6" t="n"/>
      <c r="G469" s="7" t="n"/>
      <c r="H469" s="7" t="n"/>
      <c r="I469" s="6" t="n"/>
      <c r="J469" s="9">
        <f>IF(NOT(ISNUMBER($G469)),"",IF(AND(ASH_CORRECTED="Yes",ISNUMBER($H469)),$G469*(1-$H469),$G469))</f>
        <v/>
      </c>
      <c r="K469" s="9">
        <f>IF($B469="","",IFERROR(AVERAGEIFS('2. Soil Data'!$G$5:$G$604,'2. Soil Data'!$B$5:$B$604,$B469),""))</f>
        <v/>
      </c>
      <c r="L469" s="9">
        <f>IF(NOT(ISNUMBER($K469)),"",PI()*($K469/2)^2)</f>
        <v/>
      </c>
      <c r="M469" s="9">
        <f>IF(OR(NOT(ISNUMBER($J469)),NOT(ISNUMBER($L469)),$L469=0),"",$J469/$L469*10000)</f>
        <v/>
      </c>
      <c r="N469" s="9">
        <f>IF(NOT(ISNUMBER($M469)),"",$M469*CARBON_FRACTION_ROOT/1000)</f>
        <v/>
      </c>
      <c r="O469" s="11">
        <f>IF(AND($A469="",$B469="",$G469=""),"",IF(AND($B469&lt;&gt;"",COUNTIFS('2. Soil Data'!$B$5:$B$604,$B469)=0),"Core ID not found in Soil Data, so the corer diameter cannot be looked up. ","")&amp;IF(ASH_CORRECTED&lt;&gt;"Yes","Root mass is NOT ash-corrected, so it includes adhering mineral soil and is too high. Set ASH_CORRECTED once you have done it. ","")&amp;IF(AND(ASH_CORRECTED="Yes",NOT(ISNUMBER($H469))),"Ash correction is switched on but no ash fraction is given for this row. ","")&amp;IF($I469="","Sieve mesh not recorded — a fine-root figure cannot be interpreted without it. ","")&amp;IF(AND(ISNUMBER($H469),$H469&gt;0.5),"Ash fraction above 0.5 — over half this sample was mineral soil. Re-wash. ","")&amp;IF($F469="Not separated","Live and dead not separated. Fine for a stock, but "&amp;"note it in reporting. ",""))</f>
        <v/>
      </c>
      <c r="P469" s="6" t="n"/>
      <c r="Q469" s="9">
        <f>IF($B469="",0,IF(COUNTIFS($B$5:$B469,$B469)=1,1,0))</f>
        <v/>
      </c>
    </row>
    <row r="470">
      <c r="A470" s="6" t="n"/>
      <c r="B470" s="6" t="n"/>
      <c r="C470" s="6" t="n"/>
      <c r="D470" s="6" t="n"/>
      <c r="E470" s="6" t="n"/>
      <c r="F470" s="6" t="n"/>
      <c r="G470" s="7" t="n"/>
      <c r="H470" s="7" t="n"/>
      <c r="I470" s="6" t="n"/>
      <c r="J470" s="9">
        <f>IF(NOT(ISNUMBER($G470)),"",IF(AND(ASH_CORRECTED="Yes",ISNUMBER($H470)),$G470*(1-$H470),$G470))</f>
        <v/>
      </c>
      <c r="K470" s="9">
        <f>IF($B470="","",IFERROR(AVERAGEIFS('2. Soil Data'!$G$5:$G$604,'2. Soil Data'!$B$5:$B$604,$B470),""))</f>
        <v/>
      </c>
      <c r="L470" s="9">
        <f>IF(NOT(ISNUMBER($K470)),"",PI()*($K470/2)^2)</f>
        <v/>
      </c>
      <c r="M470" s="9">
        <f>IF(OR(NOT(ISNUMBER($J470)),NOT(ISNUMBER($L470)),$L470=0),"",$J470/$L470*10000)</f>
        <v/>
      </c>
      <c r="N470" s="9">
        <f>IF(NOT(ISNUMBER($M470)),"",$M470*CARBON_FRACTION_ROOT/1000)</f>
        <v/>
      </c>
      <c r="O470" s="11">
        <f>IF(AND($A470="",$B470="",$G470=""),"",IF(AND($B470&lt;&gt;"",COUNTIFS('2. Soil Data'!$B$5:$B$604,$B470)=0),"Core ID not found in Soil Data, so the corer diameter cannot be looked up. ","")&amp;IF(ASH_CORRECTED&lt;&gt;"Yes","Root mass is NOT ash-corrected, so it includes adhering mineral soil and is too high. Set ASH_CORRECTED once you have done it. ","")&amp;IF(AND(ASH_CORRECTED="Yes",NOT(ISNUMBER($H470))),"Ash correction is switched on but no ash fraction is given for this row. ","")&amp;IF($I470="","Sieve mesh not recorded — a fine-root figure cannot be interpreted without it. ","")&amp;IF(AND(ISNUMBER($H470),$H470&gt;0.5),"Ash fraction above 0.5 — over half this sample was mineral soil. Re-wash. ","")&amp;IF($F470="Not separated","Live and dead not separated. Fine for a stock, but "&amp;"note it in reporting. ",""))</f>
        <v/>
      </c>
      <c r="P470" s="6" t="n"/>
      <c r="Q470" s="9">
        <f>IF($B470="",0,IF(COUNTIFS($B$5:$B470,$B470)=1,1,0))</f>
        <v/>
      </c>
    </row>
    <row r="471">
      <c r="A471" s="6" t="n"/>
      <c r="B471" s="6" t="n"/>
      <c r="C471" s="6" t="n"/>
      <c r="D471" s="6" t="n"/>
      <c r="E471" s="6" t="n"/>
      <c r="F471" s="6" t="n"/>
      <c r="G471" s="7" t="n"/>
      <c r="H471" s="7" t="n"/>
      <c r="I471" s="6" t="n"/>
      <c r="J471" s="9">
        <f>IF(NOT(ISNUMBER($G471)),"",IF(AND(ASH_CORRECTED="Yes",ISNUMBER($H471)),$G471*(1-$H471),$G471))</f>
        <v/>
      </c>
      <c r="K471" s="9">
        <f>IF($B471="","",IFERROR(AVERAGEIFS('2. Soil Data'!$G$5:$G$604,'2. Soil Data'!$B$5:$B$604,$B471),""))</f>
        <v/>
      </c>
      <c r="L471" s="9">
        <f>IF(NOT(ISNUMBER($K471)),"",PI()*($K471/2)^2)</f>
        <v/>
      </c>
      <c r="M471" s="9">
        <f>IF(OR(NOT(ISNUMBER($J471)),NOT(ISNUMBER($L471)),$L471=0),"",$J471/$L471*10000)</f>
        <v/>
      </c>
      <c r="N471" s="9">
        <f>IF(NOT(ISNUMBER($M471)),"",$M471*CARBON_FRACTION_ROOT/1000)</f>
        <v/>
      </c>
      <c r="O471" s="11">
        <f>IF(AND($A471="",$B471="",$G471=""),"",IF(AND($B471&lt;&gt;"",COUNTIFS('2. Soil Data'!$B$5:$B$604,$B471)=0),"Core ID not found in Soil Data, so the corer diameter cannot be looked up. ","")&amp;IF(ASH_CORRECTED&lt;&gt;"Yes","Root mass is NOT ash-corrected, so it includes adhering mineral soil and is too high. Set ASH_CORRECTED once you have done it. ","")&amp;IF(AND(ASH_CORRECTED="Yes",NOT(ISNUMBER($H471))),"Ash correction is switched on but no ash fraction is given for this row. ","")&amp;IF($I471="","Sieve mesh not recorded — a fine-root figure cannot be interpreted without it. ","")&amp;IF(AND(ISNUMBER($H471),$H471&gt;0.5),"Ash fraction above 0.5 — over half this sample was mineral soil. Re-wash. ","")&amp;IF($F471="Not separated","Live and dead not separated. Fine for a stock, but "&amp;"note it in reporting. ",""))</f>
        <v/>
      </c>
      <c r="P471" s="6" t="n"/>
      <c r="Q471" s="9">
        <f>IF($B471="",0,IF(COUNTIFS($B$5:$B471,$B471)=1,1,0))</f>
        <v/>
      </c>
    </row>
    <row r="472">
      <c r="A472" s="6" t="n"/>
      <c r="B472" s="6" t="n"/>
      <c r="C472" s="6" t="n"/>
      <c r="D472" s="6" t="n"/>
      <c r="E472" s="6" t="n"/>
      <c r="F472" s="6" t="n"/>
      <c r="G472" s="7" t="n"/>
      <c r="H472" s="7" t="n"/>
      <c r="I472" s="6" t="n"/>
      <c r="J472" s="9">
        <f>IF(NOT(ISNUMBER($G472)),"",IF(AND(ASH_CORRECTED="Yes",ISNUMBER($H472)),$G472*(1-$H472),$G472))</f>
        <v/>
      </c>
      <c r="K472" s="9">
        <f>IF($B472="","",IFERROR(AVERAGEIFS('2. Soil Data'!$G$5:$G$604,'2. Soil Data'!$B$5:$B$604,$B472),""))</f>
        <v/>
      </c>
      <c r="L472" s="9">
        <f>IF(NOT(ISNUMBER($K472)),"",PI()*($K472/2)^2)</f>
        <v/>
      </c>
      <c r="M472" s="9">
        <f>IF(OR(NOT(ISNUMBER($J472)),NOT(ISNUMBER($L472)),$L472=0),"",$J472/$L472*10000)</f>
        <v/>
      </c>
      <c r="N472" s="9">
        <f>IF(NOT(ISNUMBER($M472)),"",$M472*CARBON_FRACTION_ROOT/1000)</f>
        <v/>
      </c>
      <c r="O472" s="11">
        <f>IF(AND($A472="",$B472="",$G472=""),"",IF(AND($B472&lt;&gt;"",COUNTIFS('2. Soil Data'!$B$5:$B$604,$B472)=0),"Core ID not found in Soil Data, so the corer diameter cannot be looked up. ","")&amp;IF(ASH_CORRECTED&lt;&gt;"Yes","Root mass is NOT ash-corrected, so it includes adhering mineral soil and is too high. Set ASH_CORRECTED once you have done it. ","")&amp;IF(AND(ASH_CORRECTED="Yes",NOT(ISNUMBER($H472))),"Ash correction is switched on but no ash fraction is given for this row. ","")&amp;IF($I472="","Sieve mesh not recorded — a fine-root figure cannot be interpreted without it. ","")&amp;IF(AND(ISNUMBER($H472),$H472&gt;0.5),"Ash fraction above 0.5 — over half this sample was mineral soil. Re-wash. ","")&amp;IF($F472="Not separated","Live and dead not separated. Fine for a stock, but "&amp;"note it in reporting. ",""))</f>
        <v/>
      </c>
      <c r="P472" s="6" t="n"/>
      <c r="Q472" s="9">
        <f>IF($B472="",0,IF(COUNTIFS($B$5:$B472,$B472)=1,1,0))</f>
        <v/>
      </c>
    </row>
    <row r="473">
      <c r="A473" s="6" t="n"/>
      <c r="B473" s="6" t="n"/>
      <c r="C473" s="6" t="n"/>
      <c r="D473" s="6" t="n"/>
      <c r="E473" s="6" t="n"/>
      <c r="F473" s="6" t="n"/>
      <c r="G473" s="7" t="n"/>
      <c r="H473" s="7" t="n"/>
      <c r="I473" s="6" t="n"/>
      <c r="J473" s="9">
        <f>IF(NOT(ISNUMBER($G473)),"",IF(AND(ASH_CORRECTED="Yes",ISNUMBER($H473)),$G473*(1-$H473),$G473))</f>
        <v/>
      </c>
      <c r="K473" s="9">
        <f>IF($B473="","",IFERROR(AVERAGEIFS('2. Soil Data'!$G$5:$G$604,'2. Soil Data'!$B$5:$B$604,$B473),""))</f>
        <v/>
      </c>
      <c r="L473" s="9">
        <f>IF(NOT(ISNUMBER($K473)),"",PI()*($K473/2)^2)</f>
        <v/>
      </c>
      <c r="M473" s="9">
        <f>IF(OR(NOT(ISNUMBER($J473)),NOT(ISNUMBER($L473)),$L473=0),"",$J473/$L473*10000)</f>
        <v/>
      </c>
      <c r="N473" s="9">
        <f>IF(NOT(ISNUMBER($M473)),"",$M473*CARBON_FRACTION_ROOT/1000)</f>
        <v/>
      </c>
      <c r="O473" s="11">
        <f>IF(AND($A473="",$B473="",$G473=""),"",IF(AND($B473&lt;&gt;"",COUNTIFS('2. Soil Data'!$B$5:$B$604,$B473)=0),"Core ID not found in Soil Data, so the corer diameter cannot be looked up. ","")&amp;IF(ASH_CORRECTED&lt;&gt;"Yes","Root mass is NOT ash-corrected, so it includes adhering mineral soil and is too high. Set ASH_CORRECTED once you have done it. ","")&amp;IF(AND(ASH_CORRECTED="Yes",NOT(ISNUMBER($H473))),"Ash correction is switched on but no ash fraction is given for this row. ","")&amp;IF($I473="","Sieve mesh not recorded — a fine-root figure cannot be interpreted without it. ","")&amp;IF(AND(ISNUMBER($H473),$H473&gt;0.5),"Ash fraction above 0.5 — over half this sample was mineral soil. Re-wash. ","")&amp;IF($F473="Not separated","Live and dead not separated. Fine for a stock, but "&amp;"note it in reporting. ",""))</f>
        <v/>
      </c>
      <c r="P473" s="6" t="n"/>
      <c r="Q473" s="9">
        <f>IF($B473="",0,IF(COUNTIFS($B$5:$B473,$B473)=1,1,0))</f>
        <v/>
      </c>
    </row>
    <row r="474">
      <c r="A474" s="6" t="n"/>
      <c r="B474" s="6" t="n"/>
      <c r="C474" s="6" t="n"/>
      <c r="D474" s="6" t="n"/>
      <c r="E474" s="6" t="n"/>
      <c r="F474" s="6" t="n"/>
      <c r="G474" s="7" t="n"/>
      <c r="H474" s="7" t="n"/>
      <c r="I474" s="6" t="n"/>
      <c r="J474" s="9">
        <f>IF(NOT(ISNUMBER($G474)),"",IF(AND(ASH_CORRECTED="Yes",ISNUMBER($H474)),$G474*(1-$H474),$G474))</f>
        <v/>
      </c>
      <c r="K474" s="9">
        <f>IF($B474="","",IFERROR(AVERAGEIFS('2. Soil Data'!$G$5:$G$604,'2. Soil Data'!$B$5:$B$604,$B474),""))</f>
        <v/>
      </c>
      <c r="L474" s="9">
        <f>IF(NOT(ISNUMBER($K474)),"",PI()*($K474/2)^2)</f>
        <v/>
      </c>
      <c r="M474" s="9">
        <f>IF(OR(NOT(ISNUMBER($J474)),NOT(ISNUMBER($L474)),$L474=0),"",$J474/$L474*10000)</f>
        <v/>
      </c>
      <c r="N474" s="9">
        <f>IF(NOT(ISNUMBER($M474)),"",$M474*CARBON_FRACTION_ROOT/1000)</f>
        <v/>
      </c>
      <c r="O474" s="11">
        <f>IF(AND($A474="",$B474="",$G474=""),"",IF(AND($B474&lt;&gt;"",COUNTIFS('2. Soil Data'!$B$5:$B$604,$B474)=0),"Core ID not found in Soil Data, so the corer diameter cannot be looked up. ","")&amp;IF(ASH_CORRECTED&lt;&gt;"Yes","Root mass is NOT ash-corrected, so it includes adhering mineral soil and is too high. Set ASH_CORRECTED once you have done it. ","")&amp;IF(AND(ASH_CORRECTED="Yes",NOT(ISNUMBER($H474))),"Ash correction is switched on but no ash fraction is given for this row. ","")&amp;IF($I474="","Sieve mesh not recorded — a fine-root figure cannot be interpreted without it. ","")&amp;IF(AND(ISNUMBER($H474),$H474&gt;0.5),"Ash fraction above 0.5 — over half this sample was mineral soil. Re-wash. ","")&amp;IF($F474="Not separated","Live and dead not separated. Fine for a stock, but "&amp;"note it in reporting. ",""))</f>
        <v/>
      </c>
      <c r="P474" s="6" t="n"/>
      <c r="Q474" s="9">
        <f>IF($B474="",0,IF(COUNTIFS($B$5:$B474,$B474)=1,1,0))</f>
        <v/>
      </c>
    </row>
    <row r="475">
      <c r="A475" s="6" t="n"/>
      <c r="B475" s="6" t="n"/>
      <c r="C475" s="6" t="n"/>
      <c r="D475" s="6" t="n"/>
      <c r="E475" s="6" t="n"/>
      <c r="F475" s="6" t="n"/>
      <c r="G475" s="7" t="n"/>
      <c r="H475" s="7" t="n"/>
      <c r="I475" s="6" t="n"/>
      <c r="J475" s="9">
        <f>IF(NOT(ISNUMBER($G475)),"",IF(AND(ASH_CORRECTED="Yes",ISNUMBER($H475)),$G475*(1-$H475),$G475))</f>
        <v/>
      </c>
      <c r="K475" s="9">
        <f>IF($B475="","",IFERROR(AVERAGEIFS('2. Soil Data'!$G$5:$G$604,'2. Soil Data'!$B$5:$B$604,$B475),""))</f>
        <v/>
      </c>
      <c r="L475" s="9">
        <f>IF(NOT(ISNUMBER($K475)),"",PI()*($K475/2)^2)</f>
        <v/>
      </c>
      <c r="M475" s="9">
        <f>IF(OR(NOT(ISNUMBER($J475)),NOT(ISNUMBER($L475)),$L475=0),"",$J475/$L475*10000)</f>
        <v/>
      </c>
      <c r="N475" s="9">
        <f>IF(NOT(ISNUMBER($M475)),"",$M475*CARBON_FRACTION_ROOT/1000)</f>
        <v/>
      </c>
      <c r="O475" s="11">
        <f>IF(AND($A475="",$B475="",$G475=""),"",IF(AND($B475&lt;&gt;"",COUNTIFS('2. Soil Data'!$B$5:$B$604,$B475)=0),"Core ID not found in Soil Data, so the corer diameter cannot be looked up. ","")&amp;IF(ASH_CORRECTED&lt;&gt;"Yes","Root mass is NOT ash-corrected, so it includes adhering mineral soil and is too high. Set ASH_CORRECTED once you have done it. ","")&amp;IF(AND(ASH_CORRECTED="Yes",NOT(ISNUMBER($H475))),"Ash correction is switched on but no ash fraction is given for this row. ","")&amp;IF($I475="","Sieve mesh not recorded — a fine-root figure cannot be interpreted without it. ","")&amp;IF(AND(ISNUMBER($H475),$H475&gt;0.5),"Ash fraction above 0.5 — over half this sample was mineral soil. Re-wash. ","")&amp;IF($F475="Not separated","Live and dead not separated. Fine for a stock, but "&amp;"note it in reporting. ",""))</f>
        <v/>
      </c>
      <c r="P475" s="6" t="n"/>
      <c r="Q475" s="9">
        <f>IF($B475="",0,IF(COUNTIFS($B$5:$B475,$B475)=1,1,0))</f>
        <v/>
      </c>
    </row>
    <row r="476">
      <c r="A476" s="6" t="n"/>
      <c r="B476" s="6" t="n"/>
      <c r="C476" s="6" t="n"/>
      <c r="D476" s="6" t="n"/>
      <c r="E476" s="6" t="n"/>
      <c r="F476" s="6" t="n"/>
      <c r="G476" s="7" t="n"/>
      <c r="H476" s="7" t="n"/>
      <c r="I476" s="6" t="n"/>
      <c r="J476" s="9">
        <f>IF(NOT(ISNUMBER($G476)),"",IF(AND(ASH_CORRECTED="Yes",ISNUMBER($H476)),$G476*(1-$H476),$G476))</f>
        <v/>
      </c>
      <c r="K476" s="9">
        <f>IF($B476="","",IFERROR(AVERAGEIFS('2. Soil Data'!$G$5:$G$604,'2. Soil Data'!$B$5:$B$604,$B476),""))</f>
        <v/>
      </c>
      <c r="L476" s="9">
        <f>IF(NOT(ISNUMBER($K476)),"",PI()*($K476/2)^2)</f>
        <v/>
      </c>
      <c r="M476" s="9">
        <f>IF(OR(NOT(ISNUMBER($J476)),NOT(ISNUMBER($L476)),$L476=0),"",$J476/$L476*10000)</f>
        <v/>
      </c>
      <c r="N476" s="9">
        <f>IF(NOT(ISNUMBER($M476)),"",$M476*CARBON_FRACTION_ROOT/1000)</f>
        <v/>
      </c>
      <c r="O476" s="11">
        <f>IF(AND($A476="",$B476="",$G476=""),"",IF(AND($B476&lt;&gt;"",COUNTIFS('2. Soil Data'!$B$5:$B$604,$B476)=0),"Core ID not found in Soil Data, so the corer diameter cannot be looked up. ","")&amp;IF(ASH_CORRECTED&lt;&gt;"Yes","Root mass is NOT ash-corrected, so it includes adhering mineral soil and is too high. Set ASH_CORRECTED once you have done it. ","")&amp;IF(AND(ASH_CORRECTED="Yes",NOT(ISNUMBER($H476))),"Ash correction is switched on but no ash fraction is given for this row. ","")&amp;IF($I476="","Sieve mesh not recorded — a fine-root figure cannot be interpreted without it. ","")&amp;IF(AND(ISNUMBER($H476),$H476&gt;0.5),"Ash fraction above 0.5 — over half this sample was mineral soil. Re-wash. ","")&amp;IF($F476="Not separated","Live and dead not separated. Fine for a stock, but "&amp;"note it in reporting. ",""))</f>
        <v/>
      </c>
      <c r="P476" s="6" t="n"/>
      <c r="Q476" s="9">
        <f>IF($B476="",0,IF(COUNTIFS($B$5:$B476,$B476)=1,1,0))</f>
        <v/>
      </c>
    </row>
    <row r="477">
      <c r="A477" s="6" t="n"/>
      <c r="B477" s="6" t="n"/>
      <c r="C477" s="6" t="n"/>
      <c r="D477" s="6" t="n"/>
      <c r="E477" s="6" t="n"/>
      <c r="F477" s="6" t="n"/>
      <c r="G477" s="7" t="n"/>
      <c r="H477" s="7" t="n"/>
      <c r="I477" s="6" t="n"/>
      <c r="J477" s="9">
        <f>IF(NOT(ISNUMBER($G477)),"",IF(AND(ASH_CORRECTED="Yes",ISNUMBER($H477)),$G477*(1-$H477),$G477))</f>
        <v/>
      </c>
      <c r="K477" s="9">
        <f>IF($B477="","",IFERROR(AVERAGEIFS('2. Soil Data'!$G$5:$G$604,'2. Soil Data'!$B$5:$B$604,$B477),""))</f>
        <v/>
      </c>
      <c r="L477" s="9">
        <f>IF(NOT(ISNUMBER($K477)),"",PI()*($K477/2)^2)</f>
        <v/>
      </c>
      <c r="M477" s="9">
        <f>IF(OR(NOT(ISNUMBER($J477)),NOT(ISNUMBER($L477)),$L477=0),"",$J477/$L477*10000)</f>
        <v/>
      </c>
      <c r="N477" s="9">
        <f>IF(NOT(ISNUMBER($M477)),"",$M477*CARBON_FRACTION_ROOT/1000)</f>
        <v/>
      </c>
      <c r="O477" s="11">
        <f>IF(AND($A477="",$B477="",$G477=""),"",IF(AND($B477&lt;&gt;"",COUNTIFS('2. Soil Data'!$B$5:$B$604,$B477)=0),"Core ID not found in Soil Data, so the corer diameter cannot be looked up. ","")&amp;IF(ASH_CORRECTED&lt;&gt;"Yes","Root mass is NOT ash-corrected, so it includes adhering mineral soil and is too high. Set ASH_CORRECTED once you have done it. ","")&amp;IF(AND(ASH_CORRECTED="Yes",NOT(ISNUMBER($H477))),"Ash correction is switched on but no ash fraction is given for this row. ","")&amp;IF($I477="","Sieve mesh not recorded — a fine-root figure cannot be interpreted without it. ","")&amp;IF(AND(ISNUMBER($H477),$H477&gt;0.5),"Ash fraction above 0.5 — over half this sample was mineral soil. Re-wash. ","")&amp;IF($F477="Not separated","Live and dead not separated. Fine for a stock, but "&amp;"note it in reporting. ",""))</f>
        <v/>
      </c>
      <c r="P477" s="6" t="n"/>
      <c r="Q477" s="9">
        <f>IF($B477="",0,IF(COUNTIFS($B$5:$B477,$B477)=1,1,0))</f>
        <v/>
      </c>
    </row>
    <row r="478">
      <c r="A478" s="6" t="n"/>
      <c r="B478" s="6" t="n"/>
      <c r="C478" s="6" t="n"/>
      <c r="D478" s="6" t="n"/>
      <c r="E478" s="6" t="n"/>
      <c r="F478" s="6" t="n"/>
      <c r="G478" s="7" t="n"/>
      <c r="H478" s="7" t="n"/>
      <c r="I478" s="6" t="n"/>
      <c r="J478" s="9">
        <f>IF(NOT(ISNUMBER($G478)),"",IF(AND(ASH_CORRECTED="Yes",ISNUMBER($H478)),$G478*(1-$H478),$G478))</f>
        <v/>
      </c>
      <c r="K478" s="9">
        <f>IF($B478="","",IFERROR(AVERAGEIFS('2. Soil Data'!$G$5:$G$604,'2. Soil Data'!$B$5:$B$604,$B478),""))</f>
        <v/>
      </c>
      <c r="L478" s="9">
        <f>IF(NOT(ISNUMBER($K478)),"",PI()*($K478/2)^2)</f>
        <v/>
      </c>
      <c r="M478" s="9">
        <f>IF(OR(NOT(ISNUMBER($J478)),NOT(ISNUMBER($L478)),$L478=0),"",$J478/$L478*10000)</f>
        <v/>
      </c>
      <c r="N478" s="9">
        <f>IF(NOT(ISNUMBER($M478)),"",$M478*CARBON_FRACTION_ROOT/1000)</f>
        <v/>
      </c>
      <c r="O478" s="11">
        <f>IF(AND($A478="",$B478="",$G478=""),"",IF(AND($B478&lt;&gt;"",COUNTIFS('2. Soil Data'!$B$5:$B$604,$B478)=0),"Core ID not found in Soil Data, so the corer diameter cannot be looked up. ","")&amp;IF(ASH_CORRECTED&lt;&gt;"Yes","Root mass is NOT ash-corrected, so it includes adhering mineral soil and is too high. Set ASH_CORRECTED once you have done it. ","")&amp;IF(AND(ASH_CORRECTED="Yes",NOT(ISNUMBER($H478))),"Ash correction is switched on but no ash fraction is given for this row. ","")&amp;IF($I478="","Sieve mesh not recorded — a fine-root figure cannot be interpreted without it. ","")&amp;IF(AND(ISNUMBER($H478),$H478&gt;0.5),"Ash fraction above 0.5 — over half this sample was mineral soil. Re-wash. ","")&amp;IF($F478="Not separated","Live and dead not separated. Fine for a stock, but "&amp;"note it in reporting. ",""))</f>
        <v/>
      </c>
      <c r="P478" s="6" t="n"/>
      <c r="Q478" s="9">
        <f>IF($B478="",0,IF(COUNTIFS($B$5:$B478,$B478)=1,1,0))</f>
        <v/>
      </c>
    </row>
    <row r="479">
      <c r="A479" s="6" t="n"/>
      <c r="B479" s="6" t="n"/>
      <c r="C479" s="6" t="n"/>
      <c r="D479" s="6" t="n"/>
      <c r="E479" s="6" t="n"/>
      <c r="F479" s="6" t="n"/>
      <c r="G479" s="7" t="n"/>
      <c r="H479" s="7" t="n"/>
      <c r="I479" s="6" t="n"/>
      <c r="J479" s="9">
        <f>IF(NOT(ISNUMBER($G479)),"",IF(AND(ASH_CORRECTED="Yes",ISNUMBER($H479)),$G479*(1-$H479),$G479))</f>
        <v/>
      </c>
      <c r="K479" s="9">
        <f>IF($B479="","",IFERROR(AVERAGEIFS('2. Soil Data'!$G$5:$G$604,'2. Soil Data'!$B$5:$B$604,$B479),""))</f>
        <v/>
      </c>
      <c r="L479" s="9">
        <f>IF(NOT(ISNUMBER($K479)),"",PI()*($K479/2)^2)</f>
        <v/>
      </c>
      <c r="M479" s="9">
        <f>IF(OR(NOT(ISNUMBER($J479)),NOT(ISNUMBER($L479)),$L479=0),"",$J479/$L479*10000)</f>
        <v/>
      </c>
      <c r="N479" s="9">
        <f>IF(NOT(ISNUMBER($M479)),"",$M479*CARBON_FRACTION_ROOT/1000)</f>
        <v/>
      </c>
      <c r="O479" s="11">
        <f>IF(AND($A479="",$B479="",$G479=""),"",IF(AND($B479&lt;&gt;"",COUNTIFS('2. Soil Data'!$B$5:$B$604,$B479)=0),"Core ID not found in Soil Data, so the corer diameter cannot be looked up. ","")&amp;IF(ASH_CORRECTED&lt;&gt;"Yes","Root mass is NOT ash-corrected, so it includes adhering mineral soil and is too high. Set ASH_CORRECTED once you have done it. ","")&amp;IF(AND(ASH_CORRECTED="Yes",NOT(ISNUMBER($H479))),"Ash correction is switched on but no ash fraction is given for this row. ","")&amp;IF($I479="","Sieve mesh not recorded — a fine-root figure cannot be interpreted without it. ","")&amp;IF(AND(ISNUMBER($H479),$H479&gt;0.5),"Ash fraction above 0.5 — over half this sample was mineral soil. Re-wash. ","")&amp;IF($F479="Not separated","Live and dead not separated. Fine for a stock, but "&amp;"note it in reporting. ",""))</f>
        <v/>
      </c>
      <c r="P479" s="6" t="n"/>
      <c r="Q479" s="9">
        <f>IF($B479="",0,IF(COUNTIFS($B$5:$B479,$B479)=1,1,0))</f>
        <v/>
      </c>
    </row>
    <row r="480">
      <c r="A480" s="6" t="n"/>
      <c r="B480" s="6" t="n"/>
      <c r="C480" s="6" t="n"/>
      <c r="D480" s="6" t="n"/>
      <c r="E480" s="6" t="n"/>
      <c r="F480" s="6" t="n"/>
      <c r="G480" s="7" t="n"/>
      <c r="H480" s="7" t="n"/>
      <c r="I480" s="6" t="n"/>
      <c r="J480" s="9">
        <f>IF(NOT(ISNUMBER($G480)),"",IF(AND(ASH_CORRECTED="Yes",ISNUMBER($H480)),$G480*(1-$H480),$G480))</f>
        <v/>
      </c>
      <c r="K480" s="9">
        <f>IF($B480="","",IFERROR(AVERAGEIFS('2. Soil Data'!$G$5:$G$604,'2. Soil Data'!$B$5:$B$604,$B480),""))</f>
        <v/>
      </c>
      <c r="L480" s="9">
        <f>IF(NOT(ISNUMBER($K480)),"",PI()*($K480/2)^2)</f>
        <v/>
      </c>
      <c r="M480" s="9">
        <f>IF(OR(NOT(ISNUMBER($J480)),NOT(ISNUMBER($L480)),$L480=0),"",$J480/$L480*10000)</f>
        <v/>
      </c>
      <c r="N480" s="9">
        <f>IF(NOT(ISNUMBER($M480)),"",$M480*CARBON_FRACTION_ROOT/1000)</f>
        <v/>
      </c>
      <c r="O480" s="11">
        <f>IF(AND($A480="",$B480="",$G480=""),"",IF(AND($B480&lt;&gt;"",COUNTIFS('2. Soil Data'!$B$5:$B$604,$B480)=0),"Core ID not found in Soil Data, so the corer diameter cannot be looked up. ","")&amp;IF(ASH_CORRECTED&lt;&gt;"Yes","Root mass is NOT ash-corrected, so it includes adhering mineral soil and is too high. Set ASH_CORRECTED once you have done it. ","")&amp;IF(AND(ASH_CORRECTED="Yes",NOT(ISNUMBER($H480))),"Ash correction is switched on but no ash fraction is given for this row. ","")&amp;IF($I480="","Sieve mesh not recorded — a fine-root figure cannot be interpreted without it. ","")&amp;IF(AND(ISNUMBER($H480),$H480&gt;0.5),"Ash fraction above 0.5 — over half this sample was mineral soil. Re-wash. ","")&amp;IF($F480="Not separated","Live and dead not separated. Fine for a stock, but "&amp;"note it in reporting. ",""))</f>
        <v/>
      </c>
      <c r="P480" s="6" t="n"/>
      <c r="Q480" s="9">
        <f>IF($B480="",0,IF(COUNTIFS($B$5:$B480,$B480)=1,1,0))</f>
        <v/>
      </c>
    </row>
    <row r="481">
      <c r="A481" s="6" t="n"/>
      <c r="B481" s="6" t="n"/>
      <c r="C481" s="6" t="n"/>
      <c r="D481" s="6" t="n"/>
      <c r="E481" s="6" t="n"/>
      <c r="F481" s="6" t="n"/>
      <c r="G481" s="7" t="n"/>
      <c r="H481" s="7" t="n"/>
      <c r="I481" s="6" t="n"/>
      <c r="J481" s="9">
        <f>IF(NOT(ISNUMBER($G481)),"",IF(AND(ASH_CORRECTED="Yes",ISNUMBER($H481)),$G481*(1-$H481),$G481))</f>
        <v/>
      </c>
      <c r="K481" s="9">
        <f>IF($B481="","",IFERROR(AVERAGEIFS('2. Soil Data'!$G$5:$G$604,'2. Soil Data'!$B$5:$B$604,$B481),""))</f>
        <v/>
      </c>
      <c r="L481" s="9">
        <f>IF(NOT(ISNUMBER($K481)),"",PI()*($K481/2)^2)</f>
        <v/>
      </c>
      <c r="M481" s="9">
        <f>IF(OR(NOT(ISNUMBER($J481)),NOT(ISNUMBER($L481)),$L481=0),"",$J481/$L481*10000)</f>
        <v/>
      </c>
      <c r="N481" s="9">
        <f>IF(NOT(ISNUMBER($M481)),"",$M481*CARBON_FRACTION_ROOT/1000)</f>
        <v/>
      </c>
      <c r="O481" s="11">
        <f>IF(AND($A481="",$B481="",$G481=""),"",IF(AND($B481&lt;&gt;"",COUNTIFS('2. Soil Data'!$B$5:$B$604,$B481)=0),"Core ID not found in Soil Data, so the corer diameter cannot be looked up. ","")&amp;IF(ASH_CORRECTED&lt;&gt;"Yes","Root mass is NOT ash-corrected, so it includes adhering mineral soil and is too high. Set ASH_CORRECTED once you have done it. ","")&amp;IF(AND(ASH_CORRECTED="Yes",NOT(ISNUMBER($H481))),"Ash correction is switched on but no ash fraction is given for this row. ","")&amp;IF($I481="","Sieve mesh not recorded — a fine-root figure cannot be interpreted without it. ","")&amp;IF(AND(ISNUMBER($H481),$H481&gt;0.5),"Ash fraction above 0.5 — over half this sample was mineral soil. Re-wash. ","")&amp;IF($F481="Not separated","Live and dead not separated. Fine for a stock, but "&amp;"note it in reporting. ",""))</f>
        <v/>
      </c>
      <c r="P481" s="6" t="n"/>
      <c r="Q481" s="9">
        <f>IF($B481="",0,IF(COUNTIFS($B$5:$B481,$B481)=1,1,0))</f>
        <v/>
      </c>
    </row>
    <row r="482">
      <c r="A482" s="6" t="n"/>
      <c r="B482" s="6" t="n"/>
      <c r="C482" s="6" t="n"/>
      <c r="D482" s="6" t="n"/>
      <c r="E482" s="6" t="n"/>
      <c r="F482" s="6" t="n"/>
      <c r="G482" s="7" t="n"/>
      <c r="H482" s="7" t="n"/>
      <c r="I482" s="6" t="n"/>
      <c r="J482" s="9">
        <f>IF(NOT(ISNUMBER($G482)),"",IF(AND(ASH_CORRECTED="Yes",ISNUMBER($H482)),$G482*(1-$H482),$G482))</f>
        <v/>
      </c>
      <c r="K482" s="9">
        <f>IF($B482="","",IFERROR(AVERAGEIFS('2. Soil Data'!$G$5:$G$604,'2. Soil Data'!$B$5:$B$604,$B482),""))</f>
        <v/>
      </c>
      <c r="L482" s="9">
        <f>IF(NOT(ISNUMBER($K482)),"",PI()*($K482/2)^2)</f>
        <v/>
      </c>
      <c r="M482" s="9">
        <f>IF(OR(NOT(ISNUMBER($J482)),NOT(ISNUMBER($L482)),$L482=0),"",$J482/$L482*10000)</f>
        <v/>
      </c>
      <c r="N482" s="9">
        <f>IF(NOT(ISNUMBER($M482)),"",$M482*CARBON_FRACTION_ROOT/1000)</f>
        <v/>
      </c>
      <c r="O482" s="11">
        <f>IF(AND($A482="",$B482="",$G482=""),"",IF(AND($B482&lt;&gt;"",COUNTIFS('2. Soil Data'!$B$5:$B$604,$B482)=0),"Core ID not found in Soil Data, so the corer diameter cannot be looked up. ","")&amp;IF(ASH_CORRECTED&lt;&gt;"Yes","Root mass is NOT ash-corrected, so it includes adhering mineral soil and is too high. Set ASH_CORRECTED once you have done it. ","")&amp;IF(AND(ASH_CORRECTED="Yes",NOT(ISNUMBER($H482))),"Ash correction is switched on but no ash fraction is given for this row. ","")&amp;IF($I482="","Sieve mesh not recorded — a fine-root figure cannot be interpreted without it. ","")&amp;IF(AND(ISNUMBER($H482),$H482&gt;0.5),"Ash fraction above 0.5 — over half this sample was mineral soil. Re-wash. ","")&amp;IF($F482="Not separated","Live and dead not separated. Fine for a stock, but "&amp;"note it in reporting. ",""))</f>
        <v/>
      </c>
      <c r="P482" s="6" t="n"/>
      <c r="Q482" s="9">
        <f>IF($B482="",0,IF(COUNTIFS($B$5:$B482,$B482)=1,1,0))</f>
        <v/>
      </c>
    </row>
    <row r="483">
      <c r="A483" s="6" t="n"/>
      <c r="B483" s="6" t="n"/>
      <c r="C483" s="6" t="n"/>
      <c r="D483" s="6" t="n"/>
      <c r="E483" s="6" t="n"/>
      <c r="F483" s="6" t="n"/>
      <c r="G483" s="7" t="n"/>
      <c r="H483" s="7" t="n"/>
      <c r="I483" s="6" t="n"/>
      <c r="J483" s="9">
        <f>IF(NOT(ISNUMBER($G483)),"",IF(AND(ASH_CORRECTED="Yes",ISNUMBER($H483)),$G483*(1-$H483),$G483))</f>
        <v/>
      </c>
      <c r="K483" s="9">
        <f>IF($B483="","",IFERROR(AVERAGEIFS('2. Soil Data'!$G$5:$G$604,'2. Soil Data'!$B$5:$B$604,$B483),""))</f>
        <v/>
      </c>
      <c r="L483" s="9">
        <f>IF(NOT(ISNUMBER($K483)),"",PI()*($K483/2)^2)</f>
        <v/>
      </c>
      <c r="M483" s="9">
        <f>IF(OR(NOT(ISNUMBER($J483)),NOT(ISNUMBER($L483)),$L483=0),"",$J483/$L483*10000)</f>
        <v/>
      </c>
      <c r="N483" s="9">
        <f>IF(NOT(ISNUMBER($M483)),"",$M483*CARBON_FRACTION_ROOT/1000)</f>
        <v/>
      </c>
      <c r="O483" s="11">
        <f>IF(AND($A483="",$B483="",$G483=""),"",IF(AND($B483&lt;&gt;"",COUNTIFS('2. Soil Data'!$B$5:$B$604,$B483)=0),"Core ID not found in Soil Data, so the corer diameter cannot be looked up. ","")&amp;IF(ASH_CORRECTED&lt;&gt;"Yes","Root mass is NOT ash-corrected, so it includes adhering mineral soil and is too high. Set ASH_CORRECTED once you have done it. ","")&amp;IF(AND(ASH_CORRECTED="Yes",NOT(ISNUMBER($H483))),"Ash correction is switched on but no ash fraction is given for this row. ","")&amp;IF($I483="","Sieve mesh not recorded — a fine-root figure cannot be interpreted without it. ","")&amp;IF(AND(ISNUMBER($H483),$H483&gt;0.5),"Ash fraction above 0.5 — over half this sample was mineral soil. Re-wash. ","")&amp;IF($F483="Not separated","Live and dead not separated. Fine for a stock, but "&amp;"note it in reporting. ",""))</f>
        <v/>
      </c>
      <c r="P483" s="6" t="n"/>
      <c r="Q483" s="9">
        <f>IF($B483="",0,IF(COUNTIFS($B$5:$B483,$B483)=1,1,0))</f>
        <v/>
      </c>
    </row>
    <row r="484">
      <c r="A484" s="6" t="n"/>
      <c r="B484" s="6" t="n"/>
      <c r="C484" s="6" t="n"/>
      <c r="D484" s="6" t="n"/>
      <c r="E484" s="6" t="n"/>
      <c r="F484" s="6" t="n"/>
      <c r="G484" s="7" t="n"/>
      <c r="H484" s="7" t="n"/>
      <c r="I484" s="6" t="n"/>
      <c r="J484" s="9">
        <f>IF(NOT(ISNUMBER($G484)),"",IF(AND(ASH_CORRECTED="Yes",ISNUMBER($H484)),$G484*(1-$H484),$G484))</f>
        <v/>
      </c>
      <c r="K484" s="9">
        <f>IF($B484="","",IFERROR(AVERAGEIFS('2. Soil Data'!$G$5:$G$604,'2. Soil Data'!$B$5:$B$604,$B484),""))</f>
        <v/>
      </c>
      <c r="L484" s="9">
        <f>IF(NOT(ISNUMBER($K484)),"",PI()*($K484/2)^2)</f>
        <v/>
      </c>
      <c r="M484" s="9">
        <f>IF(OR(NOT(ISNUMBER($J484)),NOT(ISNUMBER($L484)),$L484=0),"",$J484/$L484*10000)</f>
        <v/>
      </c>
      <c r="N484" s="9">
        <f>IF(NOT(ISNUMBER($M484)),"",$M484*CARBON_FRACTION_ROOT/1000)</f>
        <v/>
      </c>
      <c r="O484" s="11">
        <f>IF(AND($A484="",$B484="",$G484=""),"",IF(AND($B484&lt;&gt;"",COUNTIFS('2. Soil Data'!$B$5:$B$604,$B484)=0),"Core ID not found in Soil Data, so the corer diameter cannot be looked up. ","")&amp;IF(ASH_CORRECTED&lt;&gt;"Yes","Root mass is NOT ash-corrected, so it includes adhering mineral soil and is too high. Set ASH_CORRECTED once you have done it. ","")&amp;IF(AND(ASH_CORRECTED="Yes",NOT(ISNUMBER($H484))),"Ash correction is switched on but no ash fraction is given for this row. ","")&amp;IF($I484="","Sieve mesh not recorded — a fine-root figure cannot be interpreted without it. ","")&amp;IF(AND(ISNUMBER($H484),$H484&gt;0.5),"Ash fraction above 0.5 — over half this sample was mineral soil. Re-wash. ","")&amp;IF($F484="Not separated","Live and dead not separated. Fine for a stock, but "&amp;"note it in reporting. ",""))</f>
        <v/>
      </c>
      <c r="P484" s="6" t="n"/>
      <c r="Q484" s="9">
        <f>IF($B484="",0,IF(COUNTIFS($B$5:$B484,$B484)=1,1,0))</f>
        <v/>
      </c>
    </row>
    <row r="485">
      <c r="A485" s="6" t="n"/>
      <c r="B485" s="6" t="n"/>
      <c r="C485" s="6" t="n"/>
      <c r="D485" s="6" t="n"/>
      <c r="E485" s="6" t="n"/>
      <c r="F485" s="6" t="n"/>
      <c r="G485" s="7" t="n"/>
      <c r="H485" s="7" t="n"/>
      <c r="I485" s="6" t="n"/>
      <c r="J485" s="9">
        <f>IF(NOT(ISNUMBER($G485)),"",IF(AND(ASH_CORRECTED="Yes",ISNUMBER($H485)),$G485*(1-$H485),$G485))</f>
        <v/>
      </c>
      <c r="K485" s="9">
        <f>IF($B485="","",IFERROR(AVERAGEIFS('2. Soil Data'!$G$5:$G$604,'2. Soil Data'!$B$5:$B$604,$B485),""))</f>
        <v/>
      </c>
      <c r="L485" s="9">
        <f>IF(NOT(ISNUMBER($K485)),"",PI()*($K485/2)^2)</f>
        <v/>
      </c>
      <c r="M485" s="9">
        <f>IF(OR(NOT(ISNUMBER($J485)),NOT(ISNUMBER($L485)),$L485=0),"",$J485/$L485*10000)</f>
        <v/>
      </c>
      <c r="N485" s="9">
        <f>IF(NOT(ISNUMBER($M485)),"",$M485*CARBON_FRACTION_ROOT/1000)</f>
        <v/>
      </c>
      <c r="O485" s="11">
        <f>IF(AND($A485="",$B485="",$G485=""),"",IF(AND($B485&lt;&gt;"",COUNTIFS('2. Soil Data'!$B$5:$B$604,$B485)=0),"Core ID not found in Soil Data, so the corer diameter cannot be looked up. ","")&amp;IF(ASH_CORRECTED&lt;&gt;"Yes","Root mass is NOT ash-corrected, so it includes adhering mineral soil and is too high. Set ASH_CORRECTED once you have done it. ","")&amp;IF(AND(ASH_CORRECTED="Yes",NOT(ISNUMBER($H485))),"Ash correction is switched on but no ash fraction is given for this row. ","")&amp;IF($I485="","Sieve mesh not recorded — a fine-root figure cannot be interpreted without it. ","")&amp;IF(AND(ISNUMBER($H485),$H485&gt;0.5),"Ash fraction above 0.5 — over half this sample was mineral soil. Re-wash. ","")&amp;IF($F485="Not separated","Live and dead not separated. Fine for a stock, but "&amp;"note it in reporting. ",""))</f>
        <v/>
      </c>
      <c r="P485" s="6" t="n"/>
      <c r="Q485" s="9">
        <f>IF($B485="",0,IF(COUNTIFS($B$5:$B485,$B485)=1,1,0))</f>
        <v/>
      </c>
    </row>
    <row r="486">
      <c r="A486" s="6" t="n"/>
      <c r="B486" s="6" t="n"/>
      <c r="C486" s="6" t="n"/>
      <c r="D486" s="6" t="n"/>
      <c r="E486" s="6" t="n"/>
      <c r="F486" s="6" t="n"/>
      <c r="G486" s="7" t="n"/>
      <c r="H486" s="7" t="n"/>
      <c r="I486" s="6" t="n"/>
      <c r="J486" s="9">
        <f>IF(NOT(ISNUMBER($G486)),"",IF(AND(ASH_CORRECTED="Yes",ISNUMBER($H486)),$G486*(1-$H486),$G486))</f>
        <v/>
      </c>
      <c r="K486" s="9">
        <f>IF($B486="","",IFERROR(AVERAGEIFS('2. Soil Data'!$G$5:$G$604,'2. Soil Data'!$B$5:$B$604,$B486),""))</f>
        <v/>
      </c>
      <c r="L486" s="9">
        <f>IF(NOT(ISNUMBER($K486)),"",PI()*($K486/2)^2)</f>
        <v/>
      </c>
      <c r="M486" s="9">
        <f>IF(OR(NOT(ISNUMBER($J486)),NOT(ISNUMBER($L486)),$L486=0),"",$J486/$L486*10000)</f>
        <v/>
      </c>
      <c r="N486" s="9">
        <f>IF(NOT(ISNUMBER($M486)),"",$M486*CARBON_FRACTION_ROOT/1000)</f>
        <v/>
      </c>
      <c r="O486" s="11">
        <f>IF(AND($A486="",$B486="",$G486=""),"",IF(AND($B486&lt;&gt;"",COUNTIFS('2. Soil Data'!$B$5:$B$604,$B486)=0),"Core ID not found in Soil Data, so the corer diameter cannot be looked up. ","")&amp;IF(ASH_CORRECTED&lt;&gt;"Yes","Root mass is NOT ash-corrected, so it includes adhering mineral soil and is too high. Set ASH_CORRECTED once you have done it. ","")&amp;IF(AND(ASH_CORRECTED="Yes",NOT(ISNUMBER($H486))),"Ash correction is switched on but no ash fraction is given for this row. ","")&amp;IF($I486="","Sieve mesh not recorded — a fine-root figure cannot be interpreted without it. ","")&amp;IF(AND(ISNUMBER($H486),$H486&gt;0.5),"Ash fraction above 0.5 — over half this sample was mineral soil. Re-wash. ","")&amp;IF($F486="Not separated","Live and dead not separated. Fine for a stock, but "&amp;"note it in reporting. ",""))</f>
        <v/>
      </c>
      <c r="P486" s="6" t="n"/>
      <c r="Q486" s="9">
        <f>IF($B486="",0,IF(COUNTIFS($B$5:$B486,$B486)=1,1,0))</f>
        <v/>
      </c>
    </row>
    <row r="487">
      <c r="A487" s="6" t="n"/>
      <c r="B487" s="6" t="n"/>
      <c r="C487" s="6" t="n"/>
      <c r="D487" s="6" t="n"/>
      <c r="E487" s="6" t="n"/>
      <c r="F487" s="6" t="n"/>
      <c r="G487" s="7" t="n"/>
      <c r="H487" s="7" t="n"/>
      <c r="I487" s="6" t="n"/>
      <c r="J487" s="9">
        <f>IF(NOT(ISNUMBER($G487)),"",IF(AND(ASH_CORRECTED="Yes",ISNUMBER($H487)),$G487*(1-$H487),$G487))</f>
        <v/>
      </c>
      <c r="K487" s="9">
        <f>IF($B487="","",IFERROR(AVERAGEIFS('2. Soil Data'!$G$5:$G$604,'2. Soil Data'!$B$5:$B$604,$B487),""))</f>
        <v/>
      </c>
      <c r="L487" s="9">
        <f>IF(NOT(ISNUMBER($K487)),"",PI()*($K487/2)^2)</f>
        <v/>
      </c>
      <c r="M487" s="9">
        <f>IF(OR(NOT(ISNUMBER($J487)),NOT(ISNUMBER($L487)),$L487=0),"",$J487/$L487*10000)</f>
        <v/>
      </c>
      <c r="N487" s="9">
        <f>IF(NOT(ISNUMBER($M487)),"",$M487*CARBON_FRACTION_ROOT/1000)</f>
        <v/>
      </c>
      <c r="O487" s="11">
        <f>IF(AND($A487="",$B487="",$G487=""),"",IF(AND($B487&lt;&gt;"",COUNTIFS('2. Soil Data'!$B$5:$B$604,$B487)=0),"Core ID not found in Soil Data, so the corer diameter cannot be looked up. ","")&amp;IF(ASH_CORRECTED&lt;&gt;"Yes","Root mass is NOT ash-corrected, so it includes adhering mineral soil and is too high. Set ASH_CORRECTED once you have done it. ","")&amp;IF(AND(ASH_CORRECTED="Yes",NOT(ISNUMBER($H487))),"Ash correction is switched on but no ash fraction is given for this row. ","")&amp;IF($I487="","Sieve mesh not recorded — a fine-root figure cannot be interpreted without it. ","")&amp;IF(AND(ISNUMBER($H487),$H487&gt;0.5),"Ash fraction above 0.5 — over half this sample was mineral soil. Re-wash. ","")&amp;IF($F487="Not separated","Live and dead not separated. Fine for a stock, but "&amp;"note it in reporting. ",""))</f>
        <v/>
      </c>
      <c r="P487" s="6" t="n"/>
      <c r="Q487" s="9">
        <f>IF($B487="",0,IF(COUNTIFS($B$5:$B487,$B487)=1,1,0))</f>
        <v/>
      </c>
    </row>
    <row r="488">
      <c r="A488" s="6" t="n"/>
      <c r="B488" s="6" t="n"/>
      <c r="C488" s="6" t="n"/>
      <c r="D488" s="6" t="n"/>
      <c r="E488" s="6" t="n"/>
      <c r="F488" s="6" t="n"/>
      <c r="G488" s="7" t="n"/>
      <c r="H488" s="7" t="n"/>
      <c r="I488" s="6" t="n"/>
      <c r="J488" s="9">
        <f>IF(NOT(ISNUMBER($G488)),"",IF(AND(ASH_CORRECTED="Yes",ISNUMBER($H488)),$G488*(1-$H488),$G488))</f>
        <v/>
      </c>
      <c r="K488" s="9">
        <f>IF($B488="","",IFERROR(AVERAGEIFS('2. Soil Data'!$G$5:$G$604,'2. Soil Data'!$B$5:$B$604,$B488),""))</f>
        <v/>
      </c>
      <c r="L488" s="9">
        <f>IF(NOT(ISNUMBER($K488)),"",PI()*($K488/2)^2)</f>
        <v/>
      </c>
      <c r="M488" s="9">
        <f>IF(OR(NOT(ISNUMBER($J488)),NOT(ISNUMBER($L488)),$L488=0),"",$J488/$L488*10000)</f>
        <v/>
      </c>
      <c r="N488" s="9">
        <f>IF(NOT(ISNUMBER($M488)),"",$M488*CARBON_FRACTION_ROOT/1000)</f>
        <v/>
      </c>
      <c r="O488" s="11">
        <f>IF(AND($A488="",$B488="",$G488=""),"",IF(AND($B488&lt;&gt;"",COUNTIFS('2. Soil Data'!$B$5:$B$604,$B488)=0),"Core ID not found in Soil Data, so the corer diameter cannot be looked up. ","")&amp;IF(ASH_CORRECTED&lt;&gt;"Yes","Root mass is NOT ash-corrected, so it includes adhering mineral soil and is too high. Set ASH_CORRECTED once you have done it. ","")&amp;IF(AND(ASH_CORRECTED="Yes",NOT(ISNUMBER($H488))),"Ash correction is switched on but no ash fraction is given for this row. ","")&amp;IF($I488="","Sieve mesh not recorded — a fine-root figure cannot be interpreted without it. ","")&amp;IF(AND(ISNUMBER($H488),$H488&gt;0.5),"Ash fraction above 0.5 — over half this sample was mineral soil. Re-wash. ","")&amp;IF($F488="Not separated","Live and dead not separated. Fine for a stock, but "&amp;"note it in reporting. ",""))</f>
        <v/>
      </c>
      <c r="P488" s="6" t="n"/>
      <c r="Q488" s="9">
        <f>IF($B488="",0,IF(COUNTIFS($B$5:$B488,$B488)=1,1,0))</f>
        <v/>
      </c>
    </row>
    <row r="489">
      <c r="A489" s="6" t="n"/>
      <c r="B489" s="6" t="n"/>
      <c r="C489" s="6" t="n"/>
      <c r="D489" s="6" t="n"/>
      <c r="E489" s="6" t="n"/>
      <c r="F489" s="6" t="n"/>
      <c r="G489" s="7" t="n"/>
      <c r="H489" s="7" t="n"/>
      <c r="I489" s="6" t="n"/>
      <c r="J489" s="9">
        <f>IF(NOT(ISNUMBER($G489)),"",IF(AND(ASH_CORRECTED="Yes",ISNUMBER($H489)),$G489*(1-$H489),$G489))</f>
        <v/>
      </c>
      <c r="K489" s="9">
        <f>IF($B489="","",IFERROR(AVERAGEIFS('2. Soil Data'!$G$5:$G$604,'2. Soil Data'!$B$5:$B$604,$B489),""))</f>
        <v/>
      </c>
      <c r="L489" s="9">
        <f>IF(NOT(ISNUMBER($K489)),"",PI()*($K489/2)^2)</f>
        <v/>
      </c>
      <c r="M489" s="9">
        <f>IF(OR(NOT(ISNUMBER($J489)),NOT(ISNUMBER($L489)),$L489=0),"",$J489/$L489*10000)</f>
        <v/>
      </c>
      <c r="N489" s="9">
        <f>IF(NOT(ISNUMBER($M489)),"",$M489*CARBON_FRACTION_ROOT/1000)</f>
        <v/>
      </c>
      <c r="O489" s="11">
        <f>IF(AND($A489="",$B489="",$G489=""),"",IF(AND($B489&lt;&gt;"",COUNTIFS('2. Soil Data'!$B$5:$B$604,$B489)=0),"Core ID not found in Soil Data, so the corer diameter cannot be looked up. ","")&amp;IF(ASH_CORRECTED&lt;&gt;"Yes","Root mass is NOT ash-corrected, so it includes adhering mineral soil and is too high. Set ASH_CORRECTED once you have done it. ","")&amp;IF(AND(ASH_CORRECTED="Yes",NOT(ISNUMBER($H489))),"Ash correction is switched on but no ash fraction is given for this row. ","")&amp;IF($I489="","Sieve mesh not recorded — a fine-root figure cannot be interpreted without it. ","")&amp;IF(AND(ISNUMBER($H489),$H489&gt;0.5),"Ash fraction above 0.5 — over half this sample was mineral soil. Re-wash. ","")&amp;IF($F489="Not separated","Live and dead not separated. Fine for a stock, but "&amp;"note it in reporting. ",""))</f>
        <v/>
      </c>
      <c r="P489" s="6" t="n"/>
      <c r="Q489" s="9">
        <f>IF($B489="",0,IF(COUNTIFS($B$5:$B489,$B489)=1,1,0))</f>
        <v/>
      </c>
    </row>
    <row r="490">
      <c r="A490" s="6" t="n"/>
      <c r="B490" s="6" t="n"/>
      <c r="C490" s="6" t="n"/>
      <c r="D490" s="6" t="n"/>
      <c r="E490" s="6" t="n"/>
      <c r="F490" s="6" t="n"/>
      <c r="G490" s="7" t="n"/>
      <c r="H490" s="7" t="n"/>
      <c r="I490" s="6" t="n"/>
      <c r="J490" s="9">
        <f>IF(NOT(ISNUMBER($G490)),"",IF(AND(ASH_CORRECTED="Yes",ISNUMBER($H490)),$G490*(1-$H490),$G490))</f>
        <v/>
      </c>
      <c r="K490" s="9">
        <f>IF($B490="","",IFERROR(AVERAGEIFS('2. Soil Data'!$G$5:$G$604,'2. Soil Data'!$B$5:$B$604,$B490),""))</f>
        <v/>
      </c>
      <c r="L490" s="9">
        <f>IF(NOT(ISNUMBER($K490)),"",PI()*($K490/2)^2)</f>
        <v/>
      </c>
      <c r="M490" s="9">
        <f>IF(OR(NOT(ISNUMBER($J490)),NOT(ISNUMBER($L490)),$L490=0),"",$J490/$L490*10000)</f>
        <v/>
      </c>
      <c r="N490" s="9">
        <f>IF(NOT(ISNUMBER($M490)),"",$M490*CARBON_FRACTION_ROOT/1000)</f>
        <v/>
      </c>
      <c r="O490" s="11">
        <f>IF(AND($A490="",$B490="",$G490=""),"",IF(AND($B490&lt;&gt;"",COUNTIFS('2. Soil Data'!$B$5:$B$604,$B490)=0),"Core ID not found in Soil Data, so the corer diameter cannot be looked up. ","")&amp;IF(ASH_CORRECTED&lt;&gt;"Yes","Root mass is NOT ash-corrected, so it includes adhering mineral soil and is too high. Set ASH_CORRECTED once you have done it. ","")&amp;IF(AND(ASH_CORRECTED="Yes",NOT(ISNUMBER($H490))),"Ash correction is switched on but no ash fraction is given for this row. ","")&amp;IF($I490="","Sieve mesh not recorded — a fine-root figure cannot be interpreted without it. ","")&amp;IF(AND(ISNUMBER($H490),$H490&gt;0.5),"Ash fraction above 0.5 — over half this sample was mineral soil. Re-wash. ","")&amp;IF($F490="Not separated","Live and dead not separated. Fine for a stock, but "&amp;"note it in reporting. ",""))</f>
        <v/>
      </c>
      <c r="P490" s="6" t="n"/>
      <c r="Q490" s="9">
        <f>IF($B490="",0,IF(COUNTIFS($B$5:$B490,$B490)=1,1,0))</f>
        <v/>
      </c>
    </row>
    <row r="491">
      <c r="A491" s="6" t="n"/>
      <c r="B491" s="6" t="n"/>
      <c r="C491" s="6" t="n"/>
      <c r="D491" s="6" t="n"/>
      <c r="E491" s="6" t="n"/>
      <c r="F491" s="6" t="n"/>
      <c r="G491" s="7" t="n"/>
      <c r="H491" s="7" t="n"/>
      <c r="I491" s="6" t="n"/>
      <c r="J491" s="9">
        <f>IF(NOT(ISNUMBER($G491)),"",IF(AND(ASH_CORRECTED="Yes",ISNUMBER($H491)),$G491*(1-$H491),$G491))</f>
        <v/>
      </c>
      <c r="K491" s="9">
        <f>IF($B491="","",IFERROR(AVERAGEIFS('2. Soil Data'!$G$5:$G$604,'2. Soil Data'!$B$5:$B$604,$B491),""))</f>
        <v/>
      </c>
      <c r="L491" s="9">
        <f>IF(NOT(ISNUMBER($K491)),"",PI()*($K491/2)^2)</f>
        <v/>
      </c>
      <c r="M491" s="9">
        <f>IF(OR(NOT(ISNUMBER($J491)),NOT(ISNUMBER($L491)),$L491=0),"",$J491/$L491*10000)</f>
        <v/>
      </c>
      <c r="N491" s="9">
        <f>IF(NOT(ISNUMBER($M491)),"",$M491*CARBON_FRACTION_ROOT/1000)</f>
        <v/>
      </c>
      <c r="O491" s="11">
        <f>IF(AND($A491="",$B491="",$G491=""),"",IF(AND($B491&lt;&gt;"",COUNTIFS('2. Soil Data'!$B$5:$B$604,$B491)=0),"Core ID not found in Soil Data, so the corer diameter cannot be looked up. ","")&amp;IF(ASH_CORRECTED&lt;&gt;"Yes","Root mass is NOT ash-corrected, so it includes adhering mineral soil and is too high. Set ASH_CORRECTED once you have done it. ","")&amp;IF(AND(ASH_CORRECTED="Yes",NOT(ISNUMBER($H491))),"Ash correction is switched on but no ash fraction is given for this row. ","")&amp;IF($I491="","Sieve mesh not recorded — a fine-root figure cannot be interpreted without it. ","")&amp;IF(AND(ISNUMBER($H491),$H491&gt;0.5),"Ash fraction above 0.5 — over half this sample was mineral soil. Re-wash. ","")&amp;IF($F491="Not separated","Live and dead not separated. Fine for a stock, but "&amp;"note it in reporting. ",""))</f>
        <v/>
      </c>
      <c r="P491" s="6" t="n"/>
      <c r="Q491" s="9">
        <f>IF($B491="",0,IF(COUNTIFS($B$5:$B491,$B491)=1,1,0))</f>
        <v/>
      </c>
    </row>
    <row r="492">
      <c r="A492" s="6" t="n"/>
      <c r="B492" s="6" t="n"/>
      <c r="C492" s="6" t="n"/>
      <c r="D492" s="6" t="n"/>
      <c r="E492" s="6" t="n"/>
      <c r="F492" s="6" t="n"/>
      <c r="G492" s="7" t="n"/>
      <c r="H492" s="7" t="n"/>
      <c r="I492" s="6" t="n"/>
      <c r="J492" s="9">
        <f>IF(NOT(ISNUMBER($G492)),"",IF(AND(ASH_CORRECTED="Yes",ISNUMBER($H492)),$G492*(1-$H492),$G492))</f>
        <v/>
      </c>
      <c r="K492" s="9">
        <f>IF($B492="","",IFERROR(AVERAGEIFS('2. Soil Data'!$G$5:$G$604,'2. Soil Data'!$B$5:$B$604,$B492),""))</f>
        <v/>
      </c>
      <c r="L492" s="9">
        <f>IF(NOT(ISNUMBER($K492)),"",PI()*($K492/2)^2)</f>
        <v/>
      </c>
      <c r="M492" s="9">
        <f>IF(OR(NOT(ISNUMBER($J492)),NOT(ISNUMBER($L492)),$L492=0),"",$J492/$L492*10000)</f>
        <v/>
      </c>
      <c r="N492" s="9">
        <f>IF(NOT(ISNUMBER($M492)),"",$M492*CARBON_FRACTION_ROOT/1000)</f>
        <v/>
      </c>
      <c r="O492" s="11">
        <f>IF(AND($A492="",$B492="",$G492=""),"",IF(AND($B492&lt;&gt;"",COUNTIFS('2. Soil Data'!$B$5:$B$604,$B492)=0),"Core ID not found in Soil Data, so the corer diameter cannot be looked up. ","")&amp;IF(ASH_CORRECTED&lt;&gt;"Yes","Root mass is NOT ash-corrected, so it includes adhering mineral soil and is too high. Set ASH_CORRECTED once you have done it. ","")&amp;IF(AND(ASH_CORRECTED="Yes",NOT(ISNUMBER($H492))),"Ash correction is switched on but no ash fraction is given for this row. ","")&amp;IF($I492="","Sieve mesh not recorded — a fine-root figure cannot be interpreted without it. ","")&amp;IF(AND(ISNUMBER($H492),$H492&gt;0.5),"Ash fraction above 0.5 — over half this sample was mineral soil. Re-wash. ","")&amp;IF($F492="Not separated","Live and dead not separated. Fine for a stock, but "&amp;"note it in reporting. ",""))</f>
        <v/>
      </c>
      <c r="P492" s="6" t="n"/>
      <c r="Q492" s="9">
        <f>IF($B492="",0,IF(COUNTIFS($B$5:$B492,$B492)=1,1,0))</f>
        <v/>
      </c>
    </row>
    <row r="493">
      <c r="A493" s="6" t="n"/>
      <c r="B493" s="6" t="n"/>
      <c r="C493" s="6" t="n"/>
      <c r="D493" s="6" t="n"/>
      <c r="E493" s="6" t="n"/>
      <c r="F493" s="6" t="n"/>
      <c r="G493" s="7" t="n"/>
      <c r="H493" s="7" t="n"/>
      <c r="I493" s="6" t="n"/>
      <c r="J493" s="9">
        <f>IF(NOT(ISNUMBER($G493)),"",IF(AND(ASH_CORRECTED="Yes",ISNUMBER($H493)),$G493*(1-$H493),$G493))</f>
        <v/>
      </c>
      <c r="K493" s="9">
        <f>IF($B493="","",IFERROR(AVERAGEIFS('2. Soil Data'!$G$5:$G$604,'2. Soil Data'!$B$5:$B$604,$B493),""))</f>
        <v/>
      </c>
      <c r="L493" s="9">
        <f>IF(NOT(ISNUMBER($K493)),"",PI()*($K493/2)^2)</f>
        <v/>
      </c>
      <c r="M493" s="9">
        <f>IF(OR(NOT(ISNUMBER($J493)),NOT(ISNUMBER($L493)),$L493=0),"",$J493/$L493*10000)</f>
        <v/>
      </c>
      <c r="N493" s="9">
        <f>IF(NOT(ISNUMBER($M493)),"",$M493*CARBON_FRACTION_ROOT/1000)</f>
        <v/>
      </c>
      <c r="O493" s="11">
        <f>IF(AND($A493="",$B493="",$G493=""),"",IF(AND($B493&lt;&gt;"",COUNTIFS('2. Soil Data'!$B$5:$B$604,$B493)=0),"Core ID not found in Soil Data, so the corer diameter cannot be looked up. ","")&amp;IF(ASH_CORRECTED&lt;&gt;"Yes","Root mass is NOT ash-corrected, so it includes adhering mineral soil and is too high. Set ASH_CORRECTED once you have done it. ","")&amp;IF(AND(ASH_CORRECTED="Yes",NOT(ISNUMBER($H493))),"Ash correction is switched on but no ash fraction is given for this row. ","")&amp;IF($I493="","Sieve mesh not recorded — a fine-root figure cannot be interpreted without it. ","")&amp;IF(AND(ISNUMBER($H493),$H493&gt;0.5),"Ash fraction above 0.5 — over half this sample was mineral soil. Re-wash. ","")&amp;IF($F493="Not separated","Live and dead not separated. Fine for a stock, but "&amp;"note it in reporting. ",""))</f>
        <v/>
      </c>
      <c r="P493" s="6" t="n"/>
      <c r="Q493" s="9">
        <f>IF($B493="",0,IF(COUNTIFS($B$5:$B493,$B493)=1,1,0))</f>
        <v/>
      </c>
    </row>
    <row r="494">
      <c r="A494" s="6" t="n"/>
      <c r="B494" s="6" t="n"/>
      <c r="C494" s="6" t="n"/>
      <c r="D494" s="6" t="n"/>
      <c r="E494" s="6" t="n"/>
      <c r="F494" s="6" t="n"/>
      <c r="G494" s="7" t="n"/>
      <c r="H494" s="7" t="n"/>
      <c r="I494" s="6" t="n"/>
      <c r="J494" s="9">
        <f>IF(NOT(ISNUMBER($G494)),"",IF(AND(ASH_CORRECTED="Yes",ISNUMBER($H494)),$G494*(1-$H494),$G494))</f>
        <v/>
      </c>
      <c r="K494" s="9">
        <f>IF($B494="","",IFERROR(AVERAGEIFS('2. Soil Data'!$G$5:$G$604,'2. Soil Data'!$B$5:$B$604,$B494),""))</f>
        <v/>
      </c>
      <c r="L494" s="9">
        <f>IF(NOT(ISNUMBER($K494)),"",PI()*($K494/2)^2)</f>
        <v/>
      </c>
      <c r="M494" s="9">
        <f>IF(OR(NOT(ISNUMBER($J494)),NOT(ISNUMBER($L494)),$L494=0),"",$J494/$L494*10000)</f>
        <v/>
      </c>
      <c r="N494" s="9">
        <f>IF(NOT(ISNUMBER($M494)),"",$M494*CARBON_FRACTION_ROOT/1000)</f>
        <v/>
      </c>
      <c r="O494" s="11">
        <f>IF(AND($A494="",$B494="",$G494=""),"",IF(AND($B494&lt;&gt;"",COUNTIFS('2. Soil Data'!$B$5:$B$604,$B494)=0),"Core ID not found in Soil Data, so the corer diameter cannot be looked up. ","")&amp;IF(ASH_CORRECTED&lt;&gt;"Yes","Root mass is NOT ash-corrected, so it includes adhering mineral soil and is too high. Set ASH_CORRECTED once you have done it. ","")&amp;IF(AND(ASH_CORRECTED="Yes",NOT(ISNUMBER($H494))),"Ash correction is switched on but no ash fraction is given for this row. ","")&amp;IF($I494="","Sieve mesh not recorded — a fine-root figure cannot be interpreted without it. ","")&amp;IF(AND(ISNUMBER($H494),$H494&gt;0.5),"Ash fraction above 0.5 — over half this sample was mineral soil. Re-wash. ","")&amp;IF($F494="Not separated","Live and dead not separated. Fine for a stock, but "&amp;"note it in reporting. ",""))</f>
        <v/>
      </c>
      <c r="P494" s="6" t="n"/>
      <c r="Q494" s="9">
        <f>IF($B494="",0,IF(COUNTIFS($B$5:$B494,$B494)=1,1,0))</f>
        <v/>
      </c>
    </row>
    <row r="495">
      <c r="A495" s="6" t="n"/>
      <c r="B495" s="6" t="n"/>
      <c r="C495" s="6" t="n"/>
      <c r="D495" s="6" t="n"/>
      <c r="E495" s="6" t="n"/>
      <c r="F495" s="6" t="n"/>
      <c r="G495" s="7" t="n"/>
      <c r="H495" s="7" t="n"/>
      <c r="I495" s="6" t="n"/>
      <c r="J495" s="9">
        <f>IF(NOT(ISNUMBER($G495)),"",IF(AND(ASH_CORRECTED="Yes",ISNUMBER($H495)),$G495*(1-$H495),$G495))</f>
        <v/>
      </c>
      <c r="K495" s="9">
        <f>IF($B495="","",IFERROR(AVERAGEIFS('2. Soil Data'!$G$5:$G$604,'2. Soil Data'!$B$5:$B$604,$B495),""))</f>
        <v/>
      </c>
      <c r="L495" s="9">
        <f>IF(NOT(ISNUMBER($K495)),"",PI()*($K495/2)^2)</f>
        <v/>
      </c>
      <c r="M495" s="9">
        <f>IF(OR(NOT(ISNUMBER($J495)),NOT(ISNUMBER($L495)),$L495=0),"",$J495/$L495*10000)</f>
        <v/>
      </c>
      <c r="N495" s="9">
        <f>IF(NOT(ISNUMBER($M495)),"",$M495*CARBON_FRACTION_ROOT/1000)</f>
        <v/>
      </c>
      <c r="O495" s="11">
        <f>IF(AND($A495="",$B495="",$G495=""),"",IF(AND($B495&lt;&gt;"",COUNTIFS('2. Soil Data'!$B$5:$B$604,$B495)=0),"Core ID not found in Soil Data, so the corer diameter cannot be looked up. ","")&amp;IF(ASH_CORRECTED&lt;&gt;"Yes","Root mass is NOT ash-corrected, so it includes adhering mineral soil and is too high. Set ASH_CORRECTED once you have done it. ","")&amp;IF(AND(ASH_CORRECTED="Yes",NOT(ISNUMBER($H495))),"Ash correction is switched on but no ash fraction is given for this row. ","")&amp;IF($I495="","Sieve mesh not recorded — a fine-root figure cannot be interpreted without it. ","")&amp;IF(AND(ISNUMBER($H495),$H495&gt;0.5),"Ash fraction above 0.5 — over half this sample was mineral soil. Re-wash. ","")&amp;IF($F495="Not separated","Live and dead not separated. Fine for a stock, but "&amp;"note it in reporting. ",""))</f>
        <v/>
      </c>
      <c r="P495" s="6" t="n"/>
      <c r="Q495" s="9">
        <f>IF($B495="",0,IF(COUNTIFS($B$5:$B495,$B495)=1,1,0))</f>
        <v/>
      </c>
    </row>
    <row r="496">
      <c r="A496" s="6" t="n"/>
      <c r="B496" s="6" t="n"/>
      <c r="C496" s="6" t="n"/>
      <c r="D496" s="6" t="n"/>
      <c r="E496" s="6" t="n"/>
      <c r="F496" s="6" t="n"/>
      <c r="G496" s="7" t="n"/>
      <c r="H496" s="7" t="n"/>
      <c r="I496" s="6" t="n"/>
      <c r="J496" s="9">
        <f>IF(NOT(ISNUMBER($G496)),"",IF(AND(ASH_CORRECTED="Yes",ISNUMBER($H496)),$G496*(1-$H496),$G496))</f>
        <v/>
      </c>
      <c r="K496" s="9">
        <f>IF($B496="","",IFERROR(AVERAGEIFS('2. Soil Data'!$G$5:$G$604,'2. Soil Data'!$B$5:$B$604,$B496),""))</f>
        <v/>
      </c>
      <c r="L496" s="9">
        <f>IF(NOT(ISNUMBER($K496)),"",PI()*($K496/2)^2)</f>
        <v/>
      </c>
      <c r="M496" s="9">
        <f>IF(OR(NOT(ISNUMBER($J496)),NOT(ISNUMBER($L496)),$L496=0),"",$J496/$L496*10000)</f>
        <v/>
      </c>
      <c r="N496" s="9">
        <f>IF(NOT(ISNUMBER($M496)),"",$M496*CARBON_FRACTION_ROOT/1000)</f>
        <v/>
      </c>
      <c r="O496" s="11">
        <f>IF(AND($A496="",$B496="",$G496=""),"",IF(AND($B496&lt;&gt;"",COUNTIFS('2. Soil Data'!$B$5:$B$604,$B496)=0),"Core ID not found in Soil Data, so the corer diameter cannot be looked up. ","")&amp;IF(ASH_CORRECTED&lt;&gt;"Yes","Root mass is NOT ash-corrected, so it includes adhering mineral soil and is too high. Set ASH_CORRECTED once you have done it. ","")&amp;IF(AND(ASH_CORRECTED="Yes",NOT(ISNUMBER($H496))),"Ash correction is switched on but no ash fraction is given for this row. ","")&amp;IF($I496="","Sieve mesh not recorded — a fine-root figure cannot be interpreted without it. ","")&amp;IF(AND(ISNUMBER($H496),$H496&gt;0.5),"Ash fraction above 0.5 — over half this sample was mineral soil. Re-wash. ","")&amp;IF($F496="Not separated","Live and dead not separated. Fine for a stock, but "&amp;"note it in reporting. ",""))</f>
        <v/>
      </c>
      <c r="P496" s="6" t="n"/>
      <c r="Q496" s="9">
        <f>IF($B496="",0,IF(COUNTIFS($B$5:$B496,$B496)=1,1,0))</f>
        <v/>
      </c>
    </row>
    <row r="497">
      <c r="A497" s="6" t="n"/>
      <c r="B497" s="6" t="n"/>
      <c r="C497" s="6" t="n"/>
      <c r="D497" s="6" t="n"/>
      <c r="E497" s="6" t="n"/>
      <c r="F497" s="6" t="n"/>
      <c r="G497" s="7" t="n"/>
      <c r="H497" s="7" t="n"/>
      <c r="I497" s="6" t="n"/>
      <c r="J497" s="9">
        <f>IF(NOT(ISNUMBER($G497)),"",IF(AND(ASH_CORRECTED="Yes",ISNUMBER($H497)),$G497*(1-$H497),$G497))</f>
        <v/>
      </c>
      <c r="K497" s="9">
        <f>IF($B497="","",IFERROR(AVERAGEIFS('2. Soil Data'!$G$5:$G$604,'2. Soil Data'!$B$5:$B$604,$B497),""))</f>
        <v/>
      </c>
      <c r="L497" s="9">
        <f>IF(NOT(ISNUMBER($K497)),"",PI()*($K497/2)^2)</f>
        <v/>
      </c>
      <c r="M497" s="9">
        <f>IF(OR(NOT(ISNUMBER($J497)),NOT(ISNUMBER($L497)),$L497=0),"",$J497/$L497*10000)</f>
        <v/>
      </c>
      <c r="N497" s="9">
        <f>IF(NOT(ISNUMBER($M497)),"",$M497*CARBON_FRACTION_ROOT/1000)</f>
        <v/>
      </c>
      <c r="O497" s="11">
        <f>IF(AND($A497="",$B497="",$G497=""),"",IF(AND($B497&lt;&gt;"",COUNTIFS('2. Soil Data'!$B$5:$B$604,$B497)=0),"Core ID not found in Soil Data, so the corer diameter cannot be looked up. ","")&amp;IF(ASH_CORRECTED&lt;&gt;"Yes","Root mass is NOT ash-corrected, so it includes adhering mineral soil and is too high. Set ASH_CORRECTED once you have done it. ","")&amp;IF(AND(ASH_CORRECTED="Yes",NOT(ISNUMBER($H497))),"Ash correction is switched on but no ash fraction is given for this row. ","")&amp;IF($I497="","Sieve mesh not recorded — a fine-root figure cannot be interpreted without it. ","")&amp;IF(AND(ISNUMBER($H497),$H497&gt;0.5),"Ash fraction above 0.5 — over half this sample was mineral soil. Re-wash. ","")&amp;IF($F497="Not separated","Live and dead not separated. Fine for a stock, but "&amp;"note it in reporting. ",""))</f>
        <v/>
      </c>
      <c r="P497" s="6" t="n"/>
      <c r="Q497" s="9">
        <f>IF($B497="",0,IF(COUNTIFS($B$5:$B497,$B497)=1,1,0))</f>
        <v/>
      </c>
    </row>
    <row r="498">
      <c r="A498" s="6" t="n"/>
      <c r="B498" s="6" t="n"/>
      <c r="C498" s="6" t="n"/>
      <c r="D498" s="6" t="n"/>
      <c r="E498" s="6" t="n"/>
      <c r="F498" s="6" t="n"/>
      <c r="G498" s="7" t="n"/>
      <c r="H498" s="7" t="n"/>
      <c r="I498" s="6" t="n"/>
      <c r="J498" s="9">
        <f>IF(NOT(ISNUMBER($G498)),"",IF(AND(ASH_CORRECTED="Yes",ISNUMBER($H498)),$G498*(1-$H498),$G498))</f>
        <v/>
      </c>
      <c r="K498" s="9">
        <f>IF($B498="","",IFERROR(AVERAGEIFS('2. Soil Data'!$G$5:$G$604,'2. Soil Data'!$B$5:$B$604,$B498),""))</f>
        <v/>
      </c>
      <c r="L498" s="9">
        <f>IF(NOT(ISNUMBER($K498)),"",PI()*($K498/2)^2)</f>
        <v/>
      </c>
      <c r="M498" s="9">
        <f>IF(OR(NOT(ISNUMBER($J498)),NOT(ISNUMBER($L498)),$L498=0),"",$J498/$L498*10000)</f>
        <v/>
      </c>
      <c r="N498" s="9">
        <f>IF(NOT(ISNUMBER($M498)),"",$M498*CARBON_FRACTION_ROOT/1000)</f>
        <v/>
      </c>
      <c r="O498" s="11">
        <f>IF(AND($A498="",$B498="",$G498=""),"",IF(AND($B498&lt;&gt;"",COUNTIFS('2. Soil Data'!$B$5:$B$604,$B498)=0),"Core ID not found in Soil Data, so the corer diameter cannot be looked up. ","")&amp;IF(ASH_CORRECTED&lt;&gt;"Yes","Root mass is NOT ash-corrected, so it includes adhering mineral soil and is too high. Set ASH_CORRECTED once you have done it. ","")&amp;IF(AND(ASH_CORRECTED="Yes",NOT(ISNUMBER($H498))),"Ash correction is switched on but no ash fraction is given for this row. ","")&amp;IF($I498="","Sieve mesh not recorded — a fine-root figure cannot be interpreted without it. ","")&amp;IF(AND(ISNUMBER($H498),$H498&gt;0.5),"Ash fraction above 0.5 — over half this sample was mineral soil. Re-wash. ","")&amp;IF($F498="Not separated","Live and dead not separated. Fine for a stock, but "&amp;"note it in reporting. ",""))</f>
        <v/>
      </c>
      <c r="P498" s="6" t="n"/>
      <c r="Q498" s="9">
        <f>IF($B498="",0,IF(COUNTIFS($B$5:$B498,$B498)=1,1,0))</f>
        <v/>
      </c>
    </row>
    <row r="499">
      <c r="A499" s="6" t="n"/>
      <c r="B499" s="6" t="n"/>
      <c r="C499" s="6" t="n"/>
      <c r="D499" s="6" t="n"/>
      <c r="E499" s="6" t="n"/>
      <c r="F499" s="6" t="n"/>
      <c r="G499" s="7" t="n"/>
      <c r="H499" s="7" t="n"/>
      <c r="I499" s="6" t="n"/>
      <c r="J499" s="9">
        <f>IF(NOT(ISNUMBER($G499)),"",IF(AND(ASH_CORRECTED="Yes",ISNUMBER($H499)),$G499*(1-$H499),$G499))</f>
        <v/>
      </c>
      <c r="K499" s="9">
        <f>IF($B499="","",IFERROR(AVERAGEIFS('2. Soil Data'!$G$5:$G$604,'2. Soil Data'!$B$5:$B$604,$B499),""))</f>
        <v/>
      </c>
      <c r="L499" s="9">
        <f>IF(NOT(ISNUMBER($K499)),"",PI()*($K499/2)^2)</f>
        <v/>
      </c>
      <c r="M499" s="9">
        <f>IF(OR(NOT(ISNUMBER($J499)),NOT(ISNUMBER($L499)),$L499=0),"",$J499/$L499*10000)</f>
        <v/>
      </c>
      <c r="N499" s="9">
        <f>IF(NOT(ISNUMBER($M499)),"",$M499*CARBON_FRACTION_ROOT/1000)</f>
        <v/>
      </c>
      <c r="O499" s="11">
        <f>IF(AND($A499="",$B499="",$G499=""),"",IF(AND($B499&lt;&gt;"",COUNTIFS('2. Soil Data'!$B$5:$B$604,$B499)=0),"Core ID not found in Soil Data, so the corer diameter cannot be looked up. ","")&amp;IF(ASH_CORRECTED&lt;&gt;"Yes","Root mass is NOT ash-corrected, so it includes adhering mineral soil and is too high. Set ASH_CORRECTED once you have done it. ","")&amp;IF(AND(ASH_CORRECTED="Yes",NOT(ISNUMBER($H499))),"Ash correction is switched on but no ash fraction is given for this row. ","")&amp;IF($I499="","Sieve mesh not recorded — a fine-root figure cannot be interpreted without it. ","")&amp;IF(AND(ISNUMBER($H499),$H499&gt;0.5),"Ash fraction above 0.5 — over half this sample was mineral soil. Re-wash. ","")&amp;IF($F499="Not separated","Live and dead not separated. Fine for a stock, but "&amp;"note it in reporting. ",""))</f>
        <v/>
      </c>
      <c r="P499" s="6" t="n"/>
      <c r="Q499" s="9">
        <f>IF($B499="",0,IF(COUNTIFS($B$5:$B499,$B499)=1,1,0))</f>
        <v/>
      </c>
    </row>
    <row r="500">
      <c r="A500" s="6" t="n"/>
      <c r="B500" s="6" t="n"/>
      <c r="C500" s="6" t="n"/>
      <c r="D500" s="6" t="n"/>
      <c r="E500" s="6" t="n"/>
      <c r="F500" s="6" t="n"/>
      <c r="G500" s="7" t="n"/>
      <c r="H500" s="7" t="n"/>
      <c r="I500" s="6" t="n"/>
      <c r="J500" s="9">
        <f>IF(NOT(ISNUMBER($G500)),"",IF(AND(ASH_CORRECTED="Yes",ISNUMBER($H500)),$G500*(1-$H500),$G500))</f>
        <v/>
      </c>
      <c r="K500" s="9">
        <f>IF($B500="","",IFERROR(AVERAGEIFS('2. Soil Data'!$G$5:$G$604,'2. Soil Data'!$B$5:$B$604,$B500),""))</f>
        <v/>
      </c>
      <c r="L500" s="9">
        <f>IF(NOT(ISNUMBER($K500)),"",PI()*($K500/2)^2)</f>
        <v/>
      </c>
      <c r="M500" s="9">
        <f>IF(OR(NOT(ISNUMBER($J500)),NOT(ISNUMBER($L500)),$L500=0),"",$J500/$L500*10000)</f>
        <v/>
      </c>
      <c r="N500" s="9">
        <f>IF(NOT(ISNUMBER($M500)),"",$M500*CARBON_FRACTION_ROOT/1000)</f>
        <v/>
      </c>
      <c r="O500" s="11">
        <f>IF(AND($A500="",$B500="",$G500=""),"",IF(AND($B500&lt;&gt;"",COUNTIFS('2. Soil Data'!$B$5:$B$604,$B500)=0),"Core ID not found in Soil Data, so the corer diameter cannot be looked up. ","")&amp;IF(ASH_CORRECTED&lt;&gt;"Yes","Root mass is NOT ash-corrected, so it includes adhering mineral soil and is too high. Set ASH_CORRECTED once you have done it. ","")&amp;IF(AND(ASH_CORRECTED="Yes",NOT(ISNUMBER($H500))),"Ash correction is switched on but no ash fraction is given for this row. ","")&amp;IF($I500="","Sieve mesh not recorded — a fine-root figure cannot be interpreted without it. ","")&amp;IF(AND(ISNUMBER($H500),$H500&gt;0.5),"Ash fraction above 0.5 — over half this sample was mineral soil. Re-wash. ","")&amp;IF($F500="Not separated","Live and dead not separated. Fine for a stock, but "&amp;"note it in reporting. ",""))</f>
        <v/>
      </c>
      <c r="P500" s="6" t="n"/>
      <c r="Q500" s="9">
        <f>IF($B500="",0,IF(COUNTIFS($B$5:$B500,$B500)=1,1,0))</f>
        <v/>
      </c>
    </row>
    <row r="501">
      <c r="A501" s="6" t="n"/>
      <c r="B501" s="6" t="n"/>
      <c r="C501" s="6" t="n"/>
      <c r="D501" s="6" t="n"/>
      <c r="E501" s="6" t="n"/>
      <c r="F501" s="6" t="n"/>
      <c r="G501" s="7" t="n"/>
      <c r="H501" s="7" t="n"/>
      <c r="I501" s="6" t="n"/>
      <c r="J501" s="9">
        <f>IF(NOT(ISNUMBER($G501)),"",IF(AND(ASH_CORRECTED="Yes",ISNUMBER($H501)),$G501*(1-$H501),$G501))</f>
        <v/>
      </c>
      <c r="K501" s="9">
        <f>IF($B501="","",IFERROR(AVERAGEIFS('2. Soil Data'!$G$5:$G$604,'2. Soil Data'!$B$5:$B$604,$B501),""))</f>
        <v/>
      </c>
      <c r="L501" s="9">
        <f>IF(NOT(ISNUMBER($K501)),"",PI()*($K501/2)^2)</f>
        <v/>
      </c>
      <c r="M501" s="9">
        <f>IF(OR(NOT(ISNUMBER($J501)),NOT(ISNUMBER($L501)),$L501=0),"",$J501/$L501*10000)</f>
        <v/>
      </c>
      <c r="N501" s="9">
        <f>IF(NOT(ISNUMBER($M501)),"",$M501*CARBON_FRACTION_ROOT/1000)</f>
        <v/>
      </c>
      <c r="O501" s="11">
        <f>IF(AND($A501="",$B501="",$G501=""),"",IF(AND($B501&lt;&gt;"",COUNTIFS('2. Soil Data'!$B$5:$B$604,$B501)=0),"Core ID not found in Soil Data, so the corer diameter cannot be looked up. ","")&amp;IF(ASH_CORRECTED&lt;&gt;"Yes","Root mass is NOT ash-corrected, so it includes adhering mineral soil and is too high. Set ASH_CORRECTED once you have done it. ","")&amp;IF(AND(ASH_CORRECTED="Yes",NOT(ISNUMBER($H501))),"Ash correction is switched on but no ash fraction is given for this row. ","")&amp;IF($I501="","Sieve mesh not recorded — a fine-root figure cannot be interpreted without it. ","")&amp;IF(AND(ISNUMBER($H501),$H501&gt;0.5),"Ash fraction above 0.5 — over half this sample was mineral soil. Re-wash. ","")&amp;IF($F501="Not separated","Live and dead not separated. Fine for a stock, but "&amp;"note it in reporting. ",""))</f>
        <v/>
      </c>
      <c r="P501" s="6" t="n"/>
      <c r="Q501" s="9">
        <f>IF($B501="",0,IF(COUNTIFS($B$5:$B501,$B501)=1,1,0))</f>
        <v/>
      </c>
    </row>
    <row r="502">
      <c r="A502" s="6" t="n"/>
      <c r="B502" s="6" t="n"/>
      <c r="C502" s="6" t="n"/>
      <c r="D502" s="6" t="n"/>
      <c r="E502" s="6" t="n"/>
      <c r="F502" s="6" t="n"/>
      <c r="G502" s="7" t="n"/>
      <c r="H502" s="7" t="n"/>
      <c r="I502" s="6" t="n"/>
      <c r="J502" s="9">
        <f>IF(NOT(ISNUMBER($G502)),"",IF(AND(ASH_CORRECTED="Yes",ISNUMBER($H502)),$G502*(1-$H502),$G502))</f>
        <v/>
      </c>
      <c r="K502" s="9">
        <f>IF($B502="","",IFERROR(AVERAGEIFS('2. Soil Data'!$G$5:$G$604,'2. Soil Data'!$B$5:$B$604,$B502),""))</f>
        <v/>
      </c>
      <c r="L502" s="9">
        <f>IF(NOT(ISNUMBER($K502)),"",PI()*($K502/2)^2)</f>
        <v/>
      </c>
      <c r="M502" s="9">
        <f>IF(OR(NOT(ISNUMBER($J502)),NOT(ISNUMBER($L502)),$L502=0),"",$J502/$L502*10000)</f>
        <v/>
      </c>
      <c r="N502" s="9">
        <f>IF(NOT(ISNUMBER($M502)),"",$M502*CARBON_FRACTION_ROOT/1000)</f>
        <v/>
      </c>
      <c r="O502" s="11">
        <f>IF(AND($A502="",$B502="",$G502=""),"",IF(AND($B502&lt;&gt;"",COUNTIFS('2. Soil Data'!$B$5:$B$604,$B502)=0),"Core ID not found in Soil Data, so the corer diameter cannot be looked up. ","")&amp;IF(ASH_CORRECTED&lt;&gt;"Yes","Root mass is NOT ash-corrected, so it includes adhering mineral soil and is too high. Set ASH_CORRECTED once you have done it. ","")&amp;IF(AND(ASH_CORRECTED="Yes",NOT(ISNUMBER($H502))),"Ash correction is switched on but no ash fraction is given for this row. ","")&amp;IF($I502="","Sieve mesh not recorded — a fine-root figure cannot be interpreted without it. ","")&amp;IF(AND(ISNUMBER($H502),$H502&gt;0.5),"Ash fraction above 0.5 — over half this sample was mineral soil. Re-wash. ","")&amp;IF($F502="Not separated","Live and dead not separated. Fine for a stock, but "&amp;"note it in reporting. ",""))</f>
        <v/>
      </c>
      <c r="P502" s="6" t="n"/>
      <c r="Q502" s="9">
        <f>IF($B502="",0,IF(COUNTIFS($B$5:$B502,$B502)=1,1,0))</f>
        <v/>
      </c>
    </row>
    <row r="503">
      <c r="A503" s="6" t="n"/>
      <c r="B503" s="6" t="n"/>
      <c r="C503" s="6" t="n"/>
      <c r="D503" s="6" t="n"/>
      <c r="E503" s="6" t="n"/>
      <c r="F503" s="6" t="n"/>
      <c r="G503" s="7" t="n"/>
      <c r="H503" s="7" t="n"/>
      <c r="I503" s="6" t="n"/>
      <c r="J503" s="9">
        <f>IF(NOT(ISNUMBER($G503)),"",IF(AND(ASH_CORRECTED="Yes",ISNUMBER($H503)),$G503*(1-$H503),$G503))</f>
        <v/>
      </c>
      <c r="K503" s="9">
        <f>IF($B503="","",IFERROR(AVERAGEIFS('2. Soil Data'!$G$5:$G$604,'2. Soil Data'!$B$5:$B$604,$B503),""))</f>
        <v/>
      </c>
      <c r="L503" s="9">
        <f>IF(NOT(ISNUMBER($K503)),"",PI()*($K503/2)^2)</f>
        <v/>
      </c>
      <c r="M503" s="9">
        <f>IF(OR(NOT(ISNUMBER($J503)),NOT(ISNUMBER($L503)),$L503=0),"",$J503/$L503*10000)</f>
        <v/>
      </c>
      <c r="N503" s="9">
        <f>IF(NOT(ISNUMBER($M503)),"",$M503*CARBON_FRACTION_ROOT/1000)</f>
        <v/>
      </c>
      <c r="O503" s="11">
        <f>IF(AND($A503="",$B503="",$G503=""),"",IF(AND($B503&lt;&gt;"",COUNTIFS('2. Soil Data'!$B$5:$B$604,$B503)=0),"Core ID not found in Soil Data, so the corer diameter cannot be looked up. ","")&amp;IF(ASH_CORRECTED&lt;&gt;"Yes","Root mass is NOT ash-corrected, so it includes adhering mineral soil and is too high. Set ASH_CORRECTED once you have done it. ","")&amp;IF(AND(ASH_CORRECTED="Yes",NOT(ISNUMBER($H503))),"Ash correction is switched on but no ash fraction is given for this row. ","")&amp;IF($I503="","Sieve mesh not recorded — a fine-root figure cannot be interpreted without it. ","")&amp;IF(AND(ISNUMBER($H503),$H503&gt;0.5),"Ash fraction above 0.5 — over half this sample was mineral soil. Re-wash. ","")&amp;IF($F503="Not separated","Live and dead not separated. Fine for a stock, but "&amp;"note it in reporting. ",""))</f>
        <v/>
      </c>
      <c r="P503" s="6" t="n"/>
      <c r="Q503" s="9">
        <f>IF($B503="",0,IF(COUNTIFS($B$5:$B503,$B503)=1,1,0))</f>
        <v/>
      </c>
    </row>
    <row r="504">
      <c r="A504" s="6" t="n"/>
      <c r="B504" s="6" t="n"/>
      <c r="C504" s="6" t="n"/>
      <c r="D504" s="6" t="n"/>
      <c r="E504" s="6" t="n"/>
      <c r="F504" s="6" t="n"/>
      <c r="G504" s="7" t="n"/>
      <c r="H504" s="7" t="n"/>
      <c r="I504" s="6" t="n"/>
      <c r="J504" s="9">
        <f>IF(NOT(ISNUMBER($G504)),"",IF(AND(ASH_CORRECTED="Yes",ISNUMBER($H504)),$G504*(1-$H504),$G504))</f>
        <v/>
      </c>
      <c r="K504" s="9">
        <f>IF($B504="","",IFERROR(AVERAGEIFS('2. Soil Data'!$G$5:$G$604,'2. Soil Data'!$B$5:$B$604,$B504),""))</f>
        <v/>
      </c>
      <c r="L504" s="9">
        <f>IF(NOT(ISNUMBER($K504)),"",PI()*($K504/2)^2)</f>
        <v/>
      </c>
      <c r="M504" s="9">
        <f>IF(OR(NOT(ISNUMBER($J504)),NOT(ISNUMBER($L504)),$L504=0),"",$J504/$L504*10000)</f>
        <v/>
      </c>
      <c r="N504" s="9">
        <f>IF(NOT(ISNUMBER($M504)),"",$M504*CARBON_FRACTION_ROOT/1000)</f>
        <v/>
      </c>
      <c r="O504" s="11">
        <f>IF(AND($A504="",$B504="",$G504=""),"",IF(AND($B504&lt;&gt;"",COUNTIFS('2. Soil Data'!$B$5:$B$604,$B504)=0),"Core ID not found in Soil Data, so the corer diameter cannot be looked up. ","")&amp;IF(ASH_CORRECTED&lt;&gt;"Yes","Root mass is NOT ash-corrected, so it includes adhering mineral soil and is too high. Set ASH_CORRECTED once you have done it. ","")&amp;IF(AND(ASH_CORRECTED="Yes",NOT(ISNUMBER($H504))),"Ash correction is switched on but no ash fraction is given for this row. ","")&amp;IF($I504="","Sieve mesh not recorded — a fine-root figure cannot be interpreted without it. ","")&amp;IF(AND(ISNUMBER($H504),$H504&gt;0.5),"Ash fraction above 0.5 — over half this sample was mineral soil. Re-wash. ","")&amp;IF($F504="Not separated","Live and dead not separated. Fine for a stock, but "&amp;"note it in reporting. ",""))</f>
        <v/>
      </c>
      <c r="P504" s="6" t="n"/>
      <c r="Q504" s="9">
        <f>IF($B504="",0,IF(COUNTIFS($B$5:$B504,$B504)=1,1,0))</f>
        <v/>
      </c>
    </row>
    <row r="505">
      <c r="A505" s="6" t="n"/>
      <c r="B505" s="6" t="n"/>
      <c r="C505" s="6" t="n"/>
      <c r="D505" s="6" t="n"/>
      <c r="E505" s="6" t="n"/>
      <c r="F505" s="6" t="n"/>
      <c r="G505" s="7" t="n"/>
      <c r="H505" s="7" t="n"/>
      <c r="I505" s="6" t="n"/>
      <c r="J505" s="9">
        <f>IF(NOT(ISNUMBER($G505)),"",IF(AND(ASH_CORRECTED="Yes",ISNUMBER($H505)),$G505*(1-$H505),$G505))</f>
        <v/>
      </c>
      <c r="K505" s="9">
        <f>IF($B505="","",IFERROR(AVERAGEIFS('2. Soil Data'!$G$5:$G$604,'2. Soil Data'!$B$5:$B$604,$B505),""))</f>
        <v/>
      </c>
      <c r="L505" s="9">
        <f>IF(NOT(ISNUMBER($K505)),"",PI()*($K505/2)^2)</f>
        <v/>
      </c>
      <c r="M505" s="9">
        <f>IF(OR(NOT(ISNUMBER($J505)),NOT(ISNUMBER($L505)),$L505=0),"",$J505/$L505*10000)</f>
        <v/>
      </c>
      <c r="N505" s="9">
        <f>IF(NOT(ISNUMBER($M505)),"",$M505*CARBON_FRACTION_ROOT/1000)</f>
        <v/>
      </c>
      <c r="O505" s="11">
        <f>IF(AND($A505="",$B505="",$G505=""),"",IF(AND($B505&lt;&gt;"",COUNTIFS('2. Soil Data'!$B$5:$B$604,$B505)=0),"Core ID not found in Soil Data, so the corer diameter cannot be looked up. ","")&amp;IF(ASH_CORRECTED&lt;&gt;"Yes","Root mass is NOT ash-corrected, so it includes adhering mineral soil and is too high. Set ASH_CORRECTED once you have done it. ","")&amp;IF(AND(ASH_CORRECTED="Yes",NOT(ISNUMBER($H505))),"Ash correction is switched on but no ash fraction is given for this row. ","")&amp;IF($I505="","Sieve mesh not recorded — a fine-root figure cannot be interpreted without it. ","")&amp;IF(AND(ISNUMBER($H505),$H505&gt;0.5),"Ash fraction above 0.5 — over half this sample was mineral soil. Re-wash. ","")&amp;IF($F505="Not separated","Live and dead not separated. Fine for a stock, but "&amp;"note it in reporting. ",""))</f>
        <v/>
      </c>
      <c r="P505" s="6" t="n"/>
      <c r="Q505" s="9">
        <f>IF($B505="",0,IF(COUNTIFS($B$5:$B505,$B505)=1,1,0))</f>
        <v/>
      </c>
    </row>
    <row r="506">
      <c r="A506" s="6" t="n"/>
      <c r="B506" s="6" t="n"/>
      <c r="C506" s="6" t="n"/>
      <c r="D506" s="6" t="n"/>
      <c r="E506" s="6" t="n"/>
      <c r="F506" s="6" t="n"/>
      <c r="G506" s="7" t="n"/>
      <c r="H506" s="7" t="n"/>
      <c r="I506" s="6" t="n"/>
      <c r="J506" s="9">
        <f>IF(NOT(ISNUMBER($G506)),"",IF(AND(ASH_CORRECTED="Yes",ISNUMBER($H506)),$G506*(1-$H506),$G506))</f>
        <v/>
      </c>
      <c r="K506" s="9">
        <f>IF($B506="","",IFERROR(AVERAGEIFS('2. Soil Data'!$G$5:$G$604,'2. Soil Data'!$B$5:$B$604,$B506),""))</f>
        <v/>
      </c>
      <c r="L506" s="9">
        <f>IF(NOT(ISNUMBER($K506)),"",PI()*($K506/2)^2)</f>
        <v/>
      </c>
      <c r="M506" s="9">
        <f>IF(OR(NOT(ISNUMBER($J506)),NOT(ISNUMBER($L506)),$L506=0),"",$J506/$L506*10000)</f>
        <v/>
      </c>
      <c r="N506" s="9">
        <f>IF(NOT(ISNUMBER($M506)),"",$M506*CARBON_FRACTION_ROOT/1000)</f>
        <v/>
      </c>
      <c r="O506" s="11">
        <f>IF(AND($A506="",$B506="",$G506=""),"",IF(AND($B506&lt;&gt;"",COUNTIFS('2. Soil Data'!$B$5:$B$604,$B506)=0),"Core ID not found in Soil Data, so the corer diameter cannot be looked up. ","")&amp;IF(ASH_CORRECTED&lt;&gt;"Yes","Root mass is NOT ash-corrected, so it includes adhering mineral soil and is too high. Set ASH_CORRECTED once you have done it. ","")&amp;IF(AND(ASH_CORRECTED="Yes",NOT(ISNUMBER($H506))),"Ash correction is switched on but no ash fraction is given for this row. ","")&amp;IF($I506="","Sieve mesh not recorded — a fine-root figure cannot be interpreted without it. ","")&amp;IF(AND(ISNUMBER($H506),$H506&gt;0.5),"Ash fraction above 0.5 — over half this sample was mineral soil. Re-wash. ","")&amp;IF($F506="Not separated","Live and dead not separated. Fine for a stock, but "&amp;"note it in reporting. ",""))</f>
        <v/>
      </c>
      <c r="P506" s="6" t="n"/>
      <c r="Q506" s="9">
        <f>IF($B506="",0,IF(COUNTIFS($B$5:$B506,$B506)=1,1,0))</f>
        <v/>
      </c>
    </row>
    <row r="507">
      <c r="A507" s="6" t="n"/>
      <c r="B507" s="6" t="n"/>
      <c r="C507" s="6" t="n"/>
      <c r="D507" s="6" t="n"/>
      <c r="E507" s="6" t="n"/>
      <c r="F507" s="6" t="n"/>
      <c r="G507" s="7" t="n"/>
      <c r="H507" s="7" t="n"/>
      <c r="I507" s="6" t="n"/>
      <c r="J507" s="9">
        <f>IF(NOT(ISNUMBER($G507)),"",IF(AND(ASH_CORRECTED="Yes",ISNUMBER($H507)),$G507*(1-$H507),$G507))</f>
        <v/>
      </c>
      <c r="K507" s="9">
        <f>IF($B507="","",IFERROR(AVERAGEIFS('2. Soil Data'!$G$5:$G$604,'2. Soil Data'!$B$5:$B$604,$B507),""))</f>
        <v/>
      </c>
      <c r="L507" s="9">
        <f>IF(NOT(ISNUMBER($K507)),"",PI()*($K507/2)^2)</f>
        <v/>
      </c>
      <c r="M507" s="9">
        <f>IF(OR(NOT(ISNUMBER($J507)),NOT(ISNUMBER($L507)),$L507=0),"",$J507/$L507*10000)</f>
        <v/>
      </c>
      <c r="N507" s="9">
        <f>IF(NOT(ISNUMBER($M507)),"",$M507*CARBON_FRACTION_ROOT/1000)</f>
        <v/>
      </c>
      <c r="O507" s="11">
        <f>IF(AND($A507="",$B507="",$G507=""),"",IF(AND($B507&lt;&gt;"",COUNTIFS('2. Soil Data'!$B$5:$B$604,$B507)=0),"Core ID not found in Soil Data, so the corer diameter cannot be looked up. ","")&amp;IF(ASH_CORRECTED&lt;&gt;"Yes","Root mass is NOT ash-corrected, so it includes adhering mineral soil and is too high. Set ASH_CORRECTED once you have done it. ","")&amp;IF(AND(ASH_CORRECTED="Yes",NOT(ISNUMBER($H507))),"Ash correction is switched on but no ash fraction is given for this row. ","")&amp;IF($I507="","Sieve mesh not recorded — a fine-root figure cannot be interpreted without it. ","")&amp;IF(AND(ISNUMBER($H507),$H507&gt;0.5),"Ash fraction above 0.5 — over half this sample was mineral soil. Re-wash. ","")&amp;IF($F507="Not separated","Live and dead not separated. Fine for a stock, but "&amp;"note it in reporting. ",""))</f>
        <v/>
      </c>
      <c r="P507" s="6" t="n"/>
      <c r="Q507" s="9">
        <f>IF($B507="",0,IF(COUNTIFS($B$5:$B507,$B507)=1,1,0))</f>
        <v/>
      </c>
    </row>
    <row r="508">
      <c r="A508" s="6" t="n"/>
      <c r="B508" s="6" t="n"/>
      <c r="C508" s="6" t="n"/>
      <c r="D508" s="6" t="n"/>
      <c r="E508" s="6" t="n"/>
      <c r="F508" s="6" t="n"/>
      <c r="G508" s="7" t="n"/>
      <c r="H508" s="7" t="n"/>
      <c r="I508" s="6" t="n"/>
      <c r="J508" s="9">
        <f>IF(NOT(ISNUMBER($G508)),"",IF(AND(ASH_CORRECTED="Yes",ISNUMBER($H508)),$G508*(1-$H508),$G508))</f>
        <v/>
      </c>
      <c r="K508" s="9">
        <f>IF($B508="","",IFERROR(AVERAGEIFS('2. Soil Data'!$G$5:$G$604,'2. Soil Data'!$B$5:$B$604,$B508),""))</f>
        <v/>
      </c>
      <c r="L508" s="9">
        <f>IF(NOT(ISNUMBER($K508)),"",PI()*($K508/2)^2)</f>
        <v/>
      </c>
      <c r="M508" s="9">
        <f>IF(OR(NOT(ISNUMBER($J508)),NOT(ISNUMBER($L508)),$L508=0),"",$J508/$L508*10000)</f>
        <v/>
      </c>
      <c r="N508" s="9">
        <f>IF(NOT(ISNUMBER($M508)),"",$M508*CARBON_FRACTION_ROOT/1000)</f>
        <v/>
      </c>
      <c r="O508" s="11">
        <f>IF(AND($A508="",$B508="",$G508=""),"",IF(AND($B508&lt;&gt;"",COUNTIFS('2. Soil Data'!$B$5:$B$604,$B508)=0),"Core ID not found in Soil Data, so the corer diameter cannot be looked up. ","")&amp;IF(ASH_CORRECTED&lt;&gt;"Yes","Root mass is NOT ash-corrected, so it includes adhering mineral soil and is too high. Set ASH_CORRECTED once you have done it. ","")&amp;IF(AND(ASH_CORRECTED="Yes",NOT(ISNUMBER($H508))),"Ash correction is switched on but no ash fraction is given for this row. ","")&amp;IF($I508="","Sieve mesh not recorded — a fine-root figure cannot be interpreted without it. ","")&amp;IF(AND(ISNUMBER($H508),$H508&gt;0.5),"Ash fraction above 0.5 — over half this sample was mineral soil. Re-wash. ","")&amp;IF($F508="Not separated","Live and dead not separated. Fine for a stock, but "&amp;"note it in reporting. ",""))</f>
        <v/>
      </c>
      <c r="P508" s="6" t="n"/>
      <c r="Q508" s="9">
        <f>IF($B508="",0,IF(COUNTIFS($B$5:$B508,$B508)=1,1,0))</f>
        <v/>
      </c>
    </row>
    <row r="509">
      <c r="A509" s="6" t="n"/>
      <c r="B509" s="6" t="n"/>
      <c r="C509" s="6" t="n"/>
      <c r="D509" s="6" t="n"/>
      <c r="E509" s="6" t="n"/>
      <c r="F509" s="6" t="n"/>
      <c r="G509" s="7" t="n"/>
      <c r="H509" s="7" t="n"/>
      <c r="I509" s="6" t="n"/>
      <c r="J509" s="9">
        <f>IF(NOT(ISNUMBER($G509)),"",IF(AND(ASH_CORRECTED="Yes",ISNUMBER($H509)),$G509*(1-$H509),$G509))</f>
        <v/>
      </c>
      <c r="K509" s="9">
        <f>IF($B509="","",IFERROR(AVERAGEIFS('2. Soil Data'!$G$5:$G$604,'2. Soil Data'!$B$5:$B$604,$B509),""))</f>
        <v/>
      </c>
      <c r="L509" s="9">
        <f>IF(NOT(ISNUMBER($K509)),"",PI()*($K509/2)^2)</f>
        <v/>
      </c>
      <c r="M509" s="9">
        <f>IF(OR(NOT(ISNUMBER($J509)),NOT(ISNUMBER($L509)),$L509=0),"",$J509/$L509*10000)</f>
        <v/>
      </c>
      <c r="N509" s="9">
        <f>IF(NOT(ISNUMBER($M509)),"",$M509*CARBON_FRACTION_ROOT/1000)</f>
        <v/>
      </c>
      <c r="O509" s="11">
        <f>IF(AND($A509="",$B509="",$G509=""),"",IF(AND($B509&lt;&gt;"",COUNTIFS('2. Soil Data'!$B$5:$B$604,$B509)=0),"Core ID not found in Soil Data, so the corer diameter cannot be looked up. ","")&amp;IF(ASH_CORRECTED&lt;&gt;"Yes","Root mass is NOT ash-corrected, so it includes adhering mineral soil and is too high. Set ASH_CORRECTED once you have done it. ","")&amp;IF(AND(ASH_CORRECTED="Yes",NOT(ISNUMBER($H509))),"Ash correction is switched on but no ash fraction is given for this row. ","")&amp;IF($I509="","Sieve mesh not recorded — a fine-root figure cannot be interpreted without it. ","")&amp;IF(AND(ISNUMBER($H509),$H509&gt;0.5),"Ash fraction above 0.5 — over half this sample was mineral soil. Re-wash. ","")&amp;IF($F509="Not separated","Live and dead not separated. Fine for a stock, but "&amp;"note it in reporting. ",""))</f>
        <v/>
      </c>
      <c r="P509" s="6" t="n"/>
      <c r="Q509" s="9">
        <f>IF($B509="",0,IF(COUNTIFS($B$5:$B509,$B509)=1,1,0))</f>
        <v/>
      </c>
    </row>
    <row r="510">
      <c r="A510" s="6" t="n"/>
      <c r="B510" s="6" t="n"/>
      <c r="C510" s="6" t="n"/>
      <c r="D510" s="6" t="n"/>
      <c r="E510" s="6" t="n"/>
      <c r="F510" s="6" t="n"/>
      <c r="G510" s="7" t="n"/>
      <c r="H510" s="7" t="n"/>
      <c r="I510" s="6" t="n"/>
      <c r="J510" s="9">
        <f>IF(NOT(ISNUMBER($G510)),"",IF(AND(ASH_CORRECTED="Yes",ISNUMBER($H510)),$G510*(1-$H510),$G510))</f>
        <v/>
      </c>
      <c r="K510" s="9">
        <f>IF($B510="","",IFERROR(AVERAGEIFS('2. Soil Data'!$G$5:$G$604,'2. Soil Data'!$B$5:$B$604,$B510),""))</f>
        <v/>
      </c>
      <c r="L510" s="9">
        <f>IF(NOT(ISNUMBER($K510)),"",PI()*($K510/2)^2)</f>
        <v/>
      </c>
      <c r="M510" s="9">
        <f>IF(OR(NOT(ISNUMBER($J510)),NOT(ISNUMBER($L510)),$L510=0),"",$J510/$L510*10000)</f>
        <v/>
      </c>
      <c r="N510" s="9">
        <f>IF(NOT(ISNUMBER($M510)),"",$M510*CARBON_FRACTION_ROOT/1000)</f>
        <v/>
      </c>
      <c r="O510" s="11">
        <f>IF(AND($A510="",$B510="",$G510=""),"",IF(AND($B510&lt;&gt;"",COUNTIFS('2. Soil Data'!$B$5:$B$604,$B510)=0),"Core ID not found in Soil Data, so the corer diameter cannot be looked up. ","")&amp;IF(ASH_CORRECTED&lt;&gt;"Yes","Root mass is NOT ash-corrected, so it includes adhering mineral soil and is too high. Set ASH_CORRECTED once you have done it. ","")&amp;IF(AND(ASH_CORRECTED="Yes",NOT(ISNUMBER($H510))),"Ash correction is switched on but no ash fraction is given for this row. ","")&amp;IF($I510="","Sieve mesh not recorded — a fine-root figure cannot be interpreted without it. ","")&amp;IF(AND(ISNUMBER($H510),$H510&gt;0.5),"Ash fraction above 0.5 — over half this sample was mineral soil. Re-wash. ","")&amp;IF($F510="Not separated","Live and dead not separated. Fine for a stock, but "&amp;"note it in reporting. ",""))</f>
        <v/>
      </c>
      <c r="P510" s="6" t="n"/>
      <c r="Q510" s="9">
        <f>IF($B510="",0,IF(COUNTIFS($B$5:$B510,$B510)=1,1,0))</f>
        <v/>
      </c>
    </row>
    <row r="511">
      <c r="A511" s="6" t="n"/>
      <c r="B511" s="6" t="n"/>
      <c r="C511" s="6" t="n"/>
      <c r="D511" s="6" t="n"/>
      <c r="E511" s="6" t="n"/>
      <c r="F511" s="6" t="n"/>
      <c r="G511" s="7" t="n"/>
      <c r="H511" s="7" t="n"/>
      <c r="I511" s="6" t="n"/>
      <c r="J511" s="9">
        <f>IF(NOT(ISNUMBER($G511)),"",IF(AND(ASH_CORRECTED="Yes",ISNUMBER($H511)),$G511*(1-$H511),$G511))</f>
        <v/>
      </c>
      <c r="K511" s="9">
        <f>IF($B511="","",IFERROR(AVERAGEIFS('2. Soil Data'!$G$5:$G$604,'2. Soil Data'!$B$5:$B$604,$B511),""))</f>
        <v/>
      </c>
      <c r="L511" s="9">
        <f>IF(NOT(ISNUMBER($K511)),"",PI()*($K511/2)^2)</f>
        <v/>
      </c>
      <c r="M511" s="9">
        <f>IF(OR(NOT(ISNUMBER($J511)),NOT(ISNUMBER($L511)),$L511=0),"",$J511/$L511*10000)</f>
        <v/>
      </c>
      <c r="N511" s="9">
        <f>IF(NOT(ISNUMBER($M511)),"",$M511*CARBON_FRACTION_ROOT/1000)</f>
        <v/>
      </c>
      <c r="O511" s="11">
        <f>IF(AND($A511="",$B511="",$G511=""),"",IF(AND($B511&lt;&gt;"",COUNTIFS('2. Soil Data'!$B$5:$B$604,$B511)=0),"Core ID not found in Soil Data, so the corer diameter cannot be looked up. ","")&amp;IF(ASH_CORRECTED&lt;&gt;"Yes","Root mass is NOT ash-corrected, so it includes adhering mineral soil and is too high. Set ASH_CORRECTED once you have done it. ","")&amp;IF(AND(ASH_CORRECTED="Yes",NOT(ISNUMBER($H511))),"Ash correction is switched on but no ash fraction is given for this row. ","")&amp;IF($I511="","Sieve mesh not recorded — a fine-root figure cannot be interpreted without it. ","")&amp;IF(AND(ISNUMBER($H511),$H511&gt;0.5),"Ash fraction above 0.5 — over half this sample was mineral soil. Re-wash. ","")&amp;IF($F511="Not separated","Live and dead not separated. Fine for a stock, but "&amp;"note it in reporting. ",""))</f>
        <v/>
      </c>
      <c r="P511" s="6" t="n"/>
      <c r="Q511" s="9">
        <f>IF($B511="",0,IF(COUNTIFS($B$5:$B511,$B511)=1,1,0))</f>
        <v/>
      </c>
    </row>
    <row r="512">
      <c r="A512" s="6" t="n"/>
      <c r="B512" s="6" t="n"/>
      <c r="C512" s="6" t="n"/>
      <c r="D512" s="6" t="n"/>
      <c r="E512" s="6" t="n"/>
      <c r="F512" s="6" t="n"/>
      <c r="G512" s="7" t="n"/>
      <c r="H512" s="7" t="n"/>
      <c r="I512" s="6" t="n"/>
      <c r="J512" s="9">
        <f>IF(NOT(ISNUMBER($G512)),"",IF(AND(ASH_CORRECTED="Yes",ISNUMBER($H512)),$G512*(1-$H512),$G512))</f>
        <v/>
      </c>
      <c r="K512" s="9">
        <f>IF($B512="","",IFERROR(AVERAGEIFS('2. Soil Data'!$G$5:$G$604,'2. Soil Data'!$B$5:$B$604,$B512),""))</f>
        <v/>
      </c>
      <c r="L512" s="9">
        <f>IF(NOT(ISNUMBER($K512)),"",PI()*($K512/2)^2)</f>
        <v/>
      </c>
      <c r="M512" s="9">
        <f>IF(OR(NOT(ISNUMBER($J512)),NOT(ISNUMBER($L512)),$L512=0),"",$J512/$L512*10000)</f>
        <v/>
      </c>
      <c r="N512" s="9">
        <f>IF(NOT(ISNUMBER($M512)),"",$M512*CARBON_FRACTION_ROOT/1000)</f>
        <v/>
      </c>
      <c r="O512" s="11">
        <f>IF(AND($A512="",$B512="",$G512=""),"",IF(AND($B512&lt;&gt;"",COUNTIFS('2. Soil Data'!$B$5:$B$604,$B512)=0),"Core ID not found in Soil Data, so the corer diameter cannot be looked up. ","")&amp;IF(ASH_CORRECTED&lt;&gt;"Yes","Root mass is NOT ash-corrected, so it includes adhering mineral soil and is too high. Set ASH_CORRECTED once you have done it. ","")&amp;IF(AND(ASH_CORRECTED="Yes",NOT(ISNUMBER($H512))),"Ash correction is switched on but no ash fraction is given for this row. ","")&amp;IF($I512="","Sieve mesh not recorded — a fine-root figure cannot be interpreted without it. ","")&amp;IF(AND(ISNUMBER($H512),$H512&gt;0.5),"Ash fraction above 0.5 — over half this sample was mineral soil. Re-wash. ","")&amp;IF($F512="Not separated","Live and dead not separated. Fine for a stock, but "&amp;"note it in reporting. ",""))</f>
        <v/>
      </c>
      <c r="P512" s="6" t="n"/>
      <c r="Q512" s="9">
        <f>IF($B512="",0,IF(COUNTIFS($B$5:$B512,$B512)=1,1,0))</f>
        <v/>
      </c>
    </row>
    <row r="513">
      <c r="A513" s="6" t="n"/>
      <c r="B513" s="6" t="n"/>
      <c r="C513" s="6" t="n"/>
      <c r="D513" s="6" t="n"/>
      <c r="E513" s="6" t="n"/>
      <c r="F513" s="6" t="n"/>
      <c r="G513" s="7" t="n"/>
      <c r="H513" s="7" t="n"/>
      <c r="I513" s="6" t="n"/>
      <c r="J513" s="9">
        <f>IF(NOT(ISNUMBER($G513)),"",IF(AND(ASH_CORRECTED="Yes",ISNUMBER($H513)),$G513*(1-$H513),$G513))</f>
        <v/>
      </c>
      <c r="K513" s="9">
        <f>IF($B513="","",IFERROR(AVERAGEIFS('2. Soil Data'!$G$5:$G$604,'2. Soil Data'!$B$5:$B$604,$B513),""))</f>
        <v/>
      </c>
      <c r="L513" s="9">
        <f>IF(NOT(ISNUMBER($K513)),"",PI()*($K513/2)^2)</f>
        <v/>
      </c>
      <c r="M513" s="9">
        <f>IF(OR(NOT(ISNUMBER($J513)),NOT(ISNUMBER($L513)),$L513=0),"",$J513/$L513*10000)</f>
        <v/>
      </c>
      <c r="N513" s="9">
        <f>IF(NOT(ISNUMBER($M513)),"",$M513*CARBON_FRACTION_ROOT/1000)</f>
        <v/>
      </c>
      <c r="O513" s="11">
        <f>IF(AND($A513="",$B513="",$G513=""),"",IF(AND($B513&lt;&gt;"",COUNTIFS('2. Soil Data'!$B$5:$B$604,$B513)=0),"Core ID not found in Soil Data, so the corer diameter cannot be looked up. ","")&amp;IF(ASH_CORRECTED&lt;&gt;"Yes","Root mass is NOT ash-corrected, so it includes adhering mineral soil and is too high. Set ASH_CORRECTED once you have done it. ","")&amp;IF(AND(ASH_CORRECTED="Yes",NOT(ISNUMBER($H513))),"Ash correction is switched on but no ash fraction is given for this row. ","")&amp;IF($I513="","Sieve mesh not recorded — a fine-root figure cannot be interpreted without it. ","")&amp;IF(AND(ISNUMBER($H513),$H513&gt;0.5),"Ash fraction above 0.5 — over half this sample was mineral soil. Re-wash. ","")&amp;IF($F513="Not separated","Live and dead not separated. Fine for a stock, but "&amp;"note it in reporting. ",""))</f>
        <v/>
      </c>
      <c r="P513" s="6" t="n"/>
      <c r="Q513" s="9">
        <f>IF($B513="",0,IF(COUNTIFS($B$5:$B513,$B513)=1,1,0))</f>
        <v/>
      </c>
    </row>
    <row r="514">
      <c r="A514" s="6" t="n"/>
      <c r="B514" s="6" t="n"/>
      <c r="C514" s="6" t="n"/>
      <c r="D514" s="6" t="n"/>
      <c r="E514" s="6" t="n"/>
      <c r="F514" s="6" t="n"/>
      <c r="G514" s="7" t="n"/>
      <c r="H514" s="7" t="n"/>
      <c r="I514" s="6" t="n"/>
      <c r="J514" s="9">
        <f>IF(NOT(ISNUMBER($G514)),"",IF(AND(ASH_CORRECTED="Yes",ISNUMBER($H514)),$G514*(1-$H514),$G514))</f>
        <v/>
      </c>
      <c r="K514" s="9">
        <f>IF($B514="","",IFERROR(AVERAGEIFS('2. Soil Data'!$G$5:$G$604,'2. Soil Data'!$B$5:$B$604,$B514),""))</f>
        <v/>
      </c>
      <c r="L514" s="9">
        <f>IF(NOT(ISNUMBER($K514)),"",PI()*($K514/2)^2)</f>
        <v/>
      </c>
      <c r="M514" s="9">
        <f>IF(OR(NOT(ISNUMBER($J514)),NOT(ISNUMBER($L514)),$L514=0),"",$J514/$L514*10000)</f>
        <v/>
      </c>
      <c r="N514" s="9">
        <f>IF(NOT(ISNUMBER($M514)),"",$M514*CARBON_FRACTION_ROOT/1000)</f>
        <v/>
      </c>
      <c r="O514" s="11">
        <f>IF(AND($A514="",$B514="",$G514=""),"",IF(AND($B514&lt;&gt;"",COUNTIFS('2. Soil Data'!$B$5:$B$604,$B514)=0),"Core ID not found in Soil Data, so the corer diameter cannot be looked up. ","")&amp;IF(ASH_CORRECTED&lt;&gt;"Yes","Root mass is NOT ash-corrected, so it includes adhering mineral soil and is too high. Set ASH_CORRECTED once you have done it. ","")&amp;IF(AND(ASH_CORRECTED="Yes",NOT(ISNUMBER($H514))),"Ash correction is switched on but no ash fraction is given for this row. ","")&amp;IF($I514="","Sieve mesh not recorded — a fine-root figure cannot be interpreted without it. ","")&amp;IF(AND(ISNUMBER($H514),$H514&gt;0.5),"Ash fraction above 0.5 — over half this sample was mineral soil. Re-wash. ","")&amp;IF($F514="Not separated","Live and dead not separated. Fine for a stock, but "&amp;"note it in reporting. ",""))</f>
        <v/>
      </c>
      <c r="P514" s="6" t="n"/>
      <c r="Q514" s="9">
        <f>IF($B514="",0,IF(COUNTIFS($B$5:$B514,$B514)=1,1,0))</f>
        <v/>
      </c>
    </row>
    <row r="515">
      <c r="A515" s="6" t="n"/>
      <c r="B515" s="6" t="n"/>
      <c r="C515" s="6" t="n"/>
      <c r="D515" s="6" t="n"/>
      <c r="E515" s="6" t="n"/>
      <c r="F515" s="6" t="n"/>
      <c r="G515" s="7" t="n"/>
      <c r="H515" s="7" t="n"/>
      <c r="I515" s="6" t="n"/>
      <c r="J515" s="9">
        <f>IF(NOT(ISNUMBER($G515)),"",IF(AND(ASH_CORRECTED="Yes",ISNUMBER($H515)),$G515*(1-$H515),$G515))</f>
        <v/>
      </c>
      <c r="K515" s="9">
        <f>IF($B515="","",IFERROR(AVERAGEIFS('2. Soil Data'!$G$5:$G$604,'2. Soil Data'!$B$5:$B$604,$B515),""))</f>
        <v/>
      </c>
      <c r="L515" s="9">
        <f>IF(NOT(ISNUMBER($K515)),"",PI()*($K515/2)^2)</f>
        <v/>
      </c>
      <c r="M515" s="9">
        <f>IF(OR(NOT(ISNUMBER($J515)),NOT(ISNUMBER($L515)),$L515=0),"",$J515/$L515*10000)</f>
        <v/>
      </c>
      <c r="N515" s="9">
        <f>IF(NOT(ISNUMBER($M515)),"",$M515*CARBON_FRACTION_ROOT/1000)</f>
        <v/>
      </c>
      <c r="O515" s="11">
        <f>IF(AND($A515="",$B515="",$G515=""),"",IF(AND($B515&lt;&gt;"",COUNTIFS('2. Soil Data'!$B$5:$B$604,$B515)=0),"Core ID not found in Soil Data, so the corer diameter cannot be looked up. ","")&amp;IF(ASH_CORRECTED&lt;&gt;"Yes","Root mass is NOT ash-corrected, so it includes adhering mineral soil and is too high. Set ASH_CORRECTED once you have done it. ","")&amp;IF(AND(ASH_CORRECTED="Yes",NOT(ISNUMBER($H515))),"Ash correction is switched on but no ash fraction is given for this row. ","")&amp;IF($I515="","Sieve mesh not recorded — a fine-root figure cannot be interpreted without it. ","")&amp;IF(AND(ISNUMBER($H515),$H515&gt;0.5),"Ash fraction above 0.5 — over half this sample was mineral soil. Re-wash. ","")&amp;IF($F515="Not separated","Live and dead not separated. Fine for a stock, but "&amp;"note it in reporting. ",""))</f>
        <v/>
      </c>
      <c r="P515" s="6" t="n"/>
      <c r="Q515" s="9">
        <f>IF($B515="",0,IF(COUNTIFS($B$5:$B515,$B515)=1,1,0))</f>
        <v/>
      </c>
    </row>
    <row r="516">
      <c r="A516" s="6" t="n"/>
      <c r="B516" s="6" t="n"/>
      <c r="C516" s="6" t="n"/>
      <c r="D516" s="6" t="n"/>
      <c r="E516" s="6" t="n"/>
      <c r="F516" s="6" t="n"/>
      <c r="G516" s="7" t="n"/>
      <c r="H516" s="7" t="n"/>
      <c r="I516" s="6" t="n"/>
      <c r="J516" s="9">
        <f>IF(NOT(ISNUMBER($G516)),"",IF(AND(ASH_CORRECTED="Yes",ISNUMBER($H516)),$G516*(1-$H516),$G516))</f>
        <v/>
      </c>
      <c r="K516" s="9">
        <f>IF($B516="","",IFERROR(AVERAGEIFS('2. Soil Data'!$G$5:$G$604,'2. Soil Data'!$B$5:$B$604,$B516),""))</f>
        <v/>
      </c>
      <c r="L516" s="9">
        <f>IF(NOT(ISNUMBER($K516)),"",PI()*($K516/2)^2)</f>
        <v/>
      </c>
      <c r="M516" s="9">
        <f>IF(OR(NOT(ISNUMBER($J516)),NOT(ISNUMBER($L516)),$L516=0),"",$J516/$L516*10000)</f>
        <v/>
      </c>
      <c r="N516" s="9">
        <f>IF(NOT(ISNUMBER($M516)),"",$M516*CARBON_FRACTION_ROOT/1000)</f>
        <v/>
      </c>
      <c r="O516" s="11">
        <f>IF(AND($A516="",$B516="",$G516=""),"",IF(AND($B516&lt;&gt;"",COUNTIFS('2. Soil Data'!$B$5:$B$604,$B516)=0),"Core ID not found in Soil Data, so the corer diameter cannot be looked up. ","")&amp;IF(ASH_CORRECTED&lt;&gt;"Yes","Root mass is NOT ash-corrected, so it includes adhering mineral soil and is too high. Set ASH_CORRECTED once you have done it. ","")&amp;IF(AND(ASH_CORRECTED="Yes",NOT(ISNUMBER($H516))),"Ash correction is switched on but no ash fraction is given for this row. ","")&amp;IF($I516="","Sieve mesh not recorded — a fine-root figure cannot be interpreted without it. ","")&amp;IF(AND(ISNUMBER($H516),$H516&gt;0.5),"Ash fraction above 0.5 — over half this sample was mineral soil. Re-wash. ","")&amp;IF($F516="Not separated","Live and dead not separated. Fine for a stock, but "&amp;"note it in reporting. ",""))</f>
        <v/>
      </c>
      <c r="P516" s="6" t="n"/>
      <c r="Q516" s="9">
        <f>IF($B516="",0,IF(COUNTIFS($B$5:$B516,$B516)=1,1,0))</f>
        <v/>
      </c>
    </row>
    <row r="517">
      <c r="A517" s="6" t="n"/>
      <c r="B517" s="6" t="n"/>
      <c r="C517" s="6" t="n"/>
      <c r="D517" s="6" t="n"/>
      <c r="E517" s="6" t="n"/>
      <c r="F517" s="6" t="n"/>
      <c r="G517" s="7" t="n"/>
      <c r="H517" s="7" t="n"/>
      <c r="I517" s="6" t="n"/>
      <c r="J517" s="9">
        <f>IF(NOT(ISNUMBER($G517)),"",IF(AND(ASH_CORRECTED="Yes",ISNUMBER($H517)),$G517*(1-$H517),$G517))</f>
        <v/>
      </c>
      <c r="K517" s="9">
        <f>IF($B517="","",IFERROR(AVERAGEIFS('2. Soil Data'!$G$5:$G$604,'2. Soil Data'!$B$5:$B$604,$B517),""))</f>
        <v/>
      </c>
      <c r="L517" s="9">
        <f>IF(NOT(ISNUMBER($K517)),"",PI()*($K517/2)^2)</f>
        <v/>
      </c>
      <c r="M517" s="9">
        <f>IF(OR(NOT(ISNUMBER($J517)),NOT(ISNUMBER($L517)),$L517=0),"",$J517/$L517*10000)</f>
        <v/>
      </c>
      <c r="N517" s="9">
        <f>IF(NOT(ISNUMBER($M517)),"",$M517*CARBON_FRACTION_ROOT/1000)</f>
        <v/>
      </c>
      <c r="O517" s="11">
        <f>IF(AND($A517="",$B517="",$G517=""),"",IF(AND($B517&lt;&gt;"",COUNTIFS('2. Soil Data'!$B$5:$B$604,$B517)=0),"Core ID not found in Soil Data, so the corer diameter cannot be looked up. ","")&amp;IF(ASH_CORRECTED&lt;&gt;"Yes","Root mass is NOT ash-corrected, so it includes adhering mineral soil and is too high. Set ASH_CORRECTED once you have done it. ","")&amp;IF(AND(ASH_CORRECTED="Yes",NOT(ISNUMBER($H517))),"Ash correction is switched on but no ash fraction is given for this row. ","")&amp;IF($I517="","Sieve mesh not recorded — a fine-root figure cannot be interpreted without it. ","")&amp;IF(AND(ISNUMBER($H517),$H517&gt;0.5),"Ash fraction above 0.5 — over half this sample was mineral soil. Re-wash. ","")&amp;IF($F517="Not separated","Live and dead not separated. Fine for a stock, but "&amp;"note it in reporting. ",""))</f>
        <v/>
      </c>
      <c r="P517" s="6" t="n"/>
      <c r="Q517" s="9">
        <f>IF($B517="",0,IF(COUNTIFS($B$5:$B517,$B517)=1,1,0))</f>
        <v/>
      </c>
    </row>
    <row r="518">
      <c r="A518" s="6" t="n"/>
      <c r="B518" s="6" t="n"/>
      <c r="C518" s="6" t="n"/>
      <c r="D518" s="6" t="n"/>
      <c r="E518" s="6" t="n"/>
      <c r="F518" s="6" t="n"/>
      <c r="G518" s="7" t="n"/>
      <c r="H518" s="7" t="n"/>
      <c r="I518" s="6" t="n"/>
      <c r="J518" s="9">
        <f>IF(NOT(ISNUMBER($G518)),"",IF(AND(ASH_CORRECTED="Yes",ISNUMBER($H518)),$G518*(1-$H518),$G518))</f>
        <v/>
      </c>
      <c r="K518" s="9">
        <f>IF($B518="","",IFERROR(AVERAGEIFS('2. Soil Data'!$G$5:$G$604,'2. Soil Data'!$B$5:$B$604,$B518),""))</f>
        <v/>
      </c>
      <c r="L518" s="9">
        <f>IF(NOT(ISNUMBER($K518)),"",PI()*($K518/2)^2)</f>
        <v/>
      </c>
      <c r="M518" s="9">
        <f>IF(OR(NOT(ISNUMBER($J518)),NOT(ISNUMBER($L518)),$L518=0),"",$J518/$L518*10000)</f>
        <v/>
      </c>
      <c r="N518" s="9">
        <f>IF(NOT(ISNUMBER($M518)),"",$M518*CARBON_FRACTION_ROOT/1000)</f>
        <v/>
      </c>
      <c r="O518" s="11">
        <f>IF(AND($A518="",$B518="",$G518=""),"",IF(AND($B518&lt;&gt;"",COUNTIFS('2. Soil Data'!$B$5:$B$604,$B518)=0),"Core ID not found in Soil Data, so the corer diameter cannot be looked up. ","")&amp;IF(ASH_CORRECTED&lt;&gt;"Yes","Root mass is NOT ash-corrected, so it includes adhering mineral soil and is too high. Set ASH_CORRECTED once you have done it. ","")&amp;IF(AND(ASH_CORRECTED="Yes",NOT(ISNUMBER($H518))),"Ash correction is switched on but no ash fraction is given for this row. ","")&amp;IF($I518="","Sieve mesh not recorded — a fine-root figure cannot be interpreted without it. ","")&amp;IF(AND(ISNUMBER($H518),$H518&gt;0.5),"Ash fraction above 0.5 — over half this sample was mineral soil. Re-wash. ","")&amp;IF($F518="Not separated","Live and dead not separated. Fine for a stock, but "&amp;"note it in reporting. ",""))</f>
        <v/>
      </c>
      <c r="P518" s="6" t="n"/>
      <c r="Q518" s="9">
        <f>IF($B518="",0,IF(COUNTIFS($B$5:$B518,$B518)=1,1,0))</f>
        <v/>
      </c>
    </row>
    <row r="519">
      <c r="A519" s="6" t="n"/>
      <c r="B519" s="6" t="n"/>
      <c r="C519" s="6" t="n"/>
      <c r="D519" s="6" t="n"/>
      <c r="E519" s="6" t="n"/>
      <c r="F519" s="6" t="n"/>
      <c r="G519" s="7" t="n"/>
      <c r="H519" s="7" t="n"/>
      <c r="I519" s="6" t="n"/>
      <c r="J519" s="9">
        <f>IF(NOT(ISNUMBER($G519)),"",IF(AND(ASH_CORRECTED="Yes",ISNUMBER($H519)),$G519*(1-$H519),$G519))</f>
        <v/>
      </c>
      <c r="K519" s="9">
        <f>IF($B519="","",IFERROR(AVERAGEIFS('2. Soil Data'!$G$5:$G$604,'2. Soil Data'!$B$5:$B$604,$B519),""))</f>
        <v/>
      </c>
      <c r="L519" s="9">
        <f>IF(NOT(ISNUMBER($K519)),"",PI()*($K519/2)^2)</f>
        <v/>
      </c>
      <c r="M519" s="9">
        <f>IF(OR(NOT(ISNUMBER($J519)),NOT(ISNUMBER($L519)),$L519=0),"",$J519/$L519*10000)</f>
        <v/>
      </c>
      <c r="N519" s="9">
        <f>IF(NOT(ISNUMBER($M519)),"",$M519*CARBON_FRACTION_ROOT/1000)</f>
        <v/>
      </c>
      <c r="O519" s="11">
        <f>IF(AND($A519="",$B519="",$G519=""),"",IF(AND($B519&lt;&gt;"",COUNTIFS('2. Soil Data'!$B$5:$B$604,$B519)=0),"Core ID not found in Soil Data, so the corer diameter cannot be looked up. ","")&amp;IF(ASH_CORRECTED&lt;&gt;"Yes","Root mass is NOT ash-corrected, so it includes adhering mineral soil and is too high. Set ASH_CORRECTED once you have done it. ","")&amp;IF(AND(ASH_CORRECTED="Yes",NOT(ISNUMBER($H519))),"Ash correction is switched on but no ash fraction is given for this row. ","")&amp;IF($I519="","Sieve mesh not recorded — a fine-root figure cannot be interpreted without it. ","")&amp;IF(AND(ISNUMBER($H519),$H519&gt;0.5),"Ash fraction above 0.5 — over half this sample was mineral soil. Re-wash. ","")&amp;IF($F519="Not separated","Live and dead not separated. Fine for a stock, but "&amp;"note it in reporting. ",""))</f>
        <v/>
      </c>
      <c r="P519" s="6" t="n"/>
      <c r="Q519" s="9">
        <f>IF($B519="",0,IF(COUNTIFS($B$5:$B519,$B519)=1,1,0))</f>
        <v/>
      </c>
    </row>
    <row r="520">
      <c r="A520" s="6" t="n"/>
      <c r="B520" s="6" t="n"/>
      <c r="C520" s="6" t="n"/>
      <c r="D520" s="6" t="n"/>
      <c r="E520" s="6" t="n"/>
      <c r="F520" s="6" t="n"/>
      <c r="G520" s="7" t="n"/>
      <c r="H520" s="7" t="n"/>
      <c r="I520" s="6" t="n"/>
      <c r="J520" s="9">
        <f>IF(NOT(ISNUMBER($G520)),"",IF(AND(ASH_CORRECTED="Yes",ISNUMBER($H520)),$G520*(1-$H520),$G520))</f>
        <v/>
      </c>
      <c r="K520" s="9">
        <f>IF($B520="","",IFERROR(AVERAGEIFS('2. Soil Data'!$G$5:$G$604,'2. Soil Data'!$B$5:$B$604,$B520),""))</f>
        <v/>
      </c>
      <c r="L520" s="9">
        <f>IF(NOT(ISNUMBER($K520)),"",PI()*($K520/2)^2)</f>
        <v/>
      </c>
      <c r="M520" s="9">
        <f>IF(OR(NOT(ISNUMBER($J520)),NOT(ISNUMBER($L520)),$L520=0),"",$J520/$L520*10000)</f>
        <v/>
      </c>
      <c r="N520" s="9">
        <f>IF(NOT(ISNUMBER($M520)),"",$M520*CARBON_FRACTION_ROOT/1000)</f>
        <v/>
      </c>
      <c r="O520" s="11">
        <f>IF(AND($A520="",$B520="",$G520=""),"",IF(AND($B520&lt;&gt;"",COUNTIFS('2. Soil Data'!$B$5:$B$604,$B520)=0),"Core ID not found in Soil Data, so the corer diameter cannot be looked up. ","")&amp;IF(ASH_CORRECTED&lt;&gt;"Yes","Root mass is NOT ash-corrected, so it includes adhering mineral soil and is too high. Set ASH_CORRECTED once you have done it. ","")&amp;IF(AND(ASH_CORRECTED="Yes",NOT(ISNUMBER($H520))),"Ash correction is switched on but no ash fraction is given for this row. ","")&amp;IF($I520="","Sieve mesh not recorded — a fine-root figure cannot be interpreted without it. ","")&amp;IF(AND(ISNUMBER($H520),$H520&gt;0.5),"Ash fraction above 0.5 — over half this sample was mineral soil. Re-wash. ","")&amp;IF($F520="Not separated","Live and dead not separated. Fine for a stock, but "&amp;"note it in reporting. ",""))</f>
        <v/>
      </c>
      <c r="P520" s="6" t="n"/>
      <c r="Q520" s="9">
        <f>IF($B520="",0,IF(COUNTIFS($B$5:$B520,$B520)=1,1,0))</f>
        <v/>
      </c>
    </row>
    <row r="521">
      <c r="A521" s="6" t="n"/>
      <c r="B521" s="6" t="n"/>
      <c r="C521" s="6" t="n"/>
      <c r="D521" s="6" t="n"/>
      <c r="E521" s="6" t="n"/>
      <c r="F521" s="6" t="n"/>
      <c r="G521" s="7" t="n"/>
      <c r="H521" s="7" t="n"/>
      <c r="I521" s="6" t="n"/>
      <c r="J521" s="9">
        <f>IF(NOT(ISNUMBER($G521)),"",IF(AND(ASH_CORRECTED="Yes",ISNUMBER($H521)),$G521*(1-$H521),$G521))</f>
        <v/>
      </c>
      <c r="K521" s="9">
        <f>IF($B521="","",IFERROR(AVERAGEIFS('2. Soil Data'!$G$5:$G$604,'2. Soil Data'!$B$5:$B$604,$B521),""))</f>
        <v/>
      </c>
      <c r="L521" s="9">
        <f>IF(NOT(ISNUMBER($K521)),"",PI()*($K521/2)^2)</f>
        <v/>
      </c>
      <c r="M521" s="9">
        <f>IF(OR(NOT(ISNUMBER($J521)),NOT(ISNUMBER($L521)),$L521=0),"",$J521/$L521*10000)</f>
        <v/>
      </c>
      <c r="N521" s="9">
        <f>IF(NOT(ISNUMBER($M521)),"",$M521*CARBON_FRACTION_ROOT/1000)</f>
        <v/>
      </c>
      <c r="O521" s="11">
        <f>IF(AND($A521="",$B521="",$G521=""),"",IF(AND($B521&lt;&gt;"",COUNTIFS('2. Soil Data'!$B$5:$B$604,$B521)=0),"Core ID not found in Soil Data, so the corer diameter cannot be looked up. ","")&amp;IF(ASH_CORRECTED&lt;&gt;"Yes","Root mass is NOT ash-corrected, so it includes adhering mineral soil and is too high. Set ASH_CORRECTED once you have done it. ","")&amp;IF(AND(ASH_CORRECTED="Yes",NOT(ISNUMBER($H521))),"Ash correction is switched on but no ash fraction is given for this row. ","")&amp;IF($I521="","Sieve mesh not recorded — a fine-root figure cannot be interpreted without it. ","")&amp;IF(AND(ISNUMBER($H521),$H521&gt;0.5),"Ash fraction above 0.5 — over half this sample was mineral soil. Re-wash. ","")&amp;IF($F521="Not separated","Live and dead not separated. Fine for a stock, but "&amp;"note it in reporting. ",""))</f>
        <v/>
      </c>
      <c r="P521" s="6" t="n"/>
      <c r="Q521" s="9">
        <f>IF($B521="",0,IF(COUNTIFS($B$5:$B521,$B521)=1,1,0))</f>
        <v/>
      </c>
    </row>
    <row r="522">
      <c r="A522" s="6" t="n"/>
      <c r="B522" s="6" t="n"/>
      <c r="C522" s="6" t="n"/>
      <c r="D522" s="6" t="n"/>
      <c r="E522" s="6" t="n"/>
      <c r="F522" s="6" t="n"/>
      <c r="G522" s="7" t="n"/>
      <c r="H522" s="7" t="n"/>
      <c r="I522" s="6" t="n"/>
      <c r="J522" s="9">
        <f>IF(NOT(ISNUMBER($G522)),"",IF(AND(ASH_CORRECTED="Yes",ISNUMBER($H522)),$G522*(1-$H522),$G522))</f>
        <v/>
      </c>
      <c r="K522" s="9">
        <f>IF($B522="","",IFERROR(AVERAGEIFS('2. Soil Data'!$G$5:$G$604,'2. Soil Data'!$B$5:$B$604,$B522),""))</f>
        <v/>
      </c>
      <c r="L522" s="9">
        <f>IF(NOT(ISNUMBER($K522)),"",PI()*($K522/2)^2)</f>
        <v/>
      </c>
      <c r="M522" s="9">
        <f>IF(OR(NOT(ISNUMBER($J522)),NOT(ISNUMBER($L522)),$L522=0),"",$J522/$L522*10000)</f>
        <v/>
      </c>
      <c r="N522" s="9">
        <f>IF(NOT(ISNUMBER($M522)),"",$M522*CARBON_FRACTION_ROOT/1000)</f>
        <v/>
      </c>
      <c r="O522" s="11">
        <f>IF(AND($A522="",$B522="",$G522=""),"",IF(AND($B522&lt;&gt;"",COUNTIFS('2. Soil Data'!$B$5:$B$604,$B522)=0),"Core ID not found in Soil Data, so the corer diameter cannot be looked up. ","")&amp;IF(ASH_CORRECTED&lt;&gt;"Yes","Root mass is NOT ash-corrected, so it includes adhering mineral soil and is too high. Set ASH_CORRECTED once you have done it. ","")&amp;IF(AND(ASH_CORRECTED="Yes",NOT(ISNUMBER($H522))),"Ash correction is switched on but no ash fraction is given for this row. ","")&amp;IF($I522="","Sieve mesh not recorded — a fine-root figure cannot be interpreted without it. ","")&amp;IF(AND(ISNUMBER($H522),$H522&gt;0.5),"Ash fraction above 0.5 — over half this sample was mineral soil. Re-wash. ","")&amp;IF($F522="Not separated","Live and dead not separated. Fine for a stock, but "&amp;"note it in reporting. ",""))</f>
        <v/>
      </c>
      <c r="P522" s="6" t="n"/>
      <c r="Q522" s="9">
        <f>IF($B522="",0,IF(COUNTIFS($B$5:$B522,$B522)=1,1,0))</f>
        <v/>
      </c>
    </row>
    <row r="523">
      <c r="A523" s="6" t="n"/>
      <c r="B523" s="6" t="n"/>
      <c r="C523" s="6" t="n"/>
      <c r="D523" s="6" t="n"/>
      <c r="E523" s="6" t="n"/>
      <c r="F523" s="6" t="n"/>
      <c r="G523" s="7" t="n"/>
      <c r="H523" s="7" t="n"/>
      <c r="I523" s="6" t="n"/>
      <c r="J523" s="9">
        <f>IF(NOT(ISNUMBER($G523)),"",IF(AND(ASH_CORRECTED="Yes",ISNUMBER($H523)),$G523*(1-$H523),$G523))</f>
        <v/>
      </c>
      <c r="K523" s="9">
        <f>IF($B523="","",IFERROR(AVERAGEIFS('2. Soil Data'!$G$5:$G$604,'2. Soil Data'!$B$5:$B$604,$B523),""))</f>
        <v/>
      </c>
      <c r="L523" s="9">
        <f>IF(NOT(ISNUMBER($K523)),"",PI()*($K523/2)^2)</f>
        <v/>
      </c>
      <c r="M523" s="9">
        <f>IF(OR(NOT(ISNUMBER($J523)),NOT(ISNUMBER($L523)),$L523=0),"",$J523/$L523*10000)</f>
        <v/>
      </c>
      <c r="N523" s="9">
        <f>IF(NOT(ISNUMBER($M523)),"",$M523*CARBON_FRACTION_ROOT/1000)</f>
        <v/>
      </c>
      <c r="O523" s="11">
        <f>IF(AND($A523="",$B523="",$G523=""),"",IF(AND($B523&lt;&gt;"",COUNTIFS('2. Soil Data'!$B$5:$B$604,$B523)=0),"Core ID not found in Soil Data, so the corer diameter cannot be looked up. ","")&amp;IF(ASH_CORRECTED&lt;&gt;"Yes","Root mass is NOT ash-corrected, so it includes adhering mineral soil and is too high. Set ASH_CORRECTED once you have done it. ","")&amp;IF(AND(ASH_CORRECTED="Yes",NOT(ISNUMBER($H523))),"Ash correction is switched on but no ash fraction is given for this row. ","")&amp;IF($I523="","Sieve mesh not recorded — a fine-root figure cannot be interpreted without it. ","")&amp;IF(AND(ISNUMBER($H523),$H523&gt;0.5),"Ash fraction above 0.5 — over half this sample was mineral soil. Re-wash. ","")&amp;IF($F523="Not separated","Live and dead not separated. Fine for a stock, but "&amp;"note it in reporting. ",""))</f>
        <v/>
      </c>
      <c r="P523" s="6" t="n"/>
      <c r="Q523" s="9">
        <f>IF($B523="",0,IF(COUNTIFS($B$5:$B523,$B523)=1,1,0))</f>
        <v/>
      </c>
    </row>
    <row r="524">
      <c r="A524" s="6" t="n"/>
      <c r="B524" s="6" t="n"/>
      <c r="C524" s="6" t="n"/>
      <c r="D524" s="6" t="n"/>
      <c r="E524" s="6" t="n"/>
      <c r="F524" s="6" t="n"/>
      <c r="G524" s="7" t="n"/>
      <c r="H524" s="7" t="n"/>
      <c r="I524" s="6" t="n"/>
      <c r="J524" s="9">
        <f>IF(NOT(ISNUMBER($G524)),"",IF(AND(ASH_CORRECTED="Yes",ISNUMBER($H524)),$G524*(1-$H524),$G524))</f>
        <v/>
      </c>
      <c r="K524" s="9">
        <f>IF($B524="","",IFERROR(AVERAGEIFS('2. Soil Data'!$G$5:$G$604,'2. Soil Data'!$B$5:$B$604,$B524),""))</f>
        <v/>
      </c>
      <c r="L524" s="9">
        <f>IF(NOT(ISNUMBER($K524)),"",PI()*($K524/2)^2)</f>
        <v/>
      </c>
      <c r="M524" s="9">
        <f>IF(OR(NOT(ISNUMBER($J524)),NOT(ISNUMBER($L524)),$L524=0),"",$J524/$L524*10000)</f>
        <v/>
      </c>
      <c r="N524" s="9">
        <f>IF(NOT(ISNUMBER($M524)),"",$M524*CARBON_FRACTION_ROOT/1000)</f>
        <v/>
      </c>
      <c r="O524" s="11">
        <f>IF(AND($A524="",$B524="",$G524=""),"",IF(AND($B524&lt;&gt;"",COUNTIFS('2. Soil Data'!$B$5:$B$604,$B524)=0),"Core ID not found in Soil Data, so the corer diameter cannot be looked up. ","")&amp;IF(ASH_CORRECTED&lt;&gt;"Yes","Root mass is NOT ash-corrected, so it includes adhering mineral soil and is too high. Set ASH_CORRECTED once you have done it. ","")&amp;IF(AND(ASH_CORRECTED="Yes",NOT(ISNUMBER($H524))),"Ash correction is switched on but no ash fraction is given for this row. ","")&amp;IF($I524="","Sieve mesh not recorded — a fine-root figure cannot be interpreted without it. ","")&amp;IF(AND(ISNUMBER($H524),$H524&gt;0.5),"Ash fraction above 0.5 — over half this sample was mineral soil. Re-wash. ","")&amp;IF($F524="Not separated","Live and dead not separated. Fine for a stock, but "&amp;"note it in reporting. ",""))</f>
        <v/>
      </c>
      <c r="P524" s="6" t="n"/>
      <c r="Q524" s="9">
        <f>IF($B524="",0,IF(COUNTIFS($B$5:$B524,$B524)=1,1,0))</f>
        <v/>
      </c>
    </row>
    <row r="525">
      <c r="A525" s="6" t="n"/>
      <c r="B525" s="6" t="n"/>
      <c r="C525" s="6" t="n"/>
      <c r="D525" s="6" t="n"/>
      <c r="E525" s="6" t="n"/>
      <c r="F525" s="6" t="n"/>
      <c r="G525" s="7" t="n"/>
      <c r="H525" s="7" t="n"/>
      <c r="I525" s="6" t="n"/>
      <c r="J525" s="9">
        <f>IF(NOT(ISNUMBER($G525)),"",IF(AND(ASH_CORRECTED="Yes",ISNUMBER($H525)),$G525*(1-$H525),$G525))</f>
        <v/>
      </c>
      <c r="K525" s="9">
        <f>IF($B525="","",IFERROR(AVERAGEIFS('2. Soil Data'!$G$5:$G$604,'2. Soil Data'!$B$5:$B$604,$B525),""))</f>
        <v/>
      </c>
      <c r="L525" s="9">
        <f>IF(NOT(ISNUMBER($K525)),"",PI()*($K525/2)^2)</f>
        <v/>
      </c>
      <c r="M525" s="9">
        <f>IF(OR(NOT(ISNUMBER($J525)),NOT(ISNUMBER($L525)),$L525=0),"",$J525/$L525*10000)</f>
        <v/>
      </c>
      <c r="N525" s="9">
        <f>IF(NOT(ISNUMBER($M525)),"",$M525*CARBON_FRACTION_ROOT/1000)</f>
        <v/>
      </c>
      <c r="O525" s="11">
        <f>IF(AND($A525="",$B525="",$G525=""),"",IF(AND($B525&lt;&gt;"",COUNTIFS('2. Soil Data'!$B$5:$B$604,$B525)=0),"Core ID not found in Soil Data, so the corer diameter cannot be looked up. ","")&amp;IF(ASH_CORRECTED&lt;&gt;"Yes","Root mass is NOT ash-corrected, so it includes adhering mineral soil and is too high. Set ASH_CORRECTED once you have done it. ","")&amp;IF(AND(ASH_CORRECTED="Yes",NOT(ISNUMBER($H525))),"Ash correction is switched on but no ash fraction is given for this row. ","")&amp;IF($I525="","Sieve mesh not recorded — a fine-root figure cannot be interpreted without it. ","")&amp;IF(AND(ISNUMBER($H525),$H525&gt;0.5),"Ash fraction above 0.5 — over half this sample was mineral soil. Re-wash. ","")&amp;IF($F525="Not separated","Live and dead not separated. Fine for a stock, but "&amp;"note it in reporting. ",""))</f>
        <v/>
      </c>
      <c r="P525" s="6" t="n"/>
      <c r="Q525" s="9">
        <f>IF($B525="",0,IF(COUNTIFS($B$5:$B525,$B525)=1,1,0))</f>
        <v/>
      </c>
    </row>
    <row r="526">
      <c r="A526" s="6" t="n"/>
      <c r="B526" s="6" t="n"/>
      <c r="C526" s="6" t="n"/>
      <c r="D526" s="6" t="n"/>
      <c r="E526" s="6" t="n"/>
      <c r="F526" s="6" t="n"/>
      <c r="G526" s="7" t="n"/>
      <c r="H526" s="7" t="n"/>
      <c r="I526" s="6" t="n"/>
      <c r="J526" s="9">
        <f>IF(NOT(ISNUMBER($G526)),"",IF(AND(ASH_CORRECTED="Yes",ISNUMBER($H526)),$G526*(1-$H526),$G526))</f>
        <v/>
      </c>
      <c r="K526" s="9">
        <f>IF($B526="","",IFERROR(AVERAGEIFS('2. Soil Data'!$G$5:$G$604,'2. Soil Data'!$B$5:$B$604,$B526),""))</f>
        <v/>
      </c>
      <c r="L526" s="9">
        <f>IF(NOT(ISNUMBER($K526)),"",PI()*($K526/2)^2)</f>
        <v/>
      </c>
      <c r="M526" s="9">
        <f>IF(OR(NOT(ISNUMBER($J526)),NOT(ISNUMBER($L526)),$L526=0),"",$J526/$L526*10000)</f>
        <v/>
      </c>
      <c r="N526" s="9">
        <f>IF(NOT(ISNUMBER($M526)),"",$M526*CARBON_FRACTION_ROOT/1000)</f>
        <v/>
      </c>
      <c r="O526" s="11">
        <f>IF(AND($A526="",$B526="",$G526=""),"",IF(AND($B526&lt;&gt;"",COUNTIFS('2. Soil Data'!$B$5:$B$604,$B526)=0),"Core ID not found in Soil Data, so the corer diameter cannot be looked up. ","")&amp;IF(ASH_CORRECTED&lt;&gt;"Yes","Root mass is NOT ash-corrected, so it includes adhering mineral soil and is too high. Set ASH_CORRECTED once you have done it. ","")&amp;IF(AND(ASH_CORRECTED="Yes",NOT(ISNUMBER($H526))),"Ash correction is switched on but no ash fraction is given for this row. ","")&amp;IF($I526="","Sieve mesh not recorded — a fine-root figure cannot be interpreted without it. ","")&amp;IF(AND(ISNUMBER($H526),$H526&gt;0.5),"Ash fraction above 0.5 — over half this sample was mineral soil. Re-wash. ","")&amp;IF($F526="Not separated","Live and dead not separated. Fine for a stock, but "&amp;"note it in reporting. ",""))</f>
        <v/>
      </c>
      <c r="P526" s="6" t="n"/>
      <c r="Q526" s="9">
        <f>IF($B526="",0,IF(COUNTIFS($B$5:$B526,$B526)=1,1,0))</f>
        <v/>
      </c>
    </row>
    <row r="527">
      <c r="A527" s="6" t="n"/>
      <c r="B527" s="6" t="n"/>
      <c r="C527" s="6" t="n"/>
      <c r="D527" s="6" t="n"/>
      <c r="E527" s="6" t="n"/>
      <c r="F527" s="6" t="n"/>
      <c r="G527" s="7" t="n"/>
      <c r="H527" s="7" t="n"/>
      <c r="I527" s="6" t="n"/>
      <c r="J527" s="9">
        <f>IF(NOT(ISNUMBER($G527)),"",IF(AND(ASH_CORRECTED="Yes",ISNUMBER($H527)),$G527*(1-$H527),$G527))</f>
        <v/>
      </c>
      <c r="K527" s="9">
        <f>IF($B527="","",IFERROR(AVERAGEIFS('2. Soil Data'!$G$5:$G$604,'2. Soil Data'!$B$5:$B$604,$B527),""))</f>
        <v/>
      </c>
      <c r="L527" s="9">
        <f>IF(NOT(ISNUMBER($K527)),"",PI()*($K527/2)^2)</f>
        <v/>
      </c>
      <c r="M527" s="9">
        <f>IF(OR(NOT(ISNUMBER($J527)),NOT(ISNUMBER($L527)),$L527=0),"",$J527/$L527*10000)</f>
        <v/>
      </c>
      <c r="N527" s="9">
        <f>IF(NOT(ISNUMBER($M527)),"",$M527*CARBON_FRACTION_ROOT/1000)</f>
        <v/>
      </c>
      <c r="O527" s="11">
        <f>IF(AND($A527="",$B527="",$G527=""),"",IF(AND($B527&lt;&gt;"",COUNTIFS('2. Soil Data'!$B$5:$B$604,$B527)=0),"Core ID not found in Soil Data, so the corer diameter cannot be looked up. ","")&amp;IF(ASH_CORRECTED&lt;&gt;"Yes","Root mass is NOT ash-corrected, so it includes adhering mineral soil and is too high. Set ASH_CORRECTED once you have done it. ","")&amp;IF(AND(ASH_CORRECTED="Yes",NOT(ISNUMBER($H527))),"Ash correction is switched on but no ash fraction is given for this row. ","")&amp;IF($I527="","Sieve mesh not recorded — a fine-root figure cannot be interpreted without it. ","")&amp;IF(AND(ISNUMBER($H527),$H527&gt;0.5),"Ash fraction above 0.5 — over half this sample was mineral soil. Re-wash. ","")&amp;IF($F527="Not separated","Live and dead not separated. Fine for a stock, but "&amp;"note it in reporting. ",""))</f>
        <v/>
      </c>
      <c r="P527" s="6" t="n"/>
      <c r="Q527" s="9">
        <f>IF($B527="",0,IF(COUNTIFS($B$5:$B527,$B527)=1,1,0))</f>
        <v/>
      </c>
    </row>
    <row r="528">
      <c r="A528" s="6" t="n"/>
      <c r="B528" s="6" t="n"/>
      <c r="C528" s="6" t="n"/>
      <c r="D528" s="6" t="n"/>
      <c r="E528" s="6" t="n"/>
      <c r="F528" s="6" t="n"/>
      <c r="G528" s="7" t="n"/>
      <c r="H528" s="7" t="n"/>
      <c r="I528" s="6" t="n"/>
      <c r="J528" s="9">
        <f>IF(NOT(ISNUMBER($G528)),"",IF(AND(ASH_CORRECTED="Yes",ISNUMBER($H528)),$G528*(1-$H528),$G528))</f>
        <v/>
      </c>
      <c r="K528" s="9">
        <f>IF($B528="","",IFERROR(AVERAGEIFS('2. Soil Data'!$G$5:$G$604,'2. Soil Data'!$B$5:$B$604,$B528),""))</f>
        <v/>
      </c>
      <c r="L528" s="9">
        <f>IF(NOT(ISNUMBER($K528)),"",PI()*($K528/2)^2)</f>
        <v/>
      </c>
      <c r="M528" s="9">
        <f>IF(OR(NOT(ISNUMBER($J528)),NOT(ISNUMBER($L528)),$L528=0),"",$J528/$L528*10000)</f>
        <v/>
      </c>
      <c r="N528" s="9">
        <f>IF(NOT(ISNUMBER($M528)),"",$M528*CARBON_FRACTION_ROOT/1000)</f>
        <v/>
      </c>
      <c r="O528" s="11">
        <f>IF(AND($A528="",$B528="",$G528=""),"",IF(AND($B528&lt;&gt;"",COUNTIFS('2. Soil Data'!$B$5:$B$604,$B528)=0),"Core ID not found in Soil Data, so the corer diameter cannot be looked up. ","")&amp;IF(ASH_CORRECTED&lt;&gt;"Yes","Root mass is NOT ash-corrected, so it includes adhering mineral soil and is too high. Set ASH_CORRECTED once you have done it. ","")&amp;IF(AND(ASH_CORRECTED="Yes",NOT(ISNUMBER($H528))),"Ash correction is switched on but no ash fraction is given for this row. ","")&amp;IF($I528="","Sieve mesh not recorded — a fine-root figure cannot be interpreted without it. ","")&amp;IF(AND(ISNUMBER($H528),$H528&gt;0.5),"Ash fraction above 0.5 — over half this sample was mineral soil. Re-wash. ","")&amp;IF($F528="Not separated","Live and dead not separated. Fine for a stock, but "&amp;"note it in reporting. ",""))</f>
        <v/>
      </c>
      <c r="P528" s="6" t="n"/>
      <c r="Q528" s="9">
        <f>IF($B528="",0,IF(COUNTIFS($B$5:$B528,$B528)=1,1,0))</f>
        <v/>
      </c>
    </row>
    <row r="529">
      <c r="A529" s="6" t="n"/>
      <c r="B529" s="6" t="n"/>
      <c r="C529" s="6" t="n"/>
      <c r="D529" s="6" t="n"/>
      <c r="E529" s="6" t="n"/>
      <c r="F529" s="6" t="n"/>
      <c r="G529" s="7" t="n"/>
      <c r="H529" s="7" t="n"/>
      <c r="I529" s="6" t="n"/>
      <c r="J529" s="9">
        <f>IF(NOT(ISNUMBER($G529)),"",IF(AND(ASH_CORRECTED="Yes",ISNUMBER($H529)),$G529*(1-$H529),$G529))</f>
        <v/>
      </c>
      <c r="K529" s="9">
        <f>IF($B529="","",IFERROR(AVERAGEIFS('2. Soil Data'!$G$5:$G$604,'2. Soil Data'!$B$5:$B$604,$B529),""))</f>
        <v/>
      </c>
      <c r="L529" s="9">
        <f>IF(NOT(ISNUMBER($K529)),"",PI()*($K529/2)^2)</f>
        <v/>
      </c>
      <c r="M529" s="9">
        <f>IF(OR(NOT(ISNUMBER($J529)),NOT(ISNUMBER($L529)),$L529=0),"",$J529/$L529*10000)</f>
        <v/>
      </c>
      <c r="N529" s="9">
        <f>IF(NOT(ISNUMBER($M529)),"",$M529*CARBON_FRACTION_ROOT/1000)</f>
        <v/>
      </c>
      <c r="O529" s="11">
        <f>IF(AND($A529="",$B529="",$G529=""),"",IF(AND($B529&lt;&gt;"",COUNTIFS('2. Soil Data'!$B$5:$B$604,$B529)=0),"Core ID not found in Soil Data, so the corer diameter cannot be looked up. ","")&amp;IF(ASH_CORRECTED&lt;&gt;"Yes","Root mass is NOT ash-corrected, so it includes adhering mineral soil and is too high. Set ASH_CORRECTED once you have done it. ","")&amp;IF(AND(ASH_CORRECTED="Yes",NOT(ISNUMBER($H529))),"Ash correction is switched on but no ash fraction is given for this row. ","")&amp;IF($I529="","Sieve mesh not recorded — a fine-root figure cannot be interpreted without it. ","")&amp;IF(AND(ISNUMBER($H529),$H529&gt;0.5),"Ash fraction above 0.5 — over half this sample was mineral soil. Re-wash. ","")&amp;IF($F529="Not separated","Live and dead not separated. Fine for a stock, but "&amp;"note it in reporting. ",""))</f>
        <v/>
      </c>
      <c r="P529" s="6" t="n"/>
      <c r="Q529" s="9">
        <f>IF($B529="",0,IF(COUNTIFS($B$5:$B529,$B529)=1,1,0))</f>
        <v/>
      </c>
    </row>
    <row r="530">
      <c r="A530" s="6" t="n"/>
      <c r="B530" s="6" t="n"/>
      <c r="C530" s="6" t="n"/>
      <c r="D530" s="6" t="n"/>
      <c r="E530" s="6" t="n"/>
      <c r="F530" s="6" t="n"/>
      <c r="G530" s="7" t="n"/>
      <c r="H530" s="7" t="n"/>
      <c r="I530" s="6" t="n"/>
      <c r="J530" s="9">
        <f>IF(NOT(ISNUMBER($G530)),"",IF(AND(ASH_CORRECTED="Yes",ISNUMBER($H530)),$G530*(1-$H530),$G530))</f>
        <v/>
      </c>
      <c r="K530" s="9">
        <f>IF($B530="","",IFERROR(AVERAGEIFS('2. Soil Data'!$G$5:$G$604,'2. Soil Data'!$B$5:$B$604,$B530),""))</f>
        <v/>
      </c>
      <c r="L530" s="9">
        <f>IF(NOT(ISNUMBER($K530)),"",PI()*($K530/2)^2)</f>
        <v/>
      </c>
      <c r="M530" s="9">
        <f>IF(OR(NOT(ISNUMBER($J530)),NOT(ISNUMBER($L530)),$L530=0),"",$J530/$L530*10000)</f>
        <v/>
      </c>
      <c r="N530" s="9">
        <f>IF(NOT(ISNUMBER($M530)),"",$M530*CARBON_FRACTION_ROOT/1000)</f>
        <v/>
      </c>
      <c r="O530" s="11">
        <f>IF(AND($A530="",$B530="",$G530=""),"",IF(AND($B530&lt;&gt;"",COUNTIFS('2. Soil Data'!$B$5:$B$604,$B530)=0),"Core ID not found in Soil Data, so the corer diameter cannot be looked up. ","")&amp;IF(ASH_CORRECTED&lt;&gt;"Yes","Root mass is NOT ash-corrected, so it includes adhering mineral soil and is too high. Set ASH_CORRECTED once you have done it. ","")&amp;IF(AND(ASH_CORRECTED="Yes",NOT(ISNUMBER($H530))),"Ash correction is switched on but no ash fraction is given for this row. ","")&amp;IF($I530="","Sieve mesh not recorded — a fine-root figure cannot be interpreted without it. ","")&amp;IF(AND(ISNUMBER($H530),$H530&gt;0.5),"Ash fraction above 0.5 — over half this sample was mineral soil. Re-wash. ","")&amp;IF($F530="Not separated","Live and dead not separated. Fine for a stock, but "&amp;"note it in reporting. ",""))</f>
        <v/>
      </c>
      <c r="P530" s="6" t="n"/>
      <c r="Q530" s="9">
        <f>IF($B530="",0,IF(COUNTIFS($B$5:$B530,$B530)=1,1,0))</f>
        <v/>
      </c>
    </row>
    <row r="531">
      <c r="A531" s="6" t="n"/>
      <c r="B531" s="6" t="n"/>
      <c r="C531" s="6" t="n"/>
      <c r="D531" s="6" t="n"/>
      <c r="E531" s="6" t="n"/>
      <c r="F531" s="6" t="n"/>
      <c r="G531" s="7" t="n"/>
      <c r="H531" s="7" t="n"/>
      <c r="I531" s="6" t="n"/>
      <c r="J531" s="9">
        <f>IF(NOT(ISNUMBER($G531)),"",IF(AND(ASH_CORRECTED="Yes",ISNUMBER($H531)),$G531*(1-$H531),$G531))</f>
        <v/>
      </c>
      <c r="K531" s="9">
        <f>IF($B531="","",IFERROR(AVERAGEIFS('2. Soil Data'!$G$5:$G$604,'2. Soil Data'!$B$5:$B$604,$B531),""))</f>
        <v/>
      </c>
      <c r="L531" s="9">
        <f>IF(NOT(ISNUMBER($K531)),"",PI()*($K531/2)^2)</f>
        <v/>
      </c>
      <c r="M531" s="9">
        <f>IF(OR(NOT(ISNUMBER($J531)),NOT(ISNUMBER($L531)),$L531=0),"",$J531/$L531*10000)</f>
        <v/>
      </c>
      <c r="N531" s="9">
        <f>IF(NOT(ISNUMBER($M531)),"",$M531*CARBON_FRACTION_ROOT/1000)</f>
        <v/>
      </c>
      <c r="O531" s="11">
        <f>IF(AND($A531="",$B531="",$G531=""),"",IF(AND($B531&lt;&gt;"",COUNTIFS('2. Soil Data'!$B$5:$B$604,$B531)=0),"Core ID not found in Soil Data, so the corer diameter cannot be looked up. ","")&amp;IF(ASH_CORRECTED&lt;&gt;"Yes","Root mass is NOT ash-corrected, so it includes adhering mineral soil and is too high. Set ASH_CORRECTED once you have done it. ","")&amp;IF(AND(ASH_CORRECTED="Yes",NOT(ISNUMBER($H531))),"Ash correction is switched on but no ash fraction is given for this row. ","")&amp;IF($I531="","Sieve mesh not recorded — a fine-root figure cannot be interpreted without it. ","")&amp;IF(AND(ISNUMBER($H531),$H531&gt;0.5),"Ash fraction above 0.5 — over half this sample was mineral soil. Re-wash. ","")&amp;IF($F531="Not separated","Live and dead not separated. Fine for a stock, but "&amp;"note it in reporting. ",""))</f>
        <v/>
      </c>
      <c r="P531" s="6" t="n"/>
      <c r="Q531" s="9">
        <f>IF($B531="",0,IF(COUNTIFS($B$5:$B531,$B531)=1,1,0))</f>
        <v/>
      </c>
    </row>
    <row r="532">
      <c r="A532" s="6" t="n"/>
      <c r="B532" s="6" t="n"/>
      <c r="C532" s="6" t="n"/>
      <c r="D532" s="6" t="n"/>
      <c r="E532" s="6" t="n"/>
      <c r="F532" s="6" t="n"/>
      <c r="G532" s="7" t="n"/>
      <c r="H532" s="7" t="n"/>
      <c r="I532" s="6" t="n"/>
      <c r="J532" s="9">
        <f>IF(NOT(ISNUMBER($G532)),"",IF(AND(ASH_CORRECTED="Yes",ISNUMBER($H532)),$G532*(1-$H532),$G532))</f>
        <v/>
      </c>
      <c r="K532" s="9">
        <f>IF($B532="","",IFERROR(AVERAGEIFS('2. Soil Data'!$G$5:$G$604,'2. Soil Data'!$B$5:$B$604,$B532),""))</f>
        <v/>
      </c>
      <c r="L532" s="9">
        <f>IF(NOT(ISNUMBER($K532)),"",PI()*($K532/2)^2)</f>
        <v/>
      </c>
      <c r="M532" s="9">
        <f>IF(OR(NOT(ISNUMBER($J532)),NOT(ISNUMBER($L532)),$L532=0),"",$J532/$L532*10000)</f>
        <v/>
      </c>
      <c r="N532" s="9">
        <f>IF(NOT(ISNUMBER($M532)),"",$M532*CARBON_FRACTION_ROOT/1000)</f>
        <v/>
      </c>
      <c r="O532" s="11">
        <f>IF(AND($A532="",$B532="",$G532=""),"",IF(AND($B532&lt;&gt;"",COUNTIFS('2. Soil Data'!$B$5:$B$604,$B532)=0),"Core ID not found in Soil Data, so the corer diameter cannot be looked up. ","")&amp;IF(ASH_CORRECTED&lt;&gt;"Yes","Root mass is NOT ash-corrected, so it includes adhering mineral soil and is too high. Set ASH_CORRECTED once you have done it. ","")&amp;IF(AND(ASH_CORRECTED="Yes",NOT(ISNUMBER($H532))),"Ash correction is switched on but no ash fraction is given for this row. ","")&amp;IF($I532="","Sieve mesh not recorded — a fine-root figure cannot be interpreted without it. ","")&amp;IF(AND(ISNUMBER($H532),$H532&gt;0.5),"Ash fraction above 0.5 — over half this sample was mineral soil. Re-wash. ","")&amp;IF($F532="Not separated","Live and dead not separated. Fine for a stock, but "&amp;"note it in reporting. ",""))</f>
        <v/>
      </c>
      <c r="P532" s="6" t="n"/>
      <c r="Q532" s="9">
        <f>IF($B532="",0,IF(COUNTIFS($B$5:$B532,$B532)=1,1,0))</f>
        <v/>
      </c>
    </row>
    <row r="533">
      <c r="A533" s="6" t="n"/>
      <c r="B533" s="6" t="n"/>
      <c r="C533" s="6" t="n"/>
      <c r="D533" s="6" t="n"/>
      <c r="E533" s="6" t="n"/>
      <c r="F533" s="6" t="n"/>
      <c r="G533" s="7" t="n"/>
      <c r="H533" s="7" t="n"/>
      <c r="I533" s="6" t="n"/>
      <c r="J533" s="9">
        <f>IF(NOT(ISNUMBER($G533)),"",IF(AND(ASH_CORRECTED="Yes",ISNUMBER($H533)),$G533*(1-$H533),$G533))</f>
        <v/>
      </c>
      <c r="K533" s="9">
        <f>IF($B533="","",IFERROR(AVERAGEIFS('2. Soil Data'!$G$5:$G$604,'2. Soil Data'!$B$5:$B$604,$B533),""))</f>
        <v/>
      </c>
      <c r="L533" s="9">
        <f>IF(NOT(ISNUMBER($K533)),"",PI()*($K533/2)^2)</f>
        <v/>
      </c>
      <c r="M533" s="9">
        <f>IF(OR(NOT(ISNUMBER($J533)),NOT(ISNUMBER($L533)),$L533=0),"",$J533/$L533*10000)</f>
        <v/>
      </c>
      <c r="N533" s="9">
        <f>IF(NOT(ISNUMBER($M533)),"",$M533*CARBON_FRACTION_ROOT/1000)</f>
        <v/>
      </c>
      <c r="O533" s="11">
        <f>IF(AND($A533="",$B533="",$G533=""),"",IF(AND($B533&lt;&gt;"",COUNTIFS('2. Soil Data'!$B$5:$B$604,$B533)=0),"Core ID not found in Soil Data, so the corer diameter cannot be looked up. ","")&amp;IF(ASH_CORRECTED&lt;&gt;"Yes","Root mass is NOT ash-corrected, so it includes adhering mineral soil and is too high. Set ASH_CORRECTED once you have done it. ","")&amp;IF(AND(ASH_CORRECTED="Yes",NOT(ISNUMBER($H533))),"Ash correction is switched on but no ash fraction is given for this row. ","")&amp;IF($I533="","Sieve mesh not recorded — a fine-root figure cannot be interpreted without it. ","")&amp;IF(AND(ISNUMBER($H533),$H533&gt;0.5),"Ash fraction above 0.5 — over half this sample was mineral soil. Re-wash. ","")&amp;IF($F533="Not separated","Live and dead not separated. Fine for a stock, but "&amp;"note it in reporting. ",""))</f>
        <v/>
      </c>
      <c r="P533" s="6" t="n"/>
      <c r="Q533" s="9">
        <f>IF($B533="",0,IF(COUNTIFS($B$5:$B533,$B533)=1,1,0))</f>
        <v/>
      </c>
    </row>
    <row r="534">
      <c r="A534" s="6" t="n"/>
      <c r="B534" s="6" t="n"/>
      <c r="C534" s="6" t="n"/>
      <c r="D534" s="6" t="n"/>
      <c r="E534" s="6" t="n"/>
      <c r="F534" s="6" t="n"/>
      <c r="G534" s="7" t="n"/>
      <c r="H534" s="7" t="n"/>
      <c r="I534" s="6" t="n"/>
      <c r="J534" s="9">
        <f>IF(NOT(ISNUMBER($G534)),"",IF(AND(ASH_CORRECTED="Yes",ISNUMBER($H534)),$G534*(1-$H534),$G534))</f>
        <v/>
      </c>
      <c r="K534" s="9">
        <f>IF($B534="","",IFERROR(AVERAGEIFS('2. Soil Data'!$G$5:$G$604,'2. Soil Data'!$B$5:$B$604,$B534),""))</f>
        <v/>
      </c>
      <c r="L534" s="9">
        <f>IF(NOT(ISNUMBER($K534)),"",PI()*($K534/2)^2)</f>
        <v/>
      </c>
      <c r="M534" s="9">
        <f>IF(OR(NOT(ISNUMBER($J534)),NOT(ISNUMBER($L534)),$L534=0),"",$J534/$L534*10000)</f>
        <v/>
      </c>
      <c r="N534" s="9">
        <f>IF(NOT(ISNUMBER($M534)),"",$M534*CARBON_FRACTION_ROOT/1000)</f>
        <v/>
      </c>
      <c r="O534" s="11">
        <f>IF(AND($A534="",$B534="",$G534=""),"",IF(AND($B534&lt;&gt;"",COUNTIFS('2. Soil Data'!$B$5:$B$604,$B534)=0),"Core ID not found in Soil Data, so the corer diameter cannot be looked up. ","")&amp;IF(ASH_CORRECTED&lt;&gt;"Yes","Root mass is NOT ash-corrected, so it includes adhering mineral soil and is too high. Set ASH_CORRECTED once you have done it. ","")&amp;IF(AND(ASH_CORRECTED="Yes",NOT(ISNUMBER($H534))),"Ash correction is switched on but no ash fraction is given for this row. ","")&amp;IF($I534="","Sieve mesh not recorded — a fine-root figure cannot be interpreted without it. ","")&amp;IF(AND(ISNUMBER($H534),$H534&gt;0.5),"Ash fraction above 0.5 — over half this sample was mineral soil. Re-wash. ","")&amp;IF($F534="Not separated","Live and dead not separated. Fine for a stock, but "&amp;"note it in reporting. ",""))</f>
        <v/>
      </c>
      <c r="P534" s="6" t="n"/>
      <c r="Q534" s="9">
        <f>IF($B534="",0,IF(COUNTIFS($B$5:$B534,$B534)=1,1,0))</f>
        <v/>
      </c>
    </row>
    <row r="535">
      <c r="A535" s="6" t="n"/>
      <c r="B535" s="6" t="n"/>
      <c r="C535" s="6" t="n"/>
      <c r="D535" s="6" t="n"/>
      <c r="E535" s="6" t="n"/>
      <c r="F535" s="6" t="n"/>
      <c r="G535" s="7" t="n"/>
      <c r="H535" s="7" t="n"/>
      <c r="I535" s="6" t="n"/>
      <c r="J535" s="9">
        <f>IF(NOT(ISNUMBER($G535)),"",IF(AND(ASH_CORRECTED="Yes",ISNUMBER($H535)),$G535*(1-$H535),$G535))</f>
        <v/>
      </c>
      <c r="K535" s="9">
        <f>IF($B535="","",IFERROR(AVERAGEIFS('2. Soil Data'!$G$5:$G$604,'2. Soil Data'!$B$5:$B$604,$B535),""))</f>
        <v/>
      </c>
      <c r="L535" s="9">
        <f>IF(NOT(ISNUMBER($K535)),"",PI()*($K535/2)^2)</f>
        <v/>
      </c>
      <c r="M535" s="9">
        <f>IF(OR(NOT(ISNUMBER($J535)),NOT(ISNUMBER($L535)),$L535=0),"",$J535/$L535*10000)</f>
        <v/>
      </c>
      <c r="N535" s="9">
        <f>IF(NOT(ISNUMBER($M535)),"",$M535*CARBON_FRACTION_ROOT/1000)</f>
        <v/>
      </c>
      <c r="O535" s="11">
        <f>IF(AND($A535="",$B535="",$G535=""),"",IF(AND($B535&lt;&gt;"",COUNTIFS('2. Soil Data'!$B$5:$B$604,$B535)=0),"Core ID not found in Soil Data, so the corer diameter cannot be looked up. ","")&amp;IF(ASH_CORRECTED&lt;&gt;"Yes","Root mass is NOT ash-corrected, so it includes adhering mineral soil and is too high. Set ASH_CORRECTED once you have done it. ","")&amp;IF(AND(ASH_CORRECTED="Yes",NOT(ISNUMBER($H535))),"Ash correction is switched on but no ash fraction is given for this row. ","")&amp;IF($I535="","Sieve mesh not recorded — a fine-root figure cannot be interpreted without it. ","")&amp;IF(AND(ISNUMBER($H535),$H535&gt;0.5),"Ash fraction above 0.5 — over half this sample was mineral soil. Re-wash. ","")&amp;IF($F535="Not separated","Live and dead not separated. Fine for a stock, but "&amp;"note it in reporting. ",""))</f>
        <v/>
      </c>
      <c r="P535" s="6" t="n"/>
      <c r="Q535" s="9">
        <f>IF($B535="",0,IF(COUNTIFS($B$5:$B535,$B535)=1,1,0))</f>
        <v/>
      </c>
    </row>
    <row r="536">
      <c r="A536" s="6" t="n"/>
      <c r="B536" s="6" t="n"/>
      <c r="C536" s="6" t="n"/>
      <c r="D536" s="6" t="n"/>
      <c r="E536" s="6" t="n"/>
      <c r="F536" s="6" t="n"/>
      <c r="G536" s="7" t="n"/>
      <c r="H536" s="7" t="n"/>
      <c r="I536" s="6" t="n"/>
      <c r="J536" s="9">
        <f>IF(NOT(ISNUMBER($G536)),"",IF(AND(ASH_CORRECTED="Yes",ISNUMBER($H536)),$G536*(1-$H536),$G536))</f>
        <v/>
      </c>
      <c r="K536" s="9">
        <f>IF($B536="","",IFERROR(AVERAGEIFS('2. Soil Data'!$G$5:$G$604,'2. Soil Data'!$B$5:$B$604,$B536),""))</f>
        <v/>
      </c>
      <c r="L536" s="9">
        <f>IF(NOT(ISNUMBER($K536)),"",PI()*($K536/2)^2)</f>
        <v/>
      </c>
      <c r="M536" s="9">
        <f>IF(OR(NOT(ISNUMBER($J536)),NOT(ISNUMBER($L536)),$L536=0),"",$J536/$L536*10000)</f>
        <v/>
      </c>
      <c r="N536" s="9">
        <f>IF(NOT(ISNUMBER($M536)),"",$M536*CARBON_FRACTION_ROOT/1000)</f>
        <v/>
      </c>
      <c r="O536" s="11">
        <f>IF(AND($A536="",$B536="",$G536=""),"",IF(AND($B536&lt;&gt;"",COUNTIFS('2. Soil Data'!$B$5:$B$604,$B536)=0),"Core ID not found in Soil Data, so the corer diameter cannot be looked up. ","")&amp;IF(ASH_CORRECTED&lt;&gt;"Yes","Root mass is NOT ash-corrected, so it includes adhering mineral soil and is too high. Set ASH_CORRECTED once you have done it. ","")&amp;IF(AND(ASH_CORRECTED="Yes",NOT(ISNUMBER($H536))),"Ash correction is switched on but no ash fraction is given for this row. ","")&amp;IF($I536="","Sieve mesh not recorded — a fine-root figure cannot be interpreted without it. ","")&amp;IF(AND(ISNUMBER($H536),$H536&gt;0.5),"Ash fraction above 0.5 — over half this sample was mineral soil. Re-wash. ","")&amp;IF($F536="Not separated","Live and dead not separated. Fine for a stock, but "&amp;"note it in reporting. ",""))</f>
        <v/>
      </c>
      <c r="P536" s="6" t="n"/>
      <c r="Q536" s="9">
        <f>IF($B536="",0,IF(COUNTIFS($B$5:$B536,$B536)=1,1,0))</f>
        <v/>
      </c>
    </row>
    <row r="537">
      <c r="A537" s="6" t="n"/>
      <c r="B537" s="6" t="n"/>
      <c r="C537" s="6" t="n"/>
      <c r="D537" s="6" t="n"/>
      <c r="E537" s="6" t="n"/>
      <c r="F537" s="6" t="n"/>
      <c r="G537" s="7" t="n"/>
      <c r="H537" s="7" t="n"/>
      <c r="I537" s="6" t="n"/>
      <c r="J537" s="9">
        <f>IF(NOT(ISNUMBER($G537)),"",IF(AND(ASH_CORRECTED="Yes",ISNUMBER($H537)),$G537*(1-$H537),$G537))</f>
        <v/>
      </c>
      <c r="K537" s="9">
        <f>IF($B537="","",IFERROR(AVERAGEIFS('2. Soil Data'!$G$5:$G$604,'2. Soil Data'!$B$5:$B$604,$B537),""))</f>
        <v/>
      </c>
      <c r="L537" s="9">
        <f>IF(NOT(ISNUMBER($K537)),"",PI()*($K537/2)^2)</f>
        <v/>
      </c>
      <c r="M537" s="9">
        <f>IF(OR(NOT(ISNUMBER($J537)),NOT(ISNUMBER($L537)),$L537=0),"",$J537/$L537*10000)</f>
        <v/>
      </c>
      <c r="N537" s="9">
        <f>IF(NOT(ISNUMBER($M537)),"",$M537*CARBON_FRACTION_ROOT/1000)</f>
        <v/>
      </c>
      <c r="O537" s="11">
        <f>IF(AND($A537="",$B537="",$G537=""),"",IF(AND($B537&lt;&gt;"",COUNTIFS('2. Soil Data'!$B$5:$B$604,$B537)=0),"Core ID not found in Soil Data, so the corer diameter cannot be looked up. ","")&amp;IF(ASH_CORRECTED&lt;&gt;"Yes","Root mass is NOT ash-corrected, so it includes adhering mineral soil and is too high. Set ASH_CORRECTED once you have done it. ","")&amp;IF(AND(ASH_CORRECTED="Yes",NOT(ISNUMBER($H537))),"Ash correction is switched on but no ash fraction is given for this row. ","")&amp;IF($I537="","Sieve mesh not recorded — a fine-root figure cannot be interpreted without it. ","")&amp;IF(AND(ISNUMBER($H537),$H537&gt;0.5),"Ash fraction above 0.5 — over half this sample was mineral soil. Re-wash. ","")&amp;IF($F537="Not separated","Live and dead not separated. Fine for a stock, but "&amp;"note it in reporting. ",""))</f>
        <v/>
      </c>
      <c r="P537" s="6" t="n"/>
      <c r="Q537" s="9">
        <f>IF($B537="",0,IF(COUNTIFS($B$5:$B537,$B537)=1,1,0))</f>
        <v/>
      </c>
    </row>
    <row r="538">
      <c r="A538" s="6" t="n"/>
      <c r="B538" s="6" t="n"/>
      <c r="C538" s="6" t="n"/>
      <c r="D538" s="6" t="n"/>
      <c r="E538" s="6" t="n"/>
      <c r="F538" s="6" t="n"/>
      <c r="G538" s="7" t="n"/>
      <c r="H538" s="7" t="n"/>
      <c r="I538" s="6" t="n"/>
      <c r="J538" s="9">
        <f>IF(NOT(ISNUMBER($G538)),"",IF(AND(ASH_CORRECTED="Yes",ISNUMBER($H538)),$G538*(1-$H538),$G538))</f>
        <v/>
      </c>
      <c r="K538" s="9">
        <f>IF($B538="","",IFERROR(AVERAGEIFS('2. Soil Data'!$G$5:$G$604,'2. Soil Data'!$B$5:$B$604,$B538),""))</f>
        <v/>
      </c>
      <c r="L538" s="9">
        <f>IF(NOT(ISNUMBER($K538)),"",PI()*($K538/2)^2)</f>
        <v/>
      </c>
      <c r="M538" s="9">
        <f>IF(OR(NOT(ISNUMBER($J538)),NOT(ISNUMBER($L538)),$L538=0),"",$J538/$L538*10000)</f>
        <v/>
      </c>
      <c r="N538" s="9">
        <f>IF(NOT(ISNUMBER($M538)),"",$M538*CARBON_FRACTION_ROOT/1000)</f>
        <v/>
      </c>
      <c r="O538" s="11">
        <f>IF(AND($A538="",$B538="",$G538=""),"",IF(AND($B538&lt;&gt;"",COUNTIFS('2. Soil Data'!$B$5:$B$604,$B538)=0),"Core ID not found in Soil Data, so the corer diameter cannot be looked up. ","")&amp;IF(ASH_CORRECTED&lt;&gt;"Yes","Root mass is NOT ash-corrected, so it includes adhering mineral soil and is too high. Set ASH_CORRECTED once you have done it. ","")&amp;IF(AND(ASH_CORRECTED="Yes",NOT(ISNUMBER($H538))),"Ash correction is switched on but no ash fraction is given for this row. ","")&amp;IF($I538="","Sieve mesh not recorded — a fine-root figure cannot be interpreted without it. ","")&amp;IF(AND(ISNUMBER($H538),$H538&gt;0.5),"Ash fraction above 0.5 — over half this sample was mineral soil. Re-wash. ","")&amp;IF($F538="Not separated","Live and dead not separated. Fine for a stock, but "&amp;"note it in reporting. ",""))</f>
        <v/>
      </c>
      <c r="P538" s="6" t="n"/>
      <c r="Q538" s="9">
        <f>IF($B538="",0,IF(COUNTIFS($B$5:$B538,$B538)=1,1,0))</f>
        <v/>
      </c>
    </row>
    <row r="539">
      <c r="A539" s="6" t="n"/>
      <c r="B539" s="6" t="n"/>
      <c r="C539" s="6" t="n"/>
      <c r="D539" s="6" t="n"/>
      <c r="E539" s="6" t="n"/>
      <c r="F539" s="6" t="n"/>
      <c r="G539" s="7" t="n"/>
      <c r="H539" s="7" t="n"/>
      <c r="I539" s="6" t="n"/>
      <c r="J539" s="9">
        <f>IF(NOT(ISNUMBER($G539)),"",IF(AND(ASH_CORRECTED="Yes",ISNUMBER($H539)),$G539*(1-$H539),$G539))</f>
        <v/>
      </c>
      <c r="K539" s="9">
        <f>IF($B539="","",IFERROR(AVERAGEIFS('2. Soil Data'!$G$5:$G$604,'2. Soil Data'!$B$5:$B$604,$B539),""))</f>
        <v/>
      </c>
      <c r="L539" s="9">
        <f>IF(NOT(ISNUMBER($K539)),"",PI()*($K539/2)^2)</f>
        <v/>
      </c>
      <c r="M539" s="9">
        <f>IF(OR(NOT(ISNUMBER($J539)),NOT(ISNUMBER($L539)),$L539=0),"",$J539/$L539*10000)</f>
        <v/>
      </c>
      <c r="N539" s="9">
        <f>IF(NOT(ISNUMBER($M539)),"",$M539*CARBON_FRACTION_ROOT/1000)</f>
        <v/>
      </c>
      <c r="O539" s="11">
        <f>IF(AND($A539="",$B539="",$G539=""),"",IF(AND($B539&lt;&gt;"",COUNTIFS('2. Soil Data'!$B$5:$B$604,$B539)=0),"Core ID not found in Soil Data, so the corer diameter cannot be looked up. ","")&amp;IF(ASH_CORRECTED&lt;&gt;"Yes","Root mass is NOT ash-corrected, so it includes adhering mineral soil and is too high. Set ASH_CORRECTED once you have done it. ","")&amp;IF(AND(ASH_CORRECTED="Yes",NOT(ISNUMBER($H539))),"Ash correction is switched on but no ash fraction is given for this row. ","")&amp;IF($I539="","Sieve mesh not recorded — a fine-root figure cannot be interpreted without it. ","")&amp;IF(AND(ISNUMBER($H539),$H539&gt;0.5),"Ash fraction above 0.5 — over half this sample was mineral soil. Re-wash. ","")&amp;IF($F539="Not separated","Live and dead not separated. Fine for a stock, but "&amp;"note it in reporting. ",""))</f>
        <v/>
      </c>
      <c r="P539" s="6" t="n"/>
      <c r="Q539" s="9">
        <f>IF($B539="",0,IF(COUNTIFS($B$5:$B539,$B539)=1,1,0))</f>
        <v/>
      </c>
    </row>
    <row r="540">
      <c r="A540" s="6" t="n"/>
      <c r="B540" s="6" t="n"/>
      <c r="C540" s="6" t="n"/>
      <c r="D540" s="6" t="n"/>
      <c r="E540" s="6" t="n"/>
      <c r="F540" s="6" t="n"/>
      <c r="G540" s="7" t="n"/>
      <c r="H540" s="7" t="n"/>
      <c r="I540" s="6" t="n"/>
      <c r="J540" s="9">
        <f>IF(NOT(ISNUMBER($G540)),"",IF(AND(ASH_CORRECTED="Yes",ISNUMBER($H540)),$G540*(1-$H540),$G540))</f>
        <v/>
      </c>
      <c r="K540" s="9">
        <f>IF($B540="","",IFERROR(AVERAGEIFS('2. Soil Data'!$G$5:$G$604,'2. Soil Data'!$B$5:$B$604,$B540),""))</f>
        <v/>
      </c>
      <c r="L540" s="9">
        <f>IF(NOT(ISNUMBER($K540)),"",PI()*($K540/2)^2)</f>
        <v/>
      </c>
      <c r="M540" s="9">
        <f>IF(OR(NOT(ISNUMBER($J540)),NOT(ISNUMBER($L540)),$L540=0),"",$J540/$L540*10000)</f>
        <v/>
      </c>
      <c r="N540" s="9">
        <f>IF(NOT(ISNUMBER($M540)),"",$M540*CARBON_FRACTION_ROOT/1000)</f>
        <v/>
      </c>
      <c r="O540" s="11">
        <f>IF(AND($A540="",$B540="",$G540=""),"",IF(AND($B540&lt;&gt;"",COUNTIFS('2. Soil Data'!$B$5:$B$604,$B540)=0),"Core ID not found in Soil Data, so the corer diameter cannot be looked up. ","")&amp;IF(ASH_CORRECTED&lt;&gt;"Yes","Root mass is NOT ash-corrected, so it includes adhering mineral soil and is too high. Set ASH_CORRECTED once you have done it. ","")&amp;IF(AND(ASH_CORRECTED="Yes",NOT(ISNUMBER($H540))),"Ash correction is switched on but no ash fraction is given for this row. ","")&amp;IF($I540="","Sieve mesh not recorded — a fine-root figure cannot be interpreted without it. ","")&amp;IF(AND(ISNUMBER($H540),$H540&gt;0.5),"Ash fraction above 0.5 — over half this sample was mineral soil. Re-wash. ","")&amp;IF($F540="Not separated","Live and dead not separated. Fine for a stock, but "&amp;"note it in reporting. ",""))</f>
        <v/>
      </c>
      <c r="P540" s="6" t="n"/>
      <c r="Q540" s="9">
        <f>IF($B540="",0,IF(COUNTIFS($B$5:$B540,$B540)=1,1,0))</f>
        <v/>
      </c>
    </row>
    <row r="541">
      <c r="A541" s="6" t="n"/>
      <c r="B541" s="6" t="n"/>
      <c r="C541" s="6" t="n"/>
      <c r="D541" s="6" t="n"/>
      <c r="E541" s="6" t="n"/>
      <c r="F541" s="6" t="n"/>
      <c r="G541" s="7" t="n"/>
      <c r="H541" s="7" t="n"/>
      <c r="I541" s="6" t="n"/>
      <c r="J541" s="9">
        <f>IF(NOT(ISNUMBER($G541)),"",IF(AND(ASH_CORRECTED="Yes",ISNUMBER($H541)),$G541*(1-$H541),$G541))</f>
        <v/>
      </c>
      <c r="K541" s="9">
        <f>IF($B541="","",IFERROR(AVERAGEIFS('2. Soil Data'!$G$5:$G$604,'2. Soil Data'!$B$5:$B$604,$B541),""))</f>
        <v/>
      </c>
      <c r="L541" s="9">
        <f>IF(NOT(ISNUMBER($K541)),"",PI()*($K541/2)^2)</f>
        <v/>
      </c>
      <c r="M541" s="9">
        <f>IF(OR(NOT(ISNUMBER($J541)),NOT(ISNUMBER($L541)),$L541=0),"",$J541/$L541*10000)</f>
        <v/>
      </c>
      <c r="N541" s="9">
        <f>IF(NOT(ISNUMBER($M541)),"",$M541*CARBON_FRACTION_ROOT/1000)</f>
        <v/>
      </c>
      <c r="O541" s="11">
        <f>IF(AND($A541="",$B541="",$G541=""),"",IF(AND($B541&lt;&gt;"",COUNTIFS('2. Soil Data'!$B$5:$B$604,$B541)=0),"Core ID not found in Soil Data, so the corer diameter cannot be looked up. ","")&amp;IF(ASH_CORRECTED&lt;&gt;"Yes","Root mass is NOT ash-corrected, so it includes adhering mineral soil and is too high. Set ASH_CORRECTED once you have done it. ","")&amp;IF(AND(ASH_CORRECTED="Yes",NOT(ISNUMBER($H541))),"Ash correction is switched on but no ash fraction is given for this row. ","")&amp;IF($I541="","Sieve mesh not recorded — a fine-root figure cannot be interpreted without it. ","")&amp;IF(AND(ISNUMBER($H541),$H541&gt;0.5),"Ash fraction above 0.5 — over half this sample was mineral soil. Re-wash. ","")&amp;IF($F541="Not separated","Live and dead not separated. Fine for a stock, but "&amp;"note it in reporting. ",""))</f>
        <v/>
      </c>
      <c r="P541" s="6" t="n"/>
      <c r="Q541" s="9">
        <f>IF($B541="",0,IF(COUNTIFS($B$5:$B541,$B541)=1,1,0))</f>
        <v/>
      </c>
    </row>
    <row r="542">
      <c r="A542" s="6" t="n"/>
      <c r="B542" s="6" t="n"/>
      <c r="C542" s="6" t="n"/>
      <c r="D542" s="6" t="n"/>
      <c r="E542" s="6" t="n"/>
      <c r="F542" s="6" t="n"/>
      <c r="G542" s="7" t="n"/>
      <c r="H542" s="7" t="n"/>
      <c r="I542" s="6" t="n"/>
      <c r="J542" s="9">
        <f>IF(NOT(ISNUMBER($G542)),"",IF(AND(ASH_CORRECTED="Yes",ISNUMBER($H542)),$G542*(1-$H542),$G542))</f>
        <v/>
      </c>
      <c r="K542" s="9">
        <f>IF($B542="","",IFERROR(AVERAGEIFS('2. Soil Data'!$G$5:$G$604,'2. Soil Data'!$B$5:$B$604,$B542),""))</f>
        <v/>
      </c>
      <c r="L542" s="9">
        <f>IF(NOT(ISNUMBER($K542)),"",PI()*($K542/2)^2)</f>
        <v/>
      </c>
      <c r="M542" s="9">
        <f>IF(OR(NOT(ISNUMBER($J542)),NOT(ISNUMBER($L542)),$L542=0),"",$J542/$L542*10000)</f>
        <v/>
      </c>
      <c r="N542" s="9">
        <f>IF(NOT(ISNUMBER($M542)),"",$M542*CARBON_FRACTION_ROOT/1000)</f>
        <v/>
      </c>
      <c r="O542" s="11">
        <f>IF(AND($A542="",$B542="",$G542=""),"",IF(AND($B542&lt;&gt;"",COUNTIFS('2. Soil Data'!$B$5:$B$604,$B542)=0),"Core ID not found in Soil Data, so the corer diameter cannot be looked up. ","")&amp;IF(ASH_CORRECTED&lt;&gt;"Yes","Root mass is NOT ash-corrected, so it includes adhering mineral soil and is too high. Set ASH_CORRECTED once you have done it. ","")&amp;IF(AND(ASH_CORRECTED="Yes",NOT(ISNUMBER($H542))),"Ash correction is switched on but no ash fraction is given for this row. ","")&amp;IF($I542="","Sieve mesh not recorded — a fine-root figure cannot be interpreted without it. ","")&amp;IF(AND(ISNUMBER($H542),$H542&gt;0.5),"Ash fraction above 0.5 — over half this sample was mineral soil. Re-wash. ","")&amp;IF($F542="Not separated","Live and dead not separated. Fine for a stock, but "&amp;"note it in reporting. ",""))</f>
        <v/>
      </c>
      <c r="P542" s="6" t="n"/>
      <c r="Q542" s="9">
        <f>IF($B542="",0,IF(COUNTIFS($B$5:$B542,$B542)=1,1,0))</f>
        <v/>
      </c>
    </row>
    <row r="543">
      <c r="A543" s="6" t="n"/>
      <c r="B543" s="6" t="n"/>
      <c r="C543" s="6" t="n"/>
      <c r="D543" s="6" t="n"/>
      <c r="E543" s="6" t="n"/>
      <c r="F543" s="6" t="n"/>
      <c r="G543" s="7" t="n"/>
      <c r="H543" s="7" t="n"/>
      <c r="I543" s="6" t="n"/>
      <c r="J543" s="9">
        <f>IF(NOT(ISNUMBER($G543)),"",IF(AND(ASH_CORRECTED="Yes",ISNUMBER($H543)),$G543*(1-$H543),$G543))</f>
        <v/>
      </c>
      <c r="K543" s="9">
        <f>IF($B543="","",IFERROR(AVERAGEIFS('2. Soil Data'!$G$5:$G$604,'2. Soil Data'!$B$5:$B$604,$B543),""))</f>
        <v/>
      </c>
      <c r="L543" s="9">
        <f>IF(NOT(ISNUMBER($K543)),"",PI()*($K543/2)^2)</f>
        <v/>
      </c>
      <c r="M543" s="9">
        <f>IF(OR(NOT(ISNUMBER($J543)),NOT(ISNUMBER($L543)),$L543=0),"",$J543/$L543*10000)</f>
        <v/>
      </c>
      <c r="N543" s="9">
        <f>IF(NOT(ISNUMBER($M543)),"",$M543*CARBON_FRACTION_ROOT/1000)</f>
        <v/>
      </c>
      <c r="O543" s="11">
        <f>IF(AND($A543="",$B543="",$G543=""),"",IF(AND($B543&lt;&gt;"",COUNTIFS('2. Soil Data'!$B$5:$B$604,$B543)=0),"Core ID not found in Soil Data, so the corer diameter cannot be looked up. ","")&amp;IF(ASH_CORRECTED&lt;&gt;"Yes","Root mass is NOT ash-corrected, so it includes adhering mineral soil and is too high. Set ASH_CORRECTED once you have done it. ","")&amp;IF(AND(ASH_CORRECTED="Yes",NOT(ISNUMBER($H543))),"Ash correction is switched on but no ash fraction is given for this row. ","")&amp;IF($I543="","Sieve mesh not recorded — a fine-root figure cannot be interpreted without it. ","")&amp;IF(AND(ISNUMBER($H543),$H543&gt;0.5),"Ash fraction above 0.5 — over half this sample was mineral soil. Re-wash. ","")&amp;IF($F543="Not separated","Live and dead not separated. Fine for a stock, but "&amp;"note it in reporting. ",""))</f>
        <v/>
      </c>
      <c r="P543" s="6" t="n"/>
      <c r="Q543" s="9">
        <f>IF($B543="",0,IF(COUNTIFS($B$5:$B543,$B543)=1,1,0))</f>
        <v/>
      </c>
    </row>
    <row r="544">
      <c r="A544" s="6" t="n"/>
      <c r="B544" s="6" t="n"/>
      <c r="C544" s="6" t="n"/>
      <c r="D544" s="6" t="n"/>
      <c r="E544" s="6" t="n"/>
      <c r="F544" s="6" t="n"/>
      <c r="G544" s="7" t="n"/>
      <c r="H544" s="7" t="n"/>
      <c r="I544" s="6" t="n"/>
      <c r="J544" s="9">
        <f>IF(NOT(ISNUMBER($G544)),"",IF(AND(ASH_CORRECTED="Yes",ISNUMBER($H544)),$G544*(1-$H544),$G544))</f>
        <v/>
      </c>
      <c r="K544" s="9">
        <f>IF($B544="","",IFERROR(AVERAGEIFS('2. Soil Data'!$G$5:$G$604,'2. Soil Data'!$B$5:$B$604,$B544),""))</f>
        <v/>
      </c>
      <c r="L544" s="9">
        <f>IF(NOT(ISNUMBER($K544)),"",PI()*($K544/2)^2)</f>
        <v/>
      </c>
      <c r="M544" s="9">
        <f>IF(OR(NOT(ISNUMBER($J544)),NOT(ISNUMBER($L544)),$L544=0),"",$J544/$L544*10000)</f>
        <v/>
      </c>
      <c r="N544" s="9">
        <f>IF(NOT(ISNUMBER($M544)),"",$M544*CARBON_FRACTION_ROOT/1000)</f>
        <v/>
      </c>
      <c r="O544" s="11">
        <f>IF(AND($A544="",$B544="",$G544=""),"",IF(AND($B544&lt;&gt;"",COUNTIFS('2. Soil Data'!$B$5:$B$604,$B544)=0),"Core ID not found in Soil Data, so the corer diameter cannot be looked up. ","")&amp;IF(ASH_CORRECTED&lt;&gt;"Yes","Root mass is NOT ash-corrected, so it includes adhering mineral soil and is too high. Set ASH_CORRECTED once you have done it. ","")&amp;IF(AND(ASH_CORRECTED="Yes",NOT(ISNUMBER($H544))),"Ash correction is switched on but no ash fraction is given for this row. ","")&amp;IF($I544="","Sieve mesh not recorded — a fine-root figure cannot be interpreted without it. ","")&amp;IF(AND(ISNUMBER($H544),$H544&gt;0.5),"Ash fraction above 0.5 — over half this sample was mineral soil. Re-wash. ","")&amp;IF($F544="Not separated","Live and dead not separated. Fine for a stock, but "&amp;"note it in reporting. ",""))</f>
        <v/>
      </c>
      <c r="P544" s="6" t="n"/>
      <c r="Q544" s="9">
        <f>IF($B544="",0,IF(COUNTIFS($B$5:$B544,$B544)=1,1,0))</f>
        <v/>
      </c>
    </row>
    <row r="545">
      <c r="A545" s="6" t="n"/>
      <c r="B545" s="6" t="n"/>
      <c r="C545" s="6" t="n"/>
      <c r="D545" s="6" t="n"/>
      <c r="E545" s="6" t="n"/>
      <c r="F545" s="6" t="n"/>
      <c r="G545" s="7" t="n"/>
      <c r="H545" s="7" t="n"/>
      <c r="I545" s="6" t="n"/>
      <c r="J545" s="9">
        <f>IF(NOT(ISNUMBER($G545)),"",IF(AND(ASH_CORRECTED="Yes",ISNUMBER($H545)),$G545*(1-$H545),$G545))</f>
        <v/>
      </c>
      <c r="K545" s="9">
        <f>IF($B545="","",IFERROR(AVERAGEIFS('2. Soil Data'!$G$5:$G$604,'2. Soil Data'!$B$5:$B$604,$B545),""))</f>
        <v/>
      </c>
      <c r="L545" s="9">
        <f>IF(NOT(ISNUMBER($K545)),"",PI()*($K545/2)^2)</f>
        <v/>
      </c>
      <c r="M545" s="9">
        <f>IF(OR(NOT(ISNUMBER($J545)),NOT(ISNUMBER($L545)),$L545=0),"",$J545/$L545*10000)</f>
        <v/>
      </c>
      <c r="N545" s="9">
        <f>IF(NOT(ISNUMBER($M545)),"",$M545*CARBON_FRACTION_ROOT/1000)</f>
        <v/>
      </c>
      <c r="O545" s="11">
        <f>IF(AND($A545="",$B545="",$G545=""),"",IF(AND($B545&lt;&gt;"",COUNTIFS('2. Soil Data'!$B$5:$B$604,$B545)=0),"Core ID not found in Soil Data, so the corer diameter cannot be looked up. ","")&amp;IF(ASH_CORRECTED&lt;&gt;"Yes","Root mass is NOT ash-corrected, so it includes adhering mineral soil and is too high. Set ASH_CORRECTED once you have done it. ","")&amp;IF(AND(ASH_CORRECTED="Yes",NOT(ISNUMBER($H545))),"Ash correction is switched on but no ash fraction is given for this row. ","")&amp;IF($I545="","Sieve mesh not recorded — a fine-root figure cannot be interpreted without it. ","")&amp;IF(AND(ISNUMBER($H545),$H545&gt;0.5),"Ash fraction above 0.5 — over half this sample was mineral soil. Re-wash. ","")&amp;IF($F545="Not separated","Live and dead not separated. Fine for a stock, but "&amp;"note it in reporting. ",""))</f>
        <v/>
      </c>
      <c r="P545" s="6" t="n"/>
      <c r="Q545" s="9">
        <f>IF($B545="",0,IF(COUNTIFS($B$5:$B545,$B545)=1,1,0))</f>
        <v/>
      </c>
    </row>
    <row r="546">
      <c r="A546" s="6" t="n"/>
      <c r="B546" s="6" t="n"/>
      <c r="C546" s="6" t="n"/>
      <c r="D546" s="6" t="n"/>
      <c r="E546" s="6" t="n"/>
      <c r="F546" s="6" t="n"/>
      <c r="G546" s="7" t="n"/>
      <c r="H546" s="7" t="n"/>
      <c r="I546" s="6" t="n"/>
      <c r="J546" s="9">
        <f>IF(NOT(ISNUMBER($G546)),"",IF(AND(ASH_CORRECTED="Yes",ISNUMBER($H546)),$G546*(1-$H546),$G546))</f>
        <v/>
      </c>
      <c r="K546" s="9">
        <f>IF($B546="","",IFERROR(AVERAGEIFS('2. Soil Data'!$G$5:$G$604,'2. Soil Data'!$B$5:$B$604,$B546),""))</f>
        <v/>
      </c>
      <c r="L546" s="9">
        <f>IF(NOT(ISNUMBER($K546)),"",PI()*($K546/2)^2)</f>
        <v/>
      </c>
      <c r="M546" s="9">
        <f>IF(OR(NOT(ISNUMBER($J546)),NOT(ISNUMBER($L546)),$L546=0),"",$J546/$L546*10000)</f>
        <v/>
      </c>
      <c r="N546" s="9">
        <f>IF(NOT(ISNUMBER($M546)),"",$M546*CARBON_FRACTION_ROOT/1000)</f>
        <v/>
      </c>
      <c r="O546" s="11">
        <f>IF(AND($A546="",$B546="",$G546=""),"",IF(AND($B546&lt;&gt;"",COUNTIFS('2. Soil Data'!$B$5:$B$604,$B546)=0),"Core ID not found in Soil Data, so the corer diameter cannot be looked up. ","")&amp;IF(ASH_CORRECTED&lt;&gt;"Yes","Root mass is NOT ash-corrected, so it includes adhering mineral soil and is too high. Set ASH_CORRECTED once you have done it. ","")&amp;IF(AND(ASH_CORRECTED="Yes",NOT(ISNUMBER($H546))),"Ash correction is switched on but no ash fraction is given for this row. ","")&amp;IF($I546="","Sieve mesh not recorded — a fine-root figure cannot be interpreted without it. ","")&amp;IF(AND(ISNUMBER($H546),$H546&gt;0.5),"Ash fraction above 0.5 — over half this sample was mineral soil. Re-wash. ","")&amp;IF($F546="Not separated","Live and dead not separated. Fine for a stock, but "&amp;"note it in reporting. ",""))</f>
        <v/>
      </c>
      <c r="P546" s="6" t="n"/>
      <c r="Q546" s="9">
        <f>IF($B546="",0,IF(COUNTIFS($B$5:$B546,$B546)=1,1,0))</f>
        <v/>
      </c>
    </row>
    <row r="547">
      <c r="A547" s="6" t="n"/>
      <c r="B547" s="6" t="n"/>
      <c r="C547" s="6" t="n"/>
      <c r="D547" s="6" t="n"/>
      <c r="E547" s="6" t="n"/>
      <c r="F547" s="6" t="n"/>
      <c r="G547" s="7" t="n"/>
      <c r="H547" s="7" t="n"/>
      <c r="I547" s="6" t="n"/>
      <c r="J547" s="9">
        <f>IF(NOT(ISNUMBER($G547)),"",IF(AND(ASH_CORRECTED="Yes",ISNUMBER($H547)),$G547*(1-$H547),$G547))</f>
        <v/>
      </c>
      <c r="K547" s="9">
        <f>IF($B547="","",IFERROR(AVERAGEIFS('2. Soil Data'!$G$5:$G$604,'2. Soil Data'!$B$5:$B$604,$B547),""))</f>
        <v/>
      </c>
      <c r="L547" s="9">
        <f>IF(NOT(ISNUMBER($K547)),"",PI()*($K547/2)^2)</f>
        <v/>
      </c>
      <c r="M547" s="9">
        <f>IF(OR(NOT(ISNUMBER($J547)),NOT(ISNUMBER($L547)),$L547=0),"",$J547/$L547*10000)</f>
        <v/>
      </c>
      <c r="N547" s="9">
        <f>IF(NOT(ISNUMBER($M547)),"",$M547*CARBON_FRACTION_ROOT/1000)</f>
        <v/>
      </c>
      <c r="O547" s="11">
        <f>IF(AND($A547="",$B547="",$G547=""),"",IF(AND($B547&lt;&gt;"",COUNTIFS('2. Soil Data'!$B$5:$B$604,$B547)=0),"Core ID not found in Soil Data, so the corer diameter cannot be looked up. ","")&amp;IF(ASH_CORRECTED&lt;&gt;"Yes","Root mass is NOT ash-corrected, so it includes adhering mineral soil and is too high. Set ASH_CORRECTED once you have done it. ","")&amp;IF(AND(ASH_CORRECTED="Yes",NOT(ISNUMBER($H547))),"Ash correction is switched on but no ash fraction is given for this row. ","")&amp;IF($I547="","Sieve mesh not recorded — a fine-root figure cannot be interpreted without it. ","")&amp;IF(AND(ISNUMBER($H547),$H547&gt;0.5),"Ash fraction above 0.5 — over half this sample was mineral soil. Re-wash. ","")&amp;IF($F547="Not separated","Live and dead not separated. Fine for a stock, but "&amp;"note it in reporting. ",""))</f>
        <v/>
      </c>
      <c r="P547" s="6" t="n"/>
      <c r="Q547" s="9">
        <f>IF($B547="",0,IF(COUNTIFS($B$5:$B547,$B547)=1,1,0))</f>
        <v/>
      </c>
    </row>
    <row r="548">
      <c r="A548" s="6" t="n"/>
      <c r="B548" s="6" t="n"/>
      <c r="C548" s="6" t="n"/>
      <c r="D548" s="6" t="n"/>
      <c r="E548" s="6" t="n"/>
      <c r="F548" s="6" t="n"/>
      <c r="G548" s="7" t="n"/>
      <c r="H548" s="7" t="n"/>
      <c r="I548" s="6" t="n"/>
      <c r="J548" s="9">
        <f>IF(NOT(ISNUMBER($G548)),"",IF(AND(ASH_CORRECTED="Yes",ISNUMBER($H548)),$G548*(1-$H548),$G548))</f>
        <v/>
      </c>
      <c r="K548" s="9">
        <f>IF($B548="","",IFERROR(AVERAGEIFS('2. Soil Data'!$G$5:$G$604,'2. Soil Data'!$B$5:$B$604,$B548),""))</f>
        <v/>
      </c>
      <c r="L548" s="9">
        <f>IF(NOT(ISNUMBER($K548)),"",PI()*($K548/2)^2)</f>
        <v/>
      </c>
      <c r="M548" s="9">
        <f>IF(OR(NOT(ISNUMBER($J548)),NOT(ISNUMBER($L548)),$L548=0),"",$J548/$L548*10000)</f>
        <v/>
      </c>
      <c r="N548" s="9">
        <f>IF(NOT(ISNUMBER($M548)),"",$M548*CARBON_FRACTION_ROOT/1000)</f>
        <v/>
      </c>
      <c r="O548" s="11">
        <f>IF(AND($A548="",$B548="",$G548=""),"",IF(AND($B548&lt;&gt;"",COUNTIFS('2. Soil Data'!$B$5:$B$604,$B548)=0),"Core ID not found in Soil Data, so the corer diameter cannot be looked up. ","")&amp;IF(ASH_CORRECTED&lt;&gt;"Yes","Root mass is NOT ash-corrected, so it includes adhering mineral soil and is too high. Set ASH_CORRECTED once you have done it. ","")&amp;IF(AND(ASH_CORRECTED="Yes",NOT(ISNUMBER($H548))),"Ash correction is switched on but no ash fraction is given for this row. ","")&amp;IF($I548="","Sieve mesh not recorded — a fine-root figure cannot be interpreted without it. ","")&amp;IF(AND(ISNUMBER($H548),$H548&gt;0.5),"Ash fraction above 0.5 — over half this sample was mineral soil. Re-wash. ","")&amp;IF($F548="Not separated","Live and dead not separated. Fine for a stock, but "&amp;"note it in reporting. ",""))</f>
        <v/>
      </c>
      <c r="P548" s="6" t="n"/>
      <c r="Q548" s="9">
        <f>IF($B548="",0,IF(COUNTIFS($B$5:$B548,$B548)=1,1,0))</f>
        <v/>
      </c>
    </row>
    <row r="549">
      <c r="A549" s="6" t="n"/>
      <c r="B549" s="6" t="n"/>
      <c r="C549" s="6" t="n"/>
      <c r="D549" s="6" t="n"/>
      <c r="E549" s="6" t="n"/>
      <c r="F549" s="6" t="n"/>
      <c r="G549" s="7" t="n"/>
      <c r="H549" s="7" t="n"/>
      <c r="I549" s="6" t="n"/>
      <c r="J549" s="9">
        <f>IF(NOT(ISNUMBER($G549)),"",IF(AND(ASH_CORRECTED="Yes",ISNUMBER($H549)),$G549*(1-$H549),$G549))</f>
        <v/>
      </c>
      <c r="K549" s="9">
        <f>IF($B549="","",IFERROR(AVERAGEIFS('2. Soil Data'!$G$5:$G$604,'2. Soil Data'!$B$5:$B$604,$B549),""))</f>
        <v/>
      </c>
      <c r="L549" s="9">
        <f>IF(NOT(ISNUMBER($K549)),"",PI()*($K549/2)^2)</f>
        <v/>
      </c>
      <c r="M549" s="9">
        <f>IF(OR(NOT(ISNUMBER($J549)),NOT(ISNUMBER($L549)),$L549=0),"",$J549/$L549*10000)</f>
        <v/>
      </c>
      <c r="N549" s="9">
        <f>IF(NOT(ISNUMBER($M549)),"",$M549*CARBON_FRACTION_ROOT/1000)</f>
        <v/>
      </c>
      <c r="O549" s="11">
        <f>IF(AND($A549="",$B549="",$G549=""),"",IF(AND($B549&lt;&gt;"",COUNTIFS('2. Soil Data'!$B$5:$B$604,$B549)=0),"Core ID not found in Soil Data, so the corer diameter cannot be looked up. ","")&amp;IF(ASH_CORRECTED&lt;&gt;"Yes","Root mass is NOT ash-corrected, so it includes adhering mineral soil and is too high. Set ASH_CORRECTED once you have done it. ","")&amp;IF(AND(ASH_CORRECTED="Yes",NOT(ISNUMBER($H549))),"Ash correction is switched on but no ash fraction is given for this row. ","")&amp;IF($I549="","Sieve mesh not recorded — a fine-root figure cannot be interpreted without it. ","")&amp;IF(AND(ISNUMBER($H549),$H549&gt;0.5),"Ash fraction above 0.5 — over half this sample was mineral soil. Re-wash. ","")&amp;IF($F549="Not separated","Live and dead not separated. Fine for a stock, but "&amp;"note it in reporting. ",""))</f>
        <v/>
      </c>
      <c r="P549" s="6" t="n"/>
      <c r="Q549" s="9">
        <f>IF($B549="",0,IF(COUNTIFS($B$5:$B549,$B549)=1,1,0))</f>
        <v/>
      </c>
    </row>
    <row r="550">
      <c r="A550" s="6" t="n"/>
      <c r="B550" s="6" t="n"/>
      <c r="C550" s="6" t="n"/>
      <c r="D550" s="6" t="n"/>
      <c r="E550" s="6" t="n"/>
      <c r="F550" s="6" t="n"/>
      <c r="G550" s="7" t="n"/>
      <c r="H550" s="7" t="n"/>
      <c r="I550" s="6" t="n"/>
      <c r="J550" s="9">
        <f>IF(NOT(ISNUMBER($G550)),"",IF(AND(ASH_CORRECTED="Yes",ISNUMBER($H550)),$G550*(1-$H550),$G550))</f>
        <v/>
      </c>
      <c r="K550" s="9">
        <f>IF($B550="","",IFERROR(AVERAGEIFS('2. Soil Data'!$G$5:$G$604,'2. Soil Data'!$B$5:$B$604,$B550),""))</f>
        <v/>
      </c>
      <c r="L550" s="9">
        <f>IF(NOT(ISNUMBER($K550)),"",PI()*($K550/2)^2)</f>
        <v/>
      </c>
      <c r="M550" s="9">
        <f>IF(OR(NOT(ISNUMBER($J550)),NOT(ISNUMBER($L550)),$L550=0),"",$J550/$L550*10000)</f>
        <v/>
      </c>
      <c r="N550" s="9">
        <f>IF(NOT(ISNUMBER($M550)),"",$M550*CARBON_FRACTION_ROOT/1000)</f>
        <v/>
      </c>
      <c r="O550" s="11">
        <f>IF(AND($A550="",$B550="",$G550=""),"",IF(AND($B550&lt;&gt;"",COUNTIFS('2. Soil Data'!$B$5:$B$604,$B550)=0),"Core ID not found in Soil Data, so the corer diameter cannot be looked up. ","")&amp;IF(ASH_CORRECTED&lt;&gt;"Yes","Root mass is NOT ash-corrected, so it includes adhering mineral soil and is too high. Set ASH_CORRECTED once you have done it. ","")&amp;IF(AND(ASH_CORRECTED="Yes",NOT(ISNUMBER($H550))),"Ash correction is switched on but no ash fraction is given for this row. ","")&amp;IF($I550="","Sieve mesh not recorded — a fine-root figure cannot be interpreted without it. ","")&amp;IF(AND(ISNUMBER($H550),$H550&gt;0.5),"Ash fraction above 0.5 — over half this sample was mineral soil. Re-wash. ","")&amp;IF($F550="Not separated","Live and dead not separated. Fine for a stock, but "&amp;"note it in reporting. ",""))</f>
        <v/>
      </c>
      <c r="P550" s="6" t="n"/>
      <c r="Q550" s="9">
        <f>IF($B550="",0,IF(COUNTIFS($B$5:$B550,$B550)=1,1,0))</f>
        <v/>
      </c>
    </row>
    <row r="551">
      <c r="A551" s="6" t="n"/>
      <c r="B551" s="6" t="n"/>
      <c r="C551" s="6" t="n"/>
      <c r="D551" s="6" t="n"/>
      <c r="E551" s="6" t="n"/>
      <c r="F551" s="6" t="n"/>
      <c r="G551" s="7" t="n"/>
      <c r="H551" s="7" t="n"/>
      <c r="I551" s="6" t="n"/>
      <c r="J551" s="9">
        <f>IF(NOT(ISNUMBER($G551)),"",IF(AND(ASH_CORRECTED="Yes",ISNUMBER($H551)),$G551*(1-$H551),$G551))</f>
        <v/>
      </c>
      <c r="K551" s="9">
        <f>IF($B551="","",IFERROR(AVERAGEIFS('2. Soil Data'!$G$5:$G$604,'2. Soil Data'!$B$5:$B$604,$B551),""))</f>
        <v/>
      </c>
      <c r="L551" s="9">
        <f>IF(NOT(ISNUMBER($K551)),"",PI()*($K551/2)^2)</f>
        <v/>
      </c>
      <c r="M551" s="9">
        <f>IF(OR(NOT(ISNUMBER($J551)),NOT(ISNUMBER($L551)),$L551=0),"",$J551/$L551*10000)</f>
        <v/>
      </c>
      <c r="N551" s="9">
        <f>IF(NOT(ISNUMBER($M551)),"",$M551*CARBON_FRACTION_ROOT/1000)</f>
        <v/>
      </c>
      <c r="O551" s="11">
        <f>IF(AND($A551="",$B551="",$G551=""),"",IF(AND($B551&lt;&gt;"",COUNTIFS('2. Soil Data'!$B$5:$B$604,$B551)=0),"Core ID not found in Soil Data, so the corer diameter cannot be looked up. ","")&amp;IF(ASH_CORRECTED&lt;&gt;"Yes","Root mass is NOT ash-corrected, so it includes adhering mineral soil and is too high. Set ASH_CORRECTED once you have done it. ","")&amp;IF(AND(ASH_CORRECTED="Yes",NOT(ISNUMBER($H551))),"Ash correction is switched on but no ash fraction is given for this row. ","")&amp;IF($I551="","Sieve mesh not recorded — a fine-root figure cannot be interpreted without it. ","")&amp;IF(AND(ISNUMBER($H551),$H551&gt;0.5),"Ash fraction above 0.5 — over half this sample was mineral soil. Re-wash. ","")&amp;IF($F551="Not separated","Live and dead not separated. Fine for a stock, but "&amp;"note it in reporting. ",""))</f>
        <v/>
      </c>
      <c r="P551" s="6" t="n"/>
      <c r="Q551" s="9">
        <f>IF($B551="",0,IF(COUNTIFS($B$5:$B551,$B551)=1,1,0))</f>
        <v/>
      </c>
    </row>
    <row r="552">
      <c r="A552" s="6" t="n"/>
      <c r="B552" s="6" t="n"/>
      <c r="C552" s="6" t="n"/>
      <c r="D552" s="6" t="n"/>
      <c r="E552" s="6" t="n"/>
      <c r="F552" s="6" t="n"/>
      <c r="G552" s="7" t="n"/>
      <c r="H552" s="7" t="n"/>
      <c r="I552" s="6" t="n"/>
      <c r="J552" s="9">
        <f>IF(NOT(ISNUMBER($G552)),"",IF(AND(ASH_CORRECTED="Yes",ISNUMBER($H552)),$G552*(1-$H552),$G552))</f>
        <v/>
      </c>
      <c r="K552" s="9">
        <f>IF($B552="","",IFERROR(AVERAGEIFS('2. Soil Data'!$G$5:$G$604,'2. Soil Data'!$B$5:$B$604,$B552),""))</f>
        <v/>
      </c>
      <c r="L552" s="9">
        <f>IF(NOT(ISNUMBER($K552)),"",PI()*($K552/2)^2)</f>
        <v/>
      </c>
      <c r="M552" s="9">
        <f>IF(OR(NOT(ISNUMBER($J552)),NOT(ISNUMBER($L552)),$L552=0),"",$J552/$L552*10000)</f>
        <v/>
      </c>
      <c r="N552" s="9">
        <f>IF(NOT(ISNUMBER($M552)),"",$M552*CARBON_FRACTION_ROOT/1000)</f>
        <v/>
      </c>
      <c r="O552" s="11">
        <f>IF(AND($A552="",$B552="",$G552=""),"",IF(AND($B552&lt;&gt;"",COUNTIFS('2. Soil Data'!$B$5:$B$604,$B552)=0),"Core ID not found in Soil Data, so the corer diameter cannot be looked up. ","")&amp;IF(ASH_CORRECTED&lt;&gt;"Yes","Root mass is NOT ash-corrected, so it includes adhering mineral soil and is too high. Set ASH_CORRECTED once you have done it. ","")&amp;IF(AND(ASH_CORRECTED="Yes",NOT(ISNUMBER($H552))),"Ash correction is switched on but no ash fraction is given for this row. ","")&amp;IF($I552="","Sieve mesh not recorded — a fine-root figure cannot be interpreted without it. ","")&amp;IF(AND(ISNUMBER($H552),$H552&gt;0.5),"Ash fraction above 0.5 — over half this sample was mineral soil. Re-wash. ","")&amp;IF($F552="Not separated","Live and dead not separated. Fine for a stock, but "&amp;"note it in reporting. ",""))</f>
        <v/>
      </c>
      <c r="P552" s="6" t="n"/>
      <c r="Q552" s="9">
        <f>IF($B552="",0,IF(COUNTIFS($B$5:$B552,$B552)=1,1,0))</f>
        <v/>
      </c>
    </row>
    <row r="553">
      <c r="A553" s="6" t="n"/>
      <c r="B553" s="6" t="n"/>
      <c r="C553" s="6" t="n"/>
      <c r="D553" s="6" t="n"/>
      <c r="E553" s="6" t="n"/>
      <c r="F553" s="6" t="n"/>
      <c r="G553" s="7" t="n"/>
      <c r="H553" s="7" t="n"/>
      <c r="I553" s="6" t="n"/>
      <c r="J553" s="9">
        <f>IF(NOT(ISNUMBER($G553)),"",IF(AND(ASH_CORRECTED="Yes",ISNUMBER($H553)),$G553*(1-$H553),$G553))</f>
        <v/>
      </c>
      <c r="K553" s="9">
        <f>IF($B553="","",IFERROR(AVERAGEIFS('2. Soil Data'!$G$5:$G$604,'2. Soil Data'!$B$5:$B$604,$B553),""))</f>
        <v/>
      </c>
      <c r="L553" s="9">
        <f>IF(NOT(ISNUMBER($K553)),"",PI()*($K553/2)^2)</f>
        <v/>
      </c>
      <c r="M553" s="9">
        <f>IF(OR(NOT(ISNUMBER($J553)),NOT(ISNUMBER($L553)),$L553=0),"",$J553/$L553*10000)</f>
        <v/>
      </c>
      <c r="N553" s="9">
        <f>IF(NOT(ISNUMBER($M553)),"",$M553*CARBON_FRACTION_ROOT/1000)</f>
        <v/>
      </c>
      <c r="O553" s="11">
        <f>IF(AND($A553="",$B553="",$G553=""),"",IF(AND($B553&lt;&gt;"",COUNTIFS('2. Soil Data'!$B$5:$B$604,$B553)=0),"Core ID not found in Soil Data, so the corer diameter cannot be looked up. ","")&amp;IF(ASH_CORRECTED&lt;&gt;"Yes","Root mass is NOT ash-corrected, so it includes adhering mineral soil and is too high. Set ASH_CORRECTED once you have done it. ","")&amp;IF(AND(ASH_CORRECTED="Yes",NOT(ISNUMBER($H553))),"Ash correction is switched on but no ash fraction is given for this row. ","")&amp;IF($I553="","Sieve mesh not recorded — a fine-root figure cannot be interpreted without it. ","")&amp;IF(AND(ISNUMBER($H553),$H553&gt;0.5),"Ash fraction above 0.5 — over half this sample was mineral soil. Re-wash. ","")&amp;IF($F553="Not separated","Live and dead not separated. Fine for a stock, but "&amp;"note it in reporting. ",""))</f>
        <v/>
      </c>
      <c r="P553" s="6" t="n"/>
      <c r="Q553" s="9">
        <f>IF($B553="",0,IF(COUNTIFS($B$5:$B553,$B553)=1,1,0))</f>
        <v/>
      </c>
    </row>
    <row r="554">
      <c r="A554" s="6" t="n"/>
      <c r="B554" s="6" t="n"/>
      <c r="C554" s="6" t="n"/>
      <c r="D554" s="6" t="n"/>
      <c r="E554" s="6" t="n"/>
      <c r="F554" s="6" t="n"/>
      <c r="G554" s="7" t="n"/>
      <c r="H554" s="7" t="n"/>
      <c r="I554" s="6" t="n"/>
      <c r="J554" s="9">
        <f>IF(NOT(ISNUMBER($G554)),"",IF(AND(ASH_CORRECTED="Yes",ISNUMBER($H554)),$G554*(1-$H554),$G554))</f>
        <v/>
      </c>
      <c r="K554" s="9">
        <f>IF($B554="","",IFERROR(AVERAGEIFS('2. Soil Data'!$G$5:$G$604,'2. Soil Data'!$B$5:$B$604,$B554),""))</f>
        <v/>
      </c>
      <c r="L554" s="9">
        <f>IF(NOT(ISNUMBER($K554)),"",PI()*($K554/2)^2)</f>
        <v/>
      </c>
      <c r="M554" s="9">
        <f>IF(OR(NOT(ISNUMBER($J554)),NOT(ISNUMBER($L554)),$L554=0),"",$J554/$L554*10000)</f>
        <v/>
      </c>
      <c r="N554" s="9">
        <f>IF(NOT(ISNUMBER($M554)),"",$M554*CARBON_FRACTION_ROOT/1000)</f>
        <v/>
      </c>
      <c r="O554" s="11">
        <f>IF(AND($A554="",$B554="",$G554=""),"",IF(AND($B554&lt;&gt;"",COUNTIFS('2. Soil Data'!$B$5:$B$604,$B554)=0),"Core ID not found in Soil Data, so the corer diameter cannot be looked up. ","")&amp;IF(ASH_CORRECTED&lt;&gt;"Yes","Root mass is NOT ash-corrected, so it includes adhering mineral soil and is too high. Set ASH_CORRECTED once you have done it. ","")&amp;IF(AND(ASH_CORRECTED="Yes",NOT(ISNUMBER($H554))),"Ash correction is switched on but no ash fraction is given for this row. ","")&amp;IF($I554="","Sieve mesh not recorded — a fine-root figure cannot be interpreted without it. ","")&amp;IF(AND(ISNUMBER($H554),$H554&gt;0.5),"Ash fraction above 0.5 — over half this sample was mineral soil. Re-wash. ","")&amp;IF($F554="Not separated","Live and dead not separated. Fine for a stock, but "&amp;"note it in reporting. ",""))</f>
        <v/>
      </c>
      <c r="P554" s="6" t="n"/>
      <c r="Q554" s="9">
        <f>IF($B554="",0,IF(COUNTIFS($B$5:$B554,$B554)=1,1,0))</f>
        <v/>
      </c>
    </row>
    <row r="555">
      <c r="A555" s="6" t="n"/>
      <c r="B555" s="6" t="n"/>
      <c r="C555" s="6" t="n"/>
      <c r="D555" s="6" t="n"/>
      <c r="E555" s="6" t="n"/>
      <c r="F555" s="6" t="n"/>
      <c r="G555" s="7" t="n"/>
      <c r="H555" s="7" t="n"/>
      <c r="I555" s="6" t="n"/>
      <c r="J555" s="9">
        <f>IF(NOT(ISNUMBER($G555)),"",IF(AND(ASH_CORRECTED="Yes",ISNUMBER($H555)),$G555*(1-$H555),$G555))</f>
        <v/>
      </c>
      <c r="K555" s="9">
        <f>IF($B555="","",IFERROR(AVERAGEIFS('2. Soil Data'!$G$5:$G$604,'2. Soil Data'!$B$5:$B$604,$B555),""))</f>
        <v/>
      </c>
      <c r="L555" s="9">
        <f>IF(NOT(ISNUMBER($K555)),"",PI()*($K555/2)^2)</f>
        <v/>
      </c>
      <c r="M555" s="9">
        <f>IF(OR(NOT(ISNUMBER($J555)),NOT(ISNUMBER($L555)),$L555=0),"",$J555/$L555*10000)</f>
        <v/>
      </c>
      <c r="N555" s="9">
        <f>IF(NOT(ISNUMBER($M555)),"",$M555*CARBON_FRACTION_ROOT/1000)</f>
        <v/>
      </c>
      <c r="O555" s="11">
        <f>IF(AND($A555="",$B555="",$G555=""),"",IF(AND($B555&lt;&gt;"",COUNTIFS('2. Soil Data'!$B$5:$B$604,$B555)=0),"Core ID not found in Soil Data, so the corer diameter cannot be looked up. ","")&amp;IF(ASH_CORRECTED&lt;&gt;"Yes","Root mass is NOT ash-corrected, so it includes adhering mineral soil and is too high. Set ASH_CORRECTED once you have done it. ","")&amp;IF(AND(ASH_CORRECTED="Yes",NOT(ISNUMBER($H555))),"Ash correction is switched on but no ash fraction is given for this row. ","")&amp;IF($I555="","Sieve mesh not recorded — a fine-root figure cannot be interpreted without it. ","")&amp;IF(AND(ISNUMBER($H555),$H555&gt;0.5),"Ash fraction above 0.5 — over half this sample was mineral soil. Re-wash. ","")&amp;IF($F555="Not separated","Live and dead not separated. Fine for a stock, but "&amp;"note it in reporting. ",""))</f>
        <v/>
      </c>
      <c r="P555" s="6" t="n"/>
      <c r="Q555" s="9">
        <f>IF($B555="",0,IF(COUNTIFS($B$5:$B555,$B555)=1,1,0))</f>
        <v/>
      </c>
    </row>
    <row r="556">
      <c r="A556" s="6" t="n"/>
      <c r="B556" s="6" t="n"/>
      <c r="C556" s="6" t="n"/>
      <c r="D556" s="6" t="n"/>
      <c r="E556" s="6" t="n"/>
      <c r="F556" s="6" t="n"/>
      <c r="G556" s="7" t="n"/>
      <c r="H556" s="7" t="n"/>
      <c r="I556" s="6" t="n"/>
      <c r="J556" s="9">
        <f>IF(NOT(ISNUMBER($G556)),"",IF(AND(ASH_CORRECTED="Yes",ISNUMBER($H556)),$G556*(1-$H556),$G556))</f>
        <v/>
      </c>
      <c r="K556" s="9">
        <f>IF($B556="","",IFERROR(AVERAGEIFS('2. Soil Data'!$G$5:$G$604,'2. Soil Data'!$B$5:$B$604,$B556),""))</f>
        <v/>
      </c>
      <c r="L556" s="9">
        <f>IF(NOT(ISNUMBER($K556)),"",PI()*($K556/2)^2)</f>
        <v/>
      </c>
      <c r="M556" s="9">
        <f>IF(OR(NOT(ISNUMBER($J556)),NOT(ISNUMBER($L556)),$L556=0),"",$J556/$L556*10000)</f>
        <v/>
      </c>
      <c r="N556" s="9">
        <f>IF(NOT(ISNUMBER($M556)),"",$M556*CARBON_FRACTION_ROOT/1000)</f>
        <v/>
      </c>
      <c r="O556" s="11">
        <f>IF(AND($A556="",$B556="",$G556=""),"",IF(AND($B556&lt;&gt;"",COUNTIFS('2. Soil Data'!$B$5:$B$604,$B556)=0),"Core ID not found in Soil Data, so the corer diameter cannot be looked up. ","")&amp;IF(ASH_CORRECTED&lt;&gt;"Yes","Root mass is NOT ash-corrected, so it includes adhering mineral soil and is too high. Set ASH_CORRECTED once you have done it. ","")&amp;IF(AND(ASH_CORRECTED="Yes",NOT(ISNUMBER($H556))),"Ash correction is switched on but no ash fraction is given for this row. ","")&amp;IF($I556="","Sieve mesh not recorded — a fine-root figure cannot be interpreted without it. ","")&amp;IF(AND(ISNUMBER($H556),$H556&gt;0.5),"Ash fraction above 0.5 — over half this sample was mineral soil. Re-wash. ","")&amp;IF($F556="Not separated","Live and dead not separated. Fine for a stock, but "&amp;"note it in reporting. ",""))</f>
        <v/>
      </c>
      <c r="P556" s="6" t="n"/>
      <c r="Q556" s="9">
        <f>IF($B556="",0,IF(COUNTIFS($B$5:$B556,$B556)=1,1,0))</f>
        <v/>
      </c>
    </row>
    <row r="557">
      <c r="A557" s="6" t="n"/>
      <c r="B557" s="6" t="n"/>
      <c r="C557" s="6" t="n"/>
      <c r="D557" s="6" t="n"/>
      <c r="E557" s="6" t="n"/>
      <c r="F557" s="6" t="n"/>
      <c r="G557" s="7" t="n"/>
      <c r="H557" s="7" t="n"/>
      <c r="I557" s="6" t="n"/>
      <c r="J557" s="9">
        <f>IF(NOT(ISNUMBER($G557)),"",IF(AND(ASH_CORRECTED="Yes",ISNUMBER($H557)),$G557*(1-$H557),$G557))</f>
        <v/>
      </c>
      <c r="K557" s="9">
        <f>IF($B557="","",IFERROR(AVERAGEIFS('2. Soil Data'!$G$5:$G$604,'2. Soil Data'!$B$5:$B$604,$B557),""))</f>
        <v/>
      </c>
      <c r="L557" s="9">
        <f>IF(NOT(ISNUMBER($K557)),"",PI()*($K557/2)^2)</f>
        <v/>
      </c>
      <c r="M557" s="9">
        <f>IF(OR(NOT(ISNUMBER($J557)),NOT(ISNUMBER($L557)),$L557=0),"",$J557/$L557*10000)</f>
        <v/>
      </c>
      <c r="N557" s="9">
        <f>IF(NOT(ISNUMBER($M557)),"",$M557*CARBON_FRACTION_ROOT/1000)</f>
        <v/>
      </c>
      <c r="O557" s="11">
        <f>IF(AND($A557="",$B557="",$G557=""),"",IF(AND($B557&lt;&gt;"",COUNTIFS('2. Soil Data'!$B$5:$B$604,$B557)=0),"Core ID not found in Soil Data, so the corer diameter cannot be looked up. ","")&amp;IF(ASH_CORRECTED&lt;&gt;"Yes","Root mass is NOT ash-corrected, so it includes adhering mineral soil and is too high. Set ASH_CORRECTED once you have done it. ","")&amp;IF(AND(ASH_CORRECTED="Yes",NOT(ISNUMBER($H557))),"Ash correction is switched on but no ash fraction is given for this row. ","")&amp;IF($I557="","Sieve mesh not recorded — a fine-root figure cannot be interpreted without it. ","")&amp;IF(AND(ISNUMBER($H557),$H557&gt;0.5),"Ash fraction above 0.5 — over half this sample was mineral soil. Re-wash. ","")&amp;IF($F557="Not separated","Live and dead not separated. Fine for a stock, but "&amp;"note it in reporting. ",""))</f>
        <v/>
      </c>
      <c r="P557" s="6" t="n"/>
      <c r="Q557" s="9">
        <f>IF($B557="",0,IF(COUNTIFS($B$5:$B557,$B557)=1,1,0))</f>
        <v/>
      </c>
    </row>
    <row r="558">
      <c r="A558" s="6" t="n"/>
      <c r="B558" s="6" t="n"/>
      <c r="C558" s="6" t="n"/>
      <c r="D558" s="6" t="n"/>
      <c r="E558" s="6" t="n"/>
      <c r="F558" s="6" t="n"/>
      <c r="G558" s="7" t="n"/>
      <c r="H558" s="7" t="n"/>
      <c r="I558" s="6" t="n"/>
      <c r="J558" s="9">
        <f>IF(NOT(ISNUMBER($G558)),"",IF(AND(ASH_CORRECTED="Yes",ISNUMBER($H558)),$G558*(1-$H558),$G558))</f>
        <v/>
      </c>
      <c r="K558" s="9">
        <f>IF($B558="","",IFERROR(AVERAGEIFS('2. Soil Data'!$G$5:$G$604,'2. Soil Data'!$B$5:$B$604,$B558),""))</f>
        <v/>
      </c>
      <c r="L558" s="9">
        <f>IF(NOT(ISNUMBER($K558)),"",PI()*($K558/2)^2)</f>
        <v/>
      </c>
      <c r="M558" s="9">
        <f>IF(OR(NOT(ISNUMBER($J558)),NOT(ISNUMBER($L558)),$L558=0),"",$J558/$L558*10000)</f>
        <v/>
      </c>
      <c r="N558" s="9">
        <f>IF(NOT(ISNUMBER($M558)),"",$M558*CARBON_FRACTION_ROOT/1000)</f>
        <v/>
      </c>
      <c r="O558" s="11">
        <f>IF(AND($A558="",$B558="",$G558=""),"",IF(AND($B558&lt;&gt;"",COUNTIFS('2. Soil Data'!$B$5:$B$604,$B558)=0),"Core ID not found in Soil Data, so the corer diameter cannot be looked up. ","")&amp;IF(ASH_CORRECTED&lt;&gt;"Yes","Root mass is NOT ash-corrected, so it includes adhering mineral soil and is too high. Set ASH_CORRECTED once you have done it. ","")&amp;IF(AND(ASH_CORRECTED="Yes",NOT(ISNUMBER($H558))),"Ash correction is switched on but no ash fraction is given for this row. ","")&amp;IF($I558="","Sieve mesh not recorded — a fine-root figure cannot be interpreted without it. ","")&amp;IF(AND(ISNUMBER($H558),$H558&gt;0.5),"Ash fraction above 0.5 — over half this sample was mineral soil. Re-wash. ","")&amp;IF($F558="Not separated","Live and dead not separated. Fine for a stock, but "&amp;"note it in reporting. ",""))</f>
        <v/>
      </c>
      <c r="P558" s="6" t="n"/>
      <c r="Q558" s="9">
        <f>IF($B558="",0,IF(COUNTIFS($B$5:$B558,$B558)=1,1,0))</f>
        <v/>
      </c>
    </row>
    <row r="559">
      <c r="A559" s="6" t="n"/>
      <c r="B559" s="6" t="n"/>
      <c r="C559" s="6" t="n"/>
      <c r="D559" s="6" t="n"/>
      <c r="E559" s="6" t="n"/>
      <c r="F559" s="6" t="n"/>
      <c r="G559" s="7" t="n"/>
      <c r="H559" s="7" t="n"/>
      <c r="I559" s="6" t="n"/>
      <c r="J559" s="9">
        <f>IF(NOT(ISNUMBER($G559)),"",IF(AND(ASH_CORRECTED="Yes",ISNUMBER($H559)),$G559*(1-$H559),$G559))</f>
        <v/>
      </c>
      <c r="K559" s="9">
        <f>IF($B559="","",IFERROR(AVERAGEIFS('2. Soil Data'!$G$5:$G$604,'2. Soil Data'!$B$5:$B$604,$B559),""))</f>
        <v/>
      </c>
      <c r="L559" s="9">
        <f>IF(NOT(ISNUMBER($K559)),"",PI()*($K559/2)^2)</f>
        <v/>
      </c>
      <c r="M559" s="9">
        <f>IF(OR(NOT(ISNUMBER($J559)),NOT(ISNUMBER($L559)),$L559=0),"",$J559/$L559*10000)</f>
        <v/>
      </c>
      <c r="N559" s="9">
        <f>IF(NOT(ISNUMBER($M559)),"",$M559*CARBON_FRACTION_ROOT/1000)</f>
        <v/>
      </c>
      <c r="O559" s="11">
        <f>IF(AND($A559="",$B559="",$G559=""),"",IF(AND($B559&lt;&gt;"",COUNTIFS('2. Soil Data'!$B$5:$B$604,$B559)=0),"Core ID not found in Soil Data, so the corer diameter cannot be looked up. ","")&amp;IF(ASH_CORRECTED&lt;&gt;"Yes","Root mass is NOT ash-corrected, so it includes adhering mineral soil and is too high. Set ASH_CORRECTED once you have done it. ","")&amp;IF(AND(ASH_CORRECTED="Yes",NOT(ISNUMBER($H559))),"Ash correction is switched on but no ash fraction is given for this row. ","")&amp;IF($I559="","Sieve mesh not recorded — a fine-root figure cannot be interpreted without it. ","")&amp;IF(AND(ISNUMBER($H559),$H559&gt;0.5),"Ash fraction above 0.5 — over half this sample was mineral soil. Re-wash. ","")&amp;IF($F559="Not separated","Live and dead not separated. Fine for a stock, but "&amp;"note it in reporting. ",""))</f>
        <v/>
      </c>
      <c r="P559" s="6" t="n"/>
      <c r="Q559" s="9">
        <f>IF($B559="",0,IF(COUNTIFS($B$5:$B559,$B559)=1,1,0))</f>
        <v/>
      </c>
    </row>
    <row r="560">
      <c r="A560" s="6" t="n"/>
      <c r="B560" s="6" t="n"/>
      <c r="C560" s="6" t="n"/>
      <c r="D560" s="6" t="n"/>
      <c r="E560" s="6" t="n"/>
      <c r="F560" s="6" t="n"/>
      <c r="G560" s="7" t="n"/>
      <c r="H560" s="7" t="n"/>
      <c r="I560" s="6" t="n"/>
      <c r="J560" s="9">
        <f>IF(NOT(ISNUMBER($G560)),"",IF(AND(ASH_CORRECTED="Yes",ISNUMBER($H560)),$G560*(1-$H560),$G560))</f>
        <v/>
      </c>
      <c r="K560" s="9">
        <f>IF($B560="","",IFERROR(AVERAGEIFS('2. Soil Data'!$G$5:$G$604,'2. Soil Data'!$B$5:$B$604,$B560),""))</f>
        <v/>
      </c>
      <c r="L560" s="9">
        <f>IF(NOT(ISNUMBER($K560)),"",PI()*($K560/2)^2)</f>
        <v/>
      </c>
      <c r="M560" s="9">
        <f>IF(OR(NOT(ISNUMBER($J560)),NOT(ISNUMBER($L560)),$L560=0),"",$J560/$L560*10000)</f>
        <v/>
      </c>
      <c r="N560" s="9">
        <f>IF(NOT(ISNUMBER($M560)),"",$M560*CARBON_FRACTION_ROOT/1000)</f>
        <v/>
      </c>
      <c r="O560" s="11">
        <f>IF(AND($A560="",$B560="",$G560=""),"",IF(AND($B560&lt;&gt;"",COUNTIFS('2. Soil Data'!$B$5:$B$604,$B560)=0),"Core ID not found in Soil Data, so the corer diameter cannot be looked up. ","")&amp;IF(ASH_CORRECTED&lt;&gt;"Yes","Root mass is NOT ash-corrected, so it includes adhering mineral soil and is too high. Set ASH_CORRECTED once you have done it. ","")&amp;IF(AND(ASH_CORRECTED="Yes",NOT(ISNUMBER($H560))),"Ash correction is switched on but no ash fraction is given for this row. ","")&amp;IF($I560="","Sieve mesh not recorded — a fine-root figure cannot be interpreted without it. ","")&amp;IF(AND(ISNUMBER($H560),$H560&gt;0.5),"Ash fraction above 0.5 — over half this sample was mineral soil. Re-wash. ","")&amp;IF($F560="Not separated","Live and dead not separated. Fine for a stock, but "&amp;"note it in reporting. ",""))</f>
        <v/>
      </c>
      <c r="P560" s="6" t="n"/>
      <c r="Q560" s="9">
        <f>IF($B560="",0,IF(COUNTIFS($B$5:$B560,$B560)=1,1,0))</f>
        <v/>
      </c>
    </row>
    <row r="561">
      <c r="A561" s="6" t="n"/>
      <c r="B561" s="6" t="n"/>
      <c r="C561" s="6" t="n"/>
      <c r="D561" s="6" t="n"/>
      <c r="E561" s="6" t="n"/>
      <c r="F561" s="6" t="n"/>
      <c r="G561" s="7" t="n"/>
      <c r="H561" s="7" t="n"/>
      <c r="I561" s="6" t="n"/>
      <c r="J561" s="9">
        <f>IF(NOT(ISNUMBER($G561)),"",IF(AND(ASH_CORRECTED="Yes",ISNUMBER($H561)),$G561*(1-$H561),$G561))</f>
        <v/>
      </c>
      <c r="K561" s="9">
        <f>IF($B561="","",IFERROR(AVERAGEIFS('2. Soil Data'!$G$5:$G$604,'2. Soil Data'!$B$5:$B$604,$B561),""))</f>
        <v/>
      </c>
      <c r="L561" s="9">
        <f>IF(NOT(ISNUMBER($K561)),"",PI()*($K561/2)^2)</f>
        <v/>
      </c>
      <c r="M561" s="9">
        <f>IF(OR(NOT(ISNUMBER($J561)),NOT(ISNUMBER($L561)),$L561=0),"",$J561/$L561*10000)</f>
        <v/>
      </c>
      <c r="N561" s="9">
        <f>IF(NOT(ISNUMBER($M561)),"",$M561*CARBON_FRACTION_ROOT/1000)</f>
        <v/>
      </c>
      <c r="O561" s="11">
        <f>IF(AND($A561="",$B561="",$G561=""),"",IF(AND($B561&lt;&gt;"",COUNTIFS('2. Soil Data'!$B$5:$B$604,$B561)=0),"Core ID not found in Soil Data, so the corer diameter cannot be looked up. ","")&amp;IF(ASH_CORRECTED&lt;&gt;"Yes","Root mass is NOT ash-corrected, so it includes adhering mineral soil and is too high. Set ASH_CORRECTED once you have done it. ","")&amp;IF(AND(ASH_CORRECTED="Yes",NOT(ISNUMBER($H561))),"Ash correction is switched on but no ash fraction is given for this row. ","")&amp;IF($I561="","Sieve mesh not recorded — a fine-root figure cannot be interpreted without it. ","")&amp;IF(AND(ISNUMBER($H561),$H561&gt;0.5),"Ash fraction above 0.5 — over half this sample was mineral soil. Re-wash. ","")&amp;IF($F561="Not separated","Live and dead not separated. Fine for a stock, but "&amp;"note it in reporting. ",""))</f>
        <v/>
      </c>
      <c r="P561" s="6" t="n"/>
      <c r="Q561" s="9">
        <f>IF($B561="",0,IF(COUNTIFS($B$5:$B561,$B561)=1,1,0))</f>
        <v/>
      </c>
    </row>
    <row r="562">
      <c r="A562" s="6" t="n"/>
      <c r="B562" s="6" t="n"/>
      <c r="C562" s="6" t="n"/>
      <c r="D562" s="6" t="n"/>
      <c r="E562" s="6" t="n"/>
      <c r="F562" s="6" t="n"/>
      <c r="G562" s="7" t="n"/>
      <c r="H562" s="7" t="n"/>
      <c r="I562" s="6" t="n"/>
      <c r="J562" s="9">
        <f>IF(NOT(ISNUMBER($G562)),"",IF(AND(ASH_CORRECTED="Yes",ISNUMBER($H562)),$G562*(1-$H562),$G562))</f>
        <v/>
      </c>
      <c r="K562" s="9">
        <f>IF($B562="","",IFERROR(AVERAGEIFS('2. Soil Data'!$G$5:$G$604,'2. Soil Data'!$B$5:$B$604,$B562),""))</f>
        <v/>
      </c>
      <c r="L562" s="9">
        <f>IF(NOT(ISNUMBER($K562)),"",PI()*($K562/2)^2)</f>
        <v/>
      </c>
      <c r="M562" s="9">
        <f>IF(OR(NOT(ISNUMBER($J562)),NOT(ISNUMBER($L562)),$L562=0),"",$J562/$L562*10000)</f>
        <v/>
      </c>
      <c r="N562" s="9">
        <f>IF(NOT(ISNUMBER($M562)),"",$M562*CARBON_FRACTION_ROOT/1000)</f>
        <v/>
      </c>
      <c r="O562" s="11">
        <f>IF(AND($A562="",$B562="",$G562=""),"",IF(AND($B562&lt;&gt;"",COUNTIFS('2. Soil Data'!$B$5:$B$604,$B562)=0),"Core ID not found in Soil Data, so the corer diameter cannot be looked up. ","")&amp;IF(ASH_CORRECTED&lt;&gt;"Yes","Root mass is NOT ash-corrected, so it includes adhering mineral soil and is too high. Set ASH_CORRECTED once you have done it. ","")&amp;IF(AND(ASH_CORRECTED="Yes",NOT(ISNUMBER($H562))),"Ash correction is switched on but no ash fraction is given for this row. ","")&amp;IF($I562="","Sieve mesh not recorded — a fine-root figure cannot be interpreted without it. ","")&amp;IF(AND(ISNUMBER($H562),$H562&gt;0.5),"Ash fraction above 0.5 — over half this sample was mineral soil. Re-wash. ","")&amp;IF($F562="Not separated","Live and dead not separated. Fine for a stock, but "&amp;"note it in reporting. ",""))</f>
        <v/>
      </c>
      <c r="P562" s="6" t="n"/>
      <c r="Q562" s="9">
        <f>IF($B562="",0,IF(COUNTIFS($B$5:$B562,$B562)=1,1,0))</f>
        <v/>
      </c>
    </row>
    <row r="563">
      <c r="A563" s="6" t="n"/>
      <c r="B563" s="6" t="n"/>
      <c r="C563" s="6" t="n"/>
      <c r="D563" s="6" t="n"/>
      <c r="E563" s="6" t="n"/>
      <c r="F563" s="6" t="n"/>
      <c r="G563" s="7" t="n"/>
      <c r="H563" s="7" t="n"/>
      <c r="I563" s="6" t="n"/>
      <c r="J563" s="9">
        <f>IF(NOT(ISNUMBER($G563)),"",IF(AND(ASH_CORRECTED="Yes",ISNUMBER($H563)),$G563*(1-$H563),$G563))</f>
        <v/>
      </c>
      <c r="K563" s="9">
        <f>IF($B563="","",IFERROR(AVERAGEIFS('2. Soil Data'!$G$5:$G$604,'2. Soil Data'!$B$5:$B$604,$B563),""))</f>
        <v/>
      </c>
      <c r="L563" s="9">
        <f>IF(NOT(ISNUMBER($K563)),"",PI()*($K563/2)^2)</f>
        <v/>
      </c>
      <c r="M563" s="9">
        <f>IF(OR(NOT(ISNUMBER($J563)),NOT(ISNUMBER($L563)),$L563=0),"",$J563/$L563*10000)</f>
        <v/>
      </c>
      <c r="N563" s="9">
        <f>IF(NOT(ISNUMBER($M563)),"",$M563*CARBON_FRACTION_ROOT/1000)</f>
        <v/>
      </c>
      <c r="O563" s="11">
        <f>IF(AND($A563="",$B563="",$G563=""),"",IF(AND($B563&lt;&gt;"",COUNTIFS('2. Soil Data'!$B$5:$B$604,$B563)=0),"Core ID not found in Soil Data, so the corer diameter cannot be looked up. ","")&amp;IF(ASH_CORRECTED&lt;&gt;"Yes","Root mass is NOT ash-corrected, so it includes adhering mineral soil and is too high. Set ASH_CORRECTED once you have done it. ","")&amp;IF(AND(ASH_CORRECTED="Yes",NOT(ISNUMBER($H563))),"Ash correction is switched on but no ash fraction is given for this row. ","")&amp;IF($I563="","Sieve mesh not recorded — a fine-root figure cannot be interpreted without it. ","")&amp;IF(AND(ISNUMBER($H563),$H563&gt;0.5),"Ash fraction above 0.5 — over half this sample was mineral soil. Re-wash. ","")&amp;IF($F563="Not separated","Live and dead not separated. Fine for a stock, but "&amp;"note it in reporting. ",""))</f>
        <v/>
      </c>
      <c r="P563" s="6" t="n"/>
      <c r="Q563" s="9">
        <f>IF($B563="",0,IF(COUNTIFS($B$5:$B563,$B563)=1,1,0))</f>
        <v/>
      </c>
    </row>
    <row r="564">
      <c r="A564" s="6" t="n"/>
      <c r="B564" s="6" t="n"/>
      <c r="C564" s="6" t="n"/>
      <c r="D564" s="6" t="n"/>
      <c r="E564" s="6" t="n"/>
      <c r="F564" s="6" t="n"/>
      <c r="G564" s="7" t="n"/>
      <c r="H564" s="7" t="n"/>
      <c r="I564" s="6" t="n"/>
      <c r="J564" s="9">
        <f>IF(NOT(ISNUMBER($G564)),"",IF(AND(ASH_CORRECTED="Yes",ISNUMBER($H564)),$G564*(1-$H564),$G564))</f>
        <v/>
      </c>
      <c r="K564" s="9">
        <f>IF($B564="","",IFERROR(AVERAGEIFS('2. Soil Data'!$G$5:$G$604,'2. Soil Data'!$B$5:$B$604,$B564),""))</f>
        <v/>
      </c>
      <c r="L564" s="9">
        <f>IF(NOT(ISNUMBER($K564)),"",PI()*($K564/2)^2)</f>
        <v/>
      </c>
      <c r="M564" s="9">
        <f>IF(OR(NOT(ISNUMBER($J564)),NOT(ISNUMBER($L564)),$L564=0),"",$J564/$L564*10000)</f>
        <v/>
      </c>
      <c r="N564" s="9">
        <f>IF(NOT(ISNUMBER($M564)),"",$M564*CARBON_FRACTION_ROOT/1000)</f>
        <v/>
      </c>
      <c r="O564" s="11">
        <f>IF(AND($A564="",$B564="",$G564=""),"",IF(AND($B564&lt;&gt;"",COUNTIFS('2. Soil Data'!$B$5:$B$604,$B564)=0),"Core ID not found in Soil Data, so the corer diameter cannot be looked up. ","")&amp;IF(ASH_CORRECTED&lt;&gt;"Yes","Root mass is NOT ash-corrected, so it includes adhering mineral soil and is too high. Set ASH_CORRECTED once you have done it. ","")&amp;IF(AND(ASH_CORRECTED="Yes",NOT(ISNUMBER($H564))),"Ash correction is switched on but no ash fraction is given for this row. ","")&amp;IF($I564="","Sieve mesh not recorded — a fine-root figure cannot be interpreted without it. ","")&amp;IF(AND(ISNUMBER($H564),$H564&gt;0.5),"Ash fraction above 0.5 — over half this sample was mineral soil. Re-wash. ","")&amp;IF($F564="Not separated","Live and dead not separated. Fine for a stock, but "&amp;"note it in reporting. ",""))</f>
        <v/>
      </c>
      <c r="P564" s="6" t="n"/>
      <c r="Q564" s="9">
        <f>IF($B564="",0,IF(COUNTIFS($B$5:$B564,$B564)=1,1,0))</f>
        <v/>
      </c>
    </row>
    <row r="565">
      <c r="A565" s="6" t="n"/>
      <c r="B565" s="6" t="n"/>
      <c r="C565" s="6" t="n"/>
      <c r="D565" s="6" t="n"/>
      <c r="E565" s="6" t="n"/>
      <c r="F565" s="6" t="n"/>
      <c r="G565" s="7" t="n"/>
      <c r="H565" s="7" t="n"/>
      <c r="I565" s="6" t="n"/>
      <c r="J565" s="9">
        <f>IF(NOT(ISNUMBER($G565)),"",IF(AND(ASH_CORRECTED="Yes",ISNUMBER($H565)),$G565*(1-$H565),$G565))</f>
        <v/>
      </c>
      <c r="K565" s="9">
        <f>IF($B565="","",IFERROR(AVERAGEIFS('2. Soil Data'!$G$5:$G$604,'2. Soil Data'!$B$5:$B$604,$B565),""))</f>
        <v/>
      </c>
      <c r="L565" s="9">
        <f>IF(NOT(ISNUMBER($K565)),"",PI()*($K565/2)^2)</f>
        <v/>
      </c>
      <c r="M565" s="9">
        <f>IF(OR(NOT(ISNUMBER($J565)),NOT(ISNUMBER($L565)),$L565=0),"",$J565/$L565*10000)</f>
        <v/>
      </c>
      <c r="N565" s="9">
        <f>IF(NOT(ISNUMBER($M565)),"",$M565*CARBON_FRACTION_ROOT/1000)</f>
        <v/>
      </c>
      <c r="O565" s="11">
        <f>IF(AND($A565="",$B565="",$G565=""),"",IF(AND($B565&lt;&gt;"",COUNTIFS('2. Soil Data'!$B$5:$B$604,$B565)=0),"Core ID not found in Soil Data, so the corer diameter cannot be looked up. ","")&amp;IF(ASH_CORRECTED&lt;&gt;"Yes","Root mass is NOT ash-corrected, so it includes adhering mineral soil and is too high. Set ASH_CORRECTED once you have done it. ","")&amp;IF(AND(ASH_CORRECTED="Yes",NOT(ISNUMBER($H565))),"Ash correction is switched on but no ash fraction is given for this row. ","")&amp;IF($I565="","Sieve mesh not recorded — a fine-root figure cannot be interpreted without it. ","")&amp;IF(AND(ISNUMBER($H565),$H565&gt;0.5),"Ash fraction above 0.5 — over half this sample was mineral soil. Re-wash. ","")&amp;IF($F565="Not separated","Live and dead not separated. Fine for a stock, but "&amp;"note it in reporting. ",""))</f>
        <v/>
      </c>
      <c r="P565" s="6" t="n"/>
      <c r="Q565" s="9">
        <f>IF($B565="",0,IF(COUNTIFS($B$5:$B565,$B565)=1,1,0))</f>
        <v/>
      </c>
    </row>
    <row r="566">
      <c r="A566" s="6" t="n"/>
      <c r="B566" s="6" t="n"/>
      <c r="C566" s="6" t="n"/>
      <c r="D566" s="6" t="n"/>
      <c r="E566" s="6" t="n"/>
      <c r="F566" s="6" t="n"/>
      <c r="G566" s="7" t="n"/>
      <c r="H566" s="7" t="n"/>
      <c r="I566" s="6" t="n"/>
      <c r="J566" s="9">
        <f>IF(NOT(ISNUMBER($G566)),"",IF(AND(ASH_CORRECTED="Yes",ISNUMBER($H566)),$G566*(1-$H566),$G566))</f>
        <v/>
      </c>
      <c r="K566" s="9">
        <f>IF($B566="","",IFERROR(AVERAGEIFS('2. Soil Data'!$G$5:$G$604,'2. Soil Data'!$B$5:$B$604,$B566),""))</f>
        <v/>
      </c>
      <c r="L566" s="9">
        <f>IF(NOT(ISNUMBER($K566)),"",PI()*($K566/2)^2)</f>
        <v/>
      </c>
      <c r="M566" s="9">
        <f>IF(OR(NOT(ISNUMBER($J566)),NOT(ISNUMBER($L566)),$L566=0),"",$J566/$L566*10000)</f>
        <v/>
      </c>
      <c r="N566" s="9">
        <f>IF(NOT(ISNUMBER($M566)),"",$M566*CARBON_FRACTION_ROOT/1000)</f>
        <v/>
      </c>
      <c r="O566" s="11">
        <f>IF(AND($A566="",$B566="",$G566=""),"",IF(AND($B566&lt;&gt;"",COUNTIFS('2. Soil Data'!$B$5:$B$604,$B566)=0),"Core ID not found in Soil Data, so the corer diameter cannot be looked up. ","")&amp;IF(ASH_CORRECTED&lt;&gt;"Yes","Root mass is NOT ash-corrected, so it includes adhering mineral soil and is too high. Set ASH_CORRECTED once you have done it. ","")&amp;IF(AND(ASH_CORRECTED="Yes",NOT(ISNUMBER($H566))),"Ash correction is switched on but no ash fraction is given for this row. ","")&amp;IF($I566="","Sieve mesh not recorded — a fine-root figure cannot be interpreted without it. ","")&amp;IF(AND(ISNUMBER($H566),$H566&gt;0.5),"Ash fraction above 0.5 — over half this sample was mineral soil. Re-wash. ","")&amp;IF($F566="Not separated","Live and dead not separated. Fine for a stock, but "&amp;"note it in reporting. ",""))</f>
        <v/>
      </c>
      <c r="P566" s="6" t="n"/>
      <c r="Q566" s="9">
        <f>IF($B566="",0,IF(COUNTIFS($B$5:$B566,$B566)=1,1,0))</f>
        <v/>
      </c>
    </row>
    <row r="567">
      <c r="A567" s="6" t="n"/>
      <c r="B567" s="6" t="n"/>
      <c r="C567" s="6" t="n"/>
      <c r="D567" s="6" t="n"/>
      <c r="E567" s="6" t="n"/>
      <c r="F567" s="6" t="n"/>
      <c r="G567" s="7" t="n"/>
      <c r="H567" s="7" t="n"/>
      <c r="I567" s="6" t="n"/>
      <c r="J567" s="9">
        <f>IF(NOT(ISNUMBER($G567)),"",IF(AND(ASH_CORRECTED="Yes",ISNUMBER($H567)),$G567*(1-$H567),$G567))</f>
        <v/>
      </c>
      <c r="K567" s="9">
        <f>IF($B567="","",IFERROR(AVERAGEIFS('2. Soil Data'!$G$5:$G$604,'2. Soil Data'!$B$5:$B$604,$B567),""))</f>
        <v/>
      </c>
      <c r="L567" s="9">
        <f>IF(NOT(ISNUMBER($K567)),"",PI()*($K567/2)^2)</f>
        <v/>
      </c>
      <c r="M567" s="9">
        <f>IF(OR(NOT(ISNUMBER($J567)),NOT(ISNUMBER($L567)),$L567=0),"",$J567/$L567*10000)</f>
        <v/>
      </c>
      <c r="N567" s="9">
        <f>IF(NOT(ISNUMBER($M567)),"",$M567*CARBON_FRACTION_ROOT/1000)</f>
        <v/>
      </c>
      <c r="O567" s="11">
        <f>IF(AND($A567="",$B567="",$G567=""),"",IF(AND($B567&lt;&gt;"",COUNTIFS('2. Soil Data'!$B$5:$B$604,$B567)=0),"Core ID not found in Soil Data, so the corer diameter cannot be looked up. ","")&amp;IF(ASH_CORRECTED&lt;&gt;"Yes","Root mass is NOT ash-corrected, so it includes adhering mineral soil and is too high. Set ASH_CORRECTED once you have done it. ","")&amp;IF(AND(ASH_CORRECTED="Yes",NOT(ISNUMBER($H567))),"Ash correction is switched on but no ash fraction is given for this row. ","")&amp;IF($I567="","Sieve mesh not recorded — a fine-root figure cannot be interpreted without it. ","")&amp;IF(AND(ISNUMBER($H567),$H567&gt;0.5),"Ash fraction above 0.5 — over half this sample was mineral soil. Re-wash. ","")&amp;IF($F567="Not separated","Live and dead not separated. Fine for a stock, but "&amp;"note it in reporting. ",""))</f>
        <v/>
      </c>
      <c r="P567" s="6" t="n"/>
      <c r="Q567" s="9">
        <f>IF($B567="",0,IF(COUNTIFS($B$5:$B567,$B567)=1,1,0))</f>
        <v/>
      </c>
    </row>
    <row r="568">
      <c r="A568" s="6" t="n"/>
      <c r="B568" s="6" t="n"/>
      <c r="C568" s="6" t="n"/>
      <c r="D568" s="6" t="n"/>
      <c r="E568" s="6" t="n"/>
      <c r="F568" s="6" t="n"/>
      <c r="G568" s="7" t="n"/>
      <c r="H568" s="7" t="n"/>
      <c r="I568" s="6" t="n"/>
      <c r="J568" s="9">
        <f>IF(NOT(ISNUMBER($G568)),"",IF(AND(ASH_CORRECTED="Yes",ISNUMBER($H568)),$G568*(1-$H568),$G568))</f>
        <v/>
      </c>
      <c r="K568" s="9">
        <f>IF($B568="","",IFERROR(AVERAGEIFS('2. Soil Data'!$G$5:$G$604,'2. Soil Data'!$B$5:$B$604,$B568),""))</f>
        <v/>
      </c>
      <c r="L568" s="9">
        <f>IF(NOT(ISNUMBER($K568)),"",PI()*($K568/2)^2)</f>
        <v/>
      </c>
      <c r="M568" s="9">
        <f>IF(OR(NOT(ISNUMBER($J568)),NOT(ISNUMBER($L568)),$L568=0),"",$J568/$L568*10000)</f>
        <v/>
      </c>
      <c r="N568" s="9">
        <f>IF(NOT(ISNUMBER($M568)),"",$M568*CARBON_FRACTION_ROOT/1000)</f>
        <v/>
      </c>
      <c r="O568" s="11">
        <f>IF(AND($A568="",$B568="",$G568=""),"",IF(AND($B568&lt;&gt;"",COUNTIFS('2. Soil Data'!$B$5:$B$604,$B568)=0),"Core ID not found in Soil Data, so the corer diameter cannot be looked up. ","")&amp;IF(ASH_CORRECTED&lt;&gt;"Yes","Root mass is NOT ash-corrected, so it includes adhering mineral soil and is too high. Set ASH_CORRECTED once you have done it. ","")&amp;IF(AND(ASH_CORRECTED="Yes",NOT(ISNUMBER($H568))),"Ash correction is switched on but no ash fraction is given for this row. ","")&amp;IF($I568="","Sieve mesh not recorded — a fine-root figure cannot be interpreted without it. ","")&amp;IF(AND(ISNUMBER($H568),$H568&gt;0.5),"Ash fraction above 0.5 — over half this sample was mineral soil. Re-wash. ","")&amp;IF($F568="Not separated","Live and dead not separated. Fine for a stock, but "&amp;"note it in reporting. ",""))</f>
        <v/>
      </c>
      <c r="P568" s="6" t="n"/>
      <c r="Q568" s="9">
        <f>IF($B568="",0,IF(COUNTIFS($B$5:$B568,$B568)=1,1,0))</f>
        <v/>
      </c>
    </row>
    <row r="569">
      <c r="A569" s="6" t="n"/>
      <c r="B569" s="6" t="n"/>
      <c r="C569" s="6" t="n"/>
      <c r="D569" s="6" t="n"/>
      <c r="E569" s="6" t="n"/>
      <c r="F569" s="6" t="n"/>
      <c r="G569" s="7" t="n"/>
      <c r="H569" s="7" t="n"/>
      <c r="I569" s="6" t="n"/>
      <c r="J569" s="9">
        <f>IF(NOT(ISNUMBER($G569)),"",IF(AND(ASH_CORRECTED="Yes",ISNUMBER($H569)),$G569*(1-$H569),$G569))</f>
        <v/>
      </c>
      <c r="K569" s="9">
        <f>IF($B569="","",IFERROR(AVERAGEIFS('2. Soil Data'!$G$5:$G$604,'2. Soil Data'!$B$5:$B$604,$B569),""))</f>
        <v/>
      </c>
      <c r="L569" s="9">
        <f>IF(NOT(ISNUMBER($K569)),"",PI()*($K569/2)^2)</f>
        <v/>
      </c>
      <c r="M569" s="9">
        <f>IF(OR(NOT(ISNUMBER($J569)),NOT(ISNUMBER($L569)),$L569=0),"",$J569/$L569*10000)</f>
        <v/>
      </c>
      <c r="N569" s="9">
        <f>IF(NOT(ISNUMBER($M569)),"",$M569*CARBON_FRACTION_ROOT/1000)</f>
        <v/>
      </c>
      <c r="O569" s="11">
        <f>IF(AND($A569="",$B569="",$G569=""),"",IF(AND($B569&lt;&gt;"",COUNTIFS('2. Soil Data'!$B$5:$B$604,$B569)=0),"Core ID not found in Soil Data, so the corer diameter cannot be looked up. ","")&amp;IF(ASH_CORRECTED&lt;&gt;"Yes","Root mass is NOT ash-corrected, so it includes adhering mineral soil and is too high. Set ASH_CORRECTED once you have done it. ","")&amp;IF(AND(ASH_CORRECTED="Yes",NOT(ISNUMBER($H569))),"Ash correction is switched on but no ash fraction is given for this row. ","")&amp;IF($I569="","Sieve mesh not recorded — a fine-root figure cannot be interpreted without it. ","")&amp;IF(AND(ISNUMBER($H569),$H569&gt;0.5),"Ash fraction above 0.5 — over half this sample was mineral soil. Re-wash. ","")&amp;IF($F569="Not separated","Live and dead not separated. Fine for a stock, but "&amp;"note it in reporting. ",""))</f>
        <v/>
      </c>
      <c r="P569" s="6" t="n"/>
      <c r="Q569" s="9">
        <f>IF($B569="",0,IF(COUNTIFS($B$5:$B569,$B569)=1,1,0))</f>
        <v/>
      </c>
    </row>
    <row r="570">
      <c r="A570" s="6" t="n"/>
      <c r="B570" s="6" t="n"/>
      <c r="C570" s="6" t="n"/>
      <c r="D570" s="6" t="n"/>
      <c r="E570" s="6" t="n"/>
      <c r="F570" s="6" t="n"/>
      <c r="G570" s="7" t="n"/>
      <c r="H570" s="7" t="n"/>
      <c r="I570" s="6" t="n"/>
      <c r="J570" s="9">
        <f>IF(NOT(ISNUMBER($G570)),"",IF(AND(ASH_CORRECTED="Yes",ISNUMBER($H570)),$G570*(1-$H570),$G570))</f>
        <v/>
      </c>
      <c r="K570" s="9">
        <f>IF($B570="","",IFERROR(AVERAGEIFS('2. Soil Data'!$G$5:$G$604,'2. Soil Data'!$B$5:$B$604,$B570),""))</f>
        <v/>
      </c>
      <c r="L570" s="9">
        <f>IF(NOT(ISNUMBER($K570)),"",PI()*($K570/2)^2)</f>
        <v/>
      </c>
      <c r="M570" s="9">
        <f>IF(OR(NOT(ISNUMBER($J570)),NOT(ISNUMBER($L570)),$L570=0),"",$J570/$L570*10000)</f>
        <v/>
      </c>
      <c r="N570" s="9">
        <f>IF(NOT(ISNUMBER($M570)),"",$M570*CARBON_FRACTION_ROOT/1000)</f>
        <v/>
      </c>
      <c r="O570" s="11">
        <f>IF(AND($A570="",$B570="",$G570=""),"",IF(AND($B570&lt;&gt;"",COUNTIFS('2. Soil Data'!$B$5:$B$604,$B570)=0),"Core ID not found in Soil Data, so the corer diameter cannot be looked up. ","")&amp;IF(ASH_CORRECTED&lt;&gt;"Yes","Root mass is NOT ash-corrected, so it includes adhering mineral soil and is too high. Set ASH_CORRECTED once you have done it. ","")&amp;IF(AND(ASH_CORRECTED="Yes",NOT(ISNUMBER($H570))),"Ash correction is switched on but no ash fraction is given for this row. ","")&amp;IF($I570="","Sieve mesh not recorded — a fine-root figure cannot be interpreted without it. ","")&amp;IF(AND(ISNUMBER($H570),$H570&gt;0.5),"Ash fraction above 0.5 — over half this sample was mineral soil. Re-wash. ","")&amp;IF($F570="Not separated","Live and dead not separated. Fine for a stock, but "&amp;"note it in reporting. ",""))</f>
        <v/>
      </c>
      <c r="P570" s="6" t="n"/>
      <c r="Q570" s="9">
        <f>IF($B570="",0,IF(COUNTIFS($B$5:$B570,$B570)=1,1,0))</f>
        <v/>
      </c>
    </row>
    <row r="571">
      <c r="A571" s="6" t="n"/>
      <c r="B571" s="6" t="n"/>
      <c r="C571" s="6" t="n"/>
      <c r="D571" s="6" t="n"/>
      <c r="E571" s="6" t="n"/>
      <c r="F571" s="6" t="n"/>
      <c r="G571" s="7" t="n"/>
      <c r="H571" s="7" t="n"/>
      <c r="I571" s="6" t="n"/>
      <c r="J571" s="9">
        <f>IF(NOT(ISNUMBER($G571)),"",IF(AND(ASH_CORRECTED="Yes",ISNUMBER($H571)),$G571*(1-$H571),$G571))</f>
        <v/>
      </c>
      <c r="K571" s="9">
        <f>IF($B571="","",IFERROR(AVERAGEIFS('2. Soil Data'!$G$5:$G$604,'2. Soil Data'!$B$5:$B$604,$B571),""))</f>
        <v/>
      </c>
      <c r="L571" s="9">
        <f>IF(NOT(ISNUMBER($K571)),"",PI()*($K571/2)^2)</f>
        <v/>
      </c>
      <c r="M571" s="9">
        <f>IF(OR(NOT(ISNUMBER($J571)),NOT(ISNUMBER($L571)),$L571=0),"",$J571/$L571*10000)</f>
        <v/>
      </c>
      <c r="N571" s="9">
        <f>IF(NOT(ISNUMBER($M571)),"",$M571*CARBON_FRACTION_ROOT/1000)</f>
        <v/>
      </c>
      <c r="O571" s="11">
        <f>IF(AND($A571="",$B571="",$G571=""),"",IF(AND($B571&lt;&gt;"",COUNTIFS('2. Soil Data'!$B$5:$B$604,$B571)=0),"Core ID not found in Soil Data, so the corer diameter cannot be looked up. ","")&amp;IF(ASH_CORRECTED&lt;&gt;"Yes","Root mass is NOT ash-corrected, so it includes adhering mineral soil and is too high. Set ASH_CORRECTED once you have done it. ","")&amp;IF(AND(ASH_CORRECTED="Yes",NOT(ISNUMBER($H571))),"Ash correction is switched on but no ash fraction is given for this row. ","")&amp;IF($I571="","Sieve mesh not recorded — a fine-root figure cannot be interpreted without it. ","")&amp;IF(AND(ISNUMBER($H571),$H571&gt;0.5),"Ash fraction above 0.5 — over half this sample was mineral soil. Re-wash. ","")&amp;IF($F571="Not separated","Live and dead not separated. Fine for a stock, but "&amp;"note it in reporting. ",""))</f>
        <v/>
      </c>
      <c r="P571" s="6" t="n"/>
      <c r="Q571" s="9">
        <f>IF($B571="",0,IF(COUNTIFS($B$5:$B571,$B571)=1,1,0))</f>
        <v/>
      </c>
    </row>
    <row r="572">
      <c r="A572" s="6" t="n"/>
      <c r="B572" s="6" t="n"/>
      <c r="C572" s="6" t="n"/>
      <c r="D572" s="6" t="n"/>
      <c r="E572" s="6" t="n"/>
      <c r="F572" s="6" t="n"/>
      <c r="G572" s="7" t="n"/>
      <c r="H572" s="7" t="n"/>
      <c r="I572" s="6" t="n"/>
      <c r="J572" s="9">
        <f>IF(NOT(ISNUMBER($G572)),"",IF(AND(ASH_CORRECTED="Yes",ISNUMBER($H572)),$G572*(1-$H572),$G572))</f>
        <v/>
      </c>
      <c r="K572" s="9">
        <f>IF($B572="","",IFERROR(AVERAGEIFS('2. Soil Data'!$G$5:$G$604,'2. Soil Data'!$B$5:$B$604,$B572),""))</f>
        <v/>
      </c>
      <c r="L572" s="9">
        <f>IF(NOT(ISNUMBER($K572)),"",PI()*($K572/2)^2)</f>
        <v/>
      </c>
      <c r="M572" s="9">
        <f>IF(OR(NOT(ISNUMBER($J572)),NOT(ISNUMBER($L572)),$L572=0),"",$J572/$L572*10000)</f>
        <v/>
      </c>
      <c r="N572" s="9">
        <f>IF(NOT(ISNUMBER($M572)),"",$M572*CARBON_FRACTION_ROOT/1000)</f>
        <v/>
      </c>
      <c r="O572" s="11">
        <f>IF(AND($A572="",$B572="",$G572=""),"",IF(AND($B572&lt;&gt;"",COUNTIFS('2. Soil Data'!$B$5:$B$604,$B572)=0),"Core ID not found in Soil Data, so the corer diameter cannot be looked up. ","")&amp;IF(ASH_CORRECTED&lt;&gt;"Yes","Root mass is NOT ash-corrected, so it includes adhering mineral soil and is too high. Set ASH_CORRECTED once you have done it. ","")&amp;IF(AND(ASH_CORRECTED="Yes",NOT(ISNUMBER($H572))),"Ash correction is switched on but no ash fraction is given for this row. ","")&amp;IF($I572="","Sieve mesh not recorded — a fine-root figure cannot be interpreted without it. ","")&amp;IF(AND(ISNUMBER($H572),$H572&gt;0.5),"Ash fraction above 0.5 — over half this sample was mineral soil. Re-wash. ","")&amp;IF($F572="Not separated","Live and dead not separated. Fine for a stock, but "&amp;"note it in reporting. ",""))</f>
        <v/>
      </c>
      <c r="P572" s="6" t="n"/>
      <c r="Q572" s="9">
        <f>IF($B572="",0,IF(COUNTIFS($B$5:$B572,$B572)=1,1,0))</f>
        <v/>
      </c>
    </row>
    <row r="573">
      <c r="A573" s="6" t="n"/>
      <c r="B573" s="6" t="n"/>
      <c r="C573" s="6" t="n"/>
      <c r="D573" s="6" t="n"/>
      <c r="E573" s="6" t="n"/>
      <c r="F573" s="6" t="n"/>
      <c r="G573" s="7" t="n"/>
      <c r="H573" s="7" t="n"/>
      <c r="I573" s="6" t="n"/>
      <c r="J573" s="9">
        <f>IF(NOT(ISNUMBER($G573)),"",IF(AND(ASH_CORRECTED="Yes",ISNUMBER($H573)),$G573*(1-$H573),$G573))</f>
        <v/>
      </c>
      <c r="K573" s="9">
        <f>IF($B573="","",IFERROR(AVERAGEIFS('2. Soil Data'!$G$5:$G$604,'2. Soil Data'!$B$5:$B$604,$B573),""))</f>
        <v/>
      </c>
      <c r="L573" s="9">
        <f>IF(NOT(ISNUMBER($K573)),"",PI()*($K573/2)^2)</f>
        <v/>
      </c>
      <c r="M573" s="9">
        <f>IF(OR(NOT(ISNUMBER($J573)),NOT(ISNUMBER($L573)),$L573=0),"",$J573/$L573*10000)</f>
        <v/>
      </c>
      <c r="N573" s="9">
        <f>IF(NOT(ISNUMBER($M573)),"",$M573*CARBON_FRACTION_ROOT/1000)</f>
        <v/>
      </c>
      <c r="O573" s="11">
        <f>IF(AND($A573="",$B573="",$G573=""),"",IF(AND($B573&lt;&gt;"",COUNTIFS('2. Soil Data'!$B$5:$B$604,$B573)=0),"Core ID not found in Soil Data, so the corer diameter cannot be looked up. ","")&amp;IF(ASH_CORRECTED&lt;&gt;"Yes","Root mass is NOT ash-corrected, so it includes adhering mineral soil and is too high. Set ASH_CORRECTED once you have done it. ","")&amp;IF(AND(ASH_CORRECTED="Yes",NOT(ISNUMBER($H573))),"Ash correction is switched on but no ash fraction is given for this row. ","")&amp;IF($I573="","Sieve mesh not recorded — a fine-root figure cannot be interpreted without it. ","")&amp;IF(AND(ISNUMBER($H573),$H573&gt;0.5),"Ash fraction above 0.5 — over half this sample was mineral soil. Re-wash. ","")&amp;IF($F573="Not separated","Live and dead not separated. Fine for a stock, but "&amp;"note it in reporting. ",""))</f>
        <v/>
      </c>
      <c r="P573" s="6" t="n"/>
      <c r="Q573" s="9">
        <f>IF($B573="",0,IF(COUNTIFS($B$5:$B573,$B573)=1,1,0))</f>
        <v/>
      </c>
    </row>
    <row r="574">
      <c r="A574" s="6" t="n"/>
      <c r="B574" s="6" t="n"/>
      <c r="C574" s="6" t="n"/>
      <c r="D574" s="6" t="n"/>
      <c r="E574" s="6" t="n"/>
      <c r="F574" s="6" t="n"/>
      <c r="G574" s="7" t="n"/>
      <c r="H574" s="7" t="n"/>
      <c r="I574" s="6" t="n"/>
      <c r="J574" s="9">
        <f>IF(NOT(ISNUMBER($G574)),"",IF(AND(ASH_CORRECTED="Yes",ISNUMBER($H574)),$G574*(1-$H574),$G574))</f>
        <v/>
      </c>
      <c r="K574" s="9">
        <f>IF($B574="","",IFERROR(AVERAGEIFS('2. Soil Data'!$G$5:$G$604,'2. Soil Data'!$B$5:$B$604,$B574),""))</f>
        <v/>
      </c>
      <c r="L574" s="9">
        <f>IF(NOT(ISNUMBER($K574)),"",PI()*($K574/2)^2)</f>
        <v/>
      </c>
      <c r="M574" s="9">
        <f>IF(OR(NOT(ISNUMBER($J574)),NOT(ISNUMBER($L574)),$L574=0),"",$J574/$L574*10000)</f>
        <v/>
      </c>
      <c r="N574" s="9">
        <f>IF(NOT(ISNUMBER($M574)),"",$M574*CARBON_FRACTION_ROOT/1000)</f>
        <v/>
      </c>
      <c r="O574" s="11">
        <f>IF(AND($A574="",$B574="",$G574=""),"",IF(AND($B574&lt;&gt;"",COUNTIFS('2. Soil Data'!$B$5:$B$604,$B574)=0),"Core ID not found in Soil Data, so the corer diameter cannot be looked up. ","")&amp;IF(ASH_CORRECTED&lt;&gt;"Yes","Root mass is NOT ash-corrected, so it includes adhering mineral soil and is too high. Set ASH_CORRECTED once you have done it. ","")&amp;IF(AND(ASH_CORRECTED="Yes",NOT(ISNUMBER($H574))),"Ash correction is switched on but no ash fraction is given for this row. ","")&amp;IF($I574="","Sieve mesh not recorded — a fine-root figure cannot be interpreted without it. ","")&amp;IF(AND(ISNUMBER($H574),$H574&gt;0.5),"Ash fraction above 0.5 — over half this sample was mineral soil. Re-wash. ","")&amp;IF($F574="Not separated","Live and dead not separated. Fine for a stock, but "&amp;"note it in reporting. ",""))</f>
        <v/>
      </c>
      <c r="P574" s="6" t="n"/>
      <c r="Q574" s="9">
        <f>IF($B574="",0,IF(COUNTIFS($B$5:$B574,$B574)=1,1,0))</f>
        <v/>
      </c>
    </row>
    <row r="575">
      <c r="A575" s="6" t="n"/>
      <c r="B575" s="6" t="n"/>
      <c r="C575" s="6" t="n"/>
      <c r="D575" s="6" t="n"/>
      <c r="E575" s="6" t="n"/>
      <c r="F575" s="6" t="n"/>
      <c r="G575" s="7" t="n"/>
      <c r="H575" s="7" t="n"/>
      <c r="I575" s="6" t="n"/>
      <c r="J575" s="9">
        <f>IF(NOT(ISNUMBER($G575)),"",IF(AND(ASH_CORRECTED="Yes",ISNUMBER($H575)),$G575*(1-$H575),$G575))</f>
        <v/>
      </c>
      <c r="K575" s="9">
        <f>IF($B575="","",IFERROR(AVERAGEIFS('2. Soil Data'!$G$5:$G$604,'2. Soil Data'!$B$5:$B$604,$B575),""))</f>
        <v/>
      </c>
      <c r="L575" s="9">
        <f>IF(NOT(ISNUMBER($K575)),"",PI()*($K575/2)^2)</f>
        <v/>
      </c>
      <c r="M575" s="9">
        <f>IF(OR(NOT(ISNUMBER($J575)),NOT(ISNUMBER($L575)),$L575=0),"",$J575/$L575*10000)</f>
        <v/>
      </c>
      <c r="N575" s="9">
        <f>IF(NOT(ISNUMBER($M575)),"",$M575*CARBON_FRACTION_ROOT/1000)</f>
        <v/>
      </c>
      <c r="O575" s="11">
        <f>IF(AND($A575="",$B575="",$G575=""),"",IF(AND($B575&lt;&gt;"",COUNTIFS('2. Soil Data'!$B$5:$B$604,$B575)=0),"Core ID not found in Soil Data, so the corer diameter cannot be looked up. ","")&amp;IF(ASH_CORRECTED&lt;&gt;"Yes","Root mass is NOT ash-corrected, so it includes adhering mineral soil and is too high. Set ASH_CORRECTED once you have done it. ","")&amp;IF(AND(ASH_CORRECTED="Yes",NOT(ISNUMBER($H575))),"Ash correction is switched on but no ash fraction is given for this row. ","")&amp;IF($I575="","Sieve mesh not recorded — a fine-root figure cannot be interpreted without it. ","")&amp;IF(AND(ISNUMBER($H575),$H575&gt;0.5),"Ash fraction above 0.5 — over half this sample was mineral soil. Re-wash. ","")&amp;IF($F575="Not separated","Live and dead not separated. Fine for a stock, but "&amp;"note it in reporting. ",""))</f>
        <v/>
      </c>
      <c r="P575" s="6" t="n"/>
      <c r="Q575" s="9">
        <f>IF($B575="",0,IF(COUNTIFS($B$5:$B575,$B575)=1,1,0))</f>
        <v/>
      </c>
    </row>
    <row r="576">
      <c r="A576" s="6" t="n"/>
      <c r="B576" s="6" t="n"/>
      <c r="C576" s="6" t="n"/>
      <c r="D576" s="6" t="n"/>
      <c r="E576" s="6" t="n"/>
      <c r="F576" s="6" t="n"/>
      <c r="G576" s="7" t="n"/>
      <c r="H576" s="7" t="n"/>
      <c r="I576" s="6" t="n"/>
      <c r="J576" s="9">
        <f>IF(NOT(ISNUMBER($G576)),"",IF(AND(ASH_CORRECTED="Yes",ISNUMBER($H576)),$G576*(1-$H576),$G576))</f>
        <v/>
      </c>
      <c r="K576" s="9">
        <f>IF($B576="","",IFERROR(AVERAGEIFS('2. Soil Data'!$G$5:$G$604,'2. Soil Data'!$B$5:$B$604,$B576),""))</f>
        <v/>
      </c>
      <c r="L576" s="9">
        <f>IF(NOT(ISNUMBER($K576)),"",PI()*($K576/2)^2)</f>
        <v/>
      </c>
      <c r="M576" s="9">
        <f>IF(OR(NOT(ISNUMBER($J576)),NOT(ISNUMBER($L576)),$L576=0),"",$J576/$L576*10000)</f>
        <v/>
      </c>
      <c r="N576" s="9">
        <f>IF(NOT(ISNUMBER($M576)),"",$M576*CARBON_FRACTION_ROOT/1000)</f>
        <v/>
      </c>
      <c r="O576" s="11">
        <f>IF(AND($A576="",$B576="",$G576=""),"",IF(AND($B576&lt;&gt;"",COUNTIFS('2. Soil Data'!$B$5:$B$604,$B576)=0),"Core ID not found in Soil Data, so the corer diameter cannot be looked up. ","")&amp;IF(ASH_CORRECTED&lt;&gt;"Yes","Root mass is NOT ash-corrected, so it includes adhering mineral soil and is too high. Set ASH_CORRECTED once you have done it. ","")&amp;IF(AND(ASH_CORRECTED="Yes",NOT(ISNUMBER($H576))),"Ash correction is switched on but no ash fraction is given for this row. ","")&amp;IF($I576="","Sieve mesh not recorded — a fine-root figure cannot be interpreted without it. ","")&amp;IF(AND(ISNUMBER($H576),$H576&gt;0.5),"Ash fraction above 0.5 — over half this sample was mineral soil. Re-wash. ","")&amp;IF($F576="Not separated","Live and dead not separated. Fine for a stock, but "&amp;"note it in reporting. ",""))</f>
        <v/>
      </c>
      <c r="P576" s="6" t="n"/>
      <c r="Q576" s="9">
        <f>IF($B576="",0,IF(COUNTIFS($B$5:$B576,$B576)=1,1,0))</f>
        <v/>
      </c>
    </row>
    <row r="577">
      <c r="A577" s="6" t="n"/>
      <c r="B577" s="6" t="n"/>
      <c r="C577" s="6" t="n"/>
      <c r="D577" s="6" t="n"/>
      <c r="E577" s="6" t="n"/>
      <c r="F577" s="6" t="n"/>
      <c r="G577" s="7" t="n"/>
      <c r="H577" s="7" t="n"/>
      <c r="I577" s="6" t="n"/>
      <c r="J577" s="9">
        <f>IF(NOT(ISNUMBER($G577)),"",IF(AND(ASH_CORRECTED="Yes",ISNUMBER($H577)),$G577*(1-$H577),$G577))</f>
        <v/>
      </c>
      <c r="K577" s="9">
        <f>IF($B577="","",IFERROR(AVERAGEIFS('2. Soil Data'!$G$5:$G$604,'2. Soil Data'!$B$5:$B$604,$B577),""))</f>
        <v/>
      </c>
      <c r="L577" s="9">
        <f>IF(NOT(ISNUMBER($K577)),"",PI()*($K577/2)^2)</f>
        <v/>
      </c>
      <c r="M577" s="9">
        <f>IF(OR(NOT(ISNUMBER($J577)),NOT(ISNUMBER($L577)),$L577=0),"",$J577/$L577*10000)</f>
        <v/>
      </c>
      <c r="N577" s="9">
        <f>IF(NOT(ISNUMBER($M577)),"",$M577*CARBON_FRACTION_ROOT/1000)</f>
        <v/>
      </c>
      <c r="O577" s="11">
        <f>IF(AND($A577="",$B577="",$G577=""),"",IF(AND($B577&lt;&gt;"",COUNTIFS('2. Soil Data'!$B$5:$B$604,$B577)=0),"Core ID not found in Soil Data, so the corer diameter cannot be looked up. ","")&amp;IF(ASH_CORRECTED&lt;&gt;"Yes","Root mass is NOT ash-corrected, so it includes adhering mineral soil and is too high. Set ASH_CORRECTED once you have done it. ","")&amp;IF(AND(ASH_CORRECTED="Yes",NOT(ISNUMBER($H577))),"Ash correction is switched on but no ash fraction is given for this row. ","")&amp;IF($I577="","Sieve mesh not recorded — a fine-root figure cannot be interpreted without it. ","")&amp;IF(AND(ISNUMBER($H577),$H577&gt;0.5),"Ash fraction above 0.5 — over half this sample was mineral soil. Re-wash. ","")&amp;IF($F577="Not separated","Live and dead not separated. Fine for a stock, but "&amp;"note it in reporting. ",""))</f>
        <v/>
      </c>
      <c r="P577" s="6" t="n"/>
      <c r="Q577" s="9">
        <f>IF($B577="",0,IF(COUNTIFS($B$5:$B577,$B577)=1,1,0))</f>
        <v/>
      </c>
    </row>
    <row r="578">
      <c r="A578" s="6" t="n"/>
      <c r="B578" s="6" t="n"/>
      <c r="C578" s="6" t="n"/>
      <c r="D578" s="6" t="n"/>
      <c r="E578" s="6" t="n"/>
      <c r="F578" s="6" t="n"/>
      <c r="G578" s="7" t="n"/>
      <c r="H578" s="7" t="n"/>
      <c r="I578" s="6" t="n"/>
      <c r="J578" s="9">
        <f>IF(NOT(ISNUMBER($G578)),"",IF(AND(ASH_CORRECTED="Yes",ISNUMBER($H578)),$G578*(1-$H578),$G578))</f>
        <v/>
      </c>
      <c r="K578" s="9">
        <f>IF($B578="","",IFERROR(AVERAGEIFS('2. Soil Data'!$G$5:$G$604,'2. Soil Data'!$B$5:$B$604,$B578),""))</f>
        <v/>
      </c>
      <c r="L578" s="9">
        <f>IF(NOT(ISNUMBER($K578)),"",PI()*($K578/2)^2)</f>
        <v/>
      </c>
      <c r="M578" s="9">
        <f>IF(OR(NOT(ISNUMBER($J578)),NOT(ISNUMBER($L578)),$L578=0),"",$J578/$L578*10000)</f>
        <v/>
      </c>
      <c r="N578" s="9">
        <f>IF(NOT(ISNUMBER($M578)),"",$M578*CARBON_FRACTION_ROOT/1000)</f>
        <v/>
      </c>
      <c r="O578" s="11">
        <f>IF(AND($A578="",$B578="",$G578=""),"",IF(AND($B578&lt;&gt;"",COUNTIFS('2. Soil Data'!$B$5:$B$604,$B578)=0),"Core ID not found in Soil Data, so the corer diameter cannot be looked up. ","")&amp;IF(ASH_CORRECTED&lt;&gt;"Yes","Root mass is NOT ash-corrected, so it includes adhering mineral soil and is too high. Set ASH_CORRECTED once you have done it. ","")&amp;IF(AND(ASH_CORRECTED="Yes",NOT(ISNUMBER($H578))),"Ash correction is switched on but no ash fraction is given for this row. ","")&amp;IF($I578="","Sieve mesh not recorded — a fine-root figure cannot be interpreted without it. ","")&amp;IF(AND(ISNUMBER($H578),$H578&gt;0.5),"Ash fraction above 0.5 — over half this sample was mineral soil. Re-wash. ","")&amp;IF($F578="Not separated","Live and dead not separated. Fine for a stock, but "&amp;"note it in reporting. ",""))</f>
        <v/>
      </c>
      <c r="P578" s="6" t="n"/>
      <c r="Q578" s="9">
        <f>IF($B578="",0,IF(COUNTIFS($B$5:$B578,$B578)=1,1,0))</f>
        <v/>
      </c>
    </row>
    <row r="579">
      <c r="A579" s="6" t="n"/>
      <c r="B579" s="6" t="n"/>
      <c r="C579" s="6" t="n"/>
      <c r="D579" s="6" t="n"/>
      <c r="E579" s="6" t="n"/>
      <c r="F579" s="6" t="n"/>
      <c r="G579" s="7" t="n"/>
      <c r="H579" s="7" t="n"/>
      <c r="I579" s="6" t="n"/>
      <c r="J579" s="9">
        <f>IF(NOT(ISNUMBER($G579)),"",IF(AND(ASH_CORRECTED="Yes",ISNUMBER($H579)),$G579*(1-$H579),$G579))</f>
        <v/>
      </c>
      <c r="K579" s="9">
        <f>IF($B579="","",IFERROR(AVERAGEIFS('2. Soil Data'!$G$5:$G$604,'2. Soil Data'!$B$5:$B$604,$B579),""))</f>
        <v/>
      </c>
      <c r="L579" s="9">
        <f>IF(NOT(ISNUMBER($K579)),"",PI()*($K579/2)^2)</f>
        <v/>
      </c>
      <c r="M579" s="9">
        <f>IF(OR(NOT(ISNUMBER($J579)),NOT(ISNUMBER($L579)),$L579=0),"",$J579/$L579*10000)</f>
        <v/>
      </c>
      <c r="N579" s="9">
        <f>IF(NOT(ISNUMBER($M579)),"",$M579*CARBON_FRACTION_ROOT/1000)</f>
        <v/>
      </c>
      <c r="O579" s="11">
        <f>IF(AND($A579="",$B579="",$G579=""),"",IF(AND($B579&lt;&gt;"",COUNTIFS('2. Soil Data'!$B$5:$B$604,$B579)=0),"Core ID not found in Soil Data, so the corer diameter cannot be looked up. ","")&amp;IF(ASH_CORRECTED&lt;&gt;"Yes","Root mass is NOT ash-corrected, so it includes adhering mineral soil and is too high. Set ASH_CORRECTED once you have done it. ","")&amp;IF(AND(ASH_CORRECTED="Yes",NOT(ISNUMBER($H579))),"Ash correction is switched on but no ash fraction is given for this row. ","")&amp;IF($I579="","Sieve mesh not recorded — a fine-root figure cannot be interpreted without it. ","")&amp;IF(AND(ISNUMBER($H579),$H579&gt;0.5),"Ash fraction above 0.5 — over half this sample was mineral soil. Re-wash. ","")&amp;IF($F579="Not separated","Live and dead not separated. Fine for a stock, but "&amp;"note it in reporting. ",""))</f>
        <v/>
      </c>
      <c r="P579" s="6" t="n"/>
      <c r="Q579" s="9">
        <f>IF($B579="",0,IF(COUNTIFS($B$5:$B579,$B579)=1,1,0))</f>
        <v/>
      </c>
    </row>
    <row r="580">
      <c r="A580" s="6" t="n"/>
      <c r="B580" s="6" t="n"/>
      <c r="C580" s="6" t="n"/>
      <c r="D580" s="6" t="n"/>
      <c r="E580" s="6" t="n"/>
      <c r="F580" s="6" t="n"/>
      <c r="G580" s="7" t="n"/>
      <c r="H580" s="7" t="n"/>
      <c r="I580" s="6" t="n"/>
      <c r="J580" s="9">
        <f>IF(NOT(ISNUMBER($G580)),"",IF(AND(ASH_CORRECTED="Yes",ISNUMBER($H580)),$G580*(1-$H580),$G580))</f>
        <v/>
      </c>
      <c r="K580" s="9">
        <f>IF($B580="","",IFERROR(AVERAGEIFS('2. Soil Data'!$G$5:$G$604,'2. Soil Data'!$B$5:$B$604,$B580),""))</f>
        <v/>
      </c>
      <c r="L580" s="9">
        <f>IF(NOT(ISNUMBER($K580)),"",PI()*($K580/2)^2)</f>
        <v/>
      </c>
      <c r="M580" s="9">
        <f>IF(OR(NOT(ISNUMBER($J580)),NOT(ISNUMBER($L580)),$L580=0),"",$J580/$L580*10000)</f>
        <v/>
      </c>
      <c r="N580" s="9">
        <f>IF(NOT(ISNUMBER($M580)),"",$M580*CARBON_FRACTION_ROOT/1000)</f>
        <v/>
      </c>
      <c r="O580" s="11">
        <f>IF(AND($A580="",$B580="",$G580=""),"",IF(AND($B580&lt;&gt;"",COUNTIFS('2. Soil Data'!$B$5:$B$604,$B580)=0),"Core ID not found in Soil Data, so the corer diameter cannot be looked up. ","")&amp;IF(ASH_CORRECTED&lt;&gt;"Yes","Root mass is NOT ash-corrected, so it includes adhering mineral soil and is too high. Set ASH_CORRECTED once you have done it. ","")&amp;IF(AND(ASH_CORRECTED="Yes",NOT(ISNUMBER($H580))),"Ash correction is switched on but no ash fraction is given for this row. ","")&amp;IF($I580="","Sieve mesh not recorded — a fine-root figure cannot be interpreted without it. ","")&amp;IF(AND(ISNUMBER($H580),$H580&gt;0.5),"Ash fraction above 0.5 — over half this sample was mineral soil. Re-wash. ","")&amp;IF($F580="Not separated","Live and dead not separated. Fine for a stock, but "&amp;"note it in reporting. ",""))</f>
        <v/>
      </c>
      <c r="P580" s="6" t="n"/>
      <c r="Q580" s="9">
        <f>IF($B580="",0,IF(COUNTIFS($B$5:$B580,$B580)=1,1,0))</f>
        <v/>
      </c>
    </row>
    <row r="581">
      <c r="A581" s="6" t="n"/>
      <c r="B581" s="6" t="n"/>
      <c r="C581" s="6" t="n"/>
      <c r="D581" s="6" t="n"/>
      <c r="E581" s="6" t="n"/>
      <c r="F581" s="6" t="n"/>
      <c r="G581" s="7" t="n"/>
      <c r="H581" s="7" t="n"/>
      <c r="I581" s="6" t="n"/>
      <c r="J581" s="9">
        <f>IF(NOT(ISNUMBER($G581)),"",IF(AND(ASH_CORRECTED="Yes",ISNUMBER($H581)),$G581*(1-$H581),$G581))</f>
        <v/>
      </c>
      <c r="K581" s="9">
        <f>IF($B581="","",IFERROR(AVERAGEIFS('2. Soil Data'!$G$5:$G$604,'2. Soil Data'!$B$5:$B$604,$B581),""))</f>
        <v/>
      </c>
      <c r="L581" s="9">
        <f>IF(NOT(ISNUMBER($K581)),"",PI()*($K581/2)^2)</f>
        <v/>
      </c>
      <c r="M581" s="9">
        <f>IF(OR(NOT(ISNUMBER($J581)),NOT(ISNUMBER($L581)),$L581=0),"",$J581/$L581*10000)</f>
        <v/>
      </c>
      <c r="N581" s="9">
        <f>IF(NOT(ISNUMBER($M581)),"",$M581*CARBON_FRACTION_ROOT/1000)</f>
        <v/>
      </c>
      <c r="O581" s="11">
        <f>IF(AND($A581="",$B581="",$G581=""),"",IF(AND($B581&lt;&gt;"",COUNTIFS('2. Soil Data'!$B$5:$B$604,$B581)=0),"Core ID not found in Soil Data, so the corer diameter cannot be looked up. ","")&amp;IF(ASH_CORRECTED&lt;&gt;"Yes","Root mass is NOT ash-corrected, so it includes adhering mineral soil and is too high. Set ASH_CORRECTED once you have done it. ","")&amp;IF(AND(ASH_CORRECTED="Yes",NOT(ISNUMBER($H581))),"Ash correction is switched on but no ash fraction is given for this row. ","")&amp;IF($I581="","Sieve mesh not recorded — a fine-root figure cannot be interpreted without it. ","")&amp;IF(AND(ISNUMBER($H581),$H581&gt;0.5),"Ash fraction above 0.5 — over half this sample was mineral soil. Re-wash. ","")&amp;IF($F581="Not separated","Live and dead not separated. Fine for a stock, but "&amp;"note it in reporting. ",""))</f>
        <v/>
      </c>
      <c r="P581" s="6" t="n"/>
      <c r="Q581" s="9">
        <f>IF($B581="",0,IF(COUNTIFS($B$5:$B581,$B581)=1,1,0))</f>
        <v/>
      </c>
    </row>
    <row r="582">
      <c r="A582" s="6" t="n"/>
      <c r="B582" s="6" t="n"/>
      <c r="C582" s="6" t="n"/>
      <c r="D582" s="6" t="n"/>
      <c r="E582" s="6" t="n"/>
      <c r="F582" s="6" t="n"/>
      <c r="G582" s="7" t="n"/>
      <c r="H582" s="7" t="n"/>
      <c r="I582" s="6" t="n"/>
      <c r="J582" s="9">
        <f>IF(NOT(ISNUMBER($G582)),"",IF(AND(ASH_CORRECTED="Yes",ISNUMBER($H582)),$G582*(1-$H582),$G582))</f>
        <v/>
      </c>
      <c r="K582" s="9">
        <f>IF($B582="","",IFERROR(AVERAGEIFS('2. Soil Data'!$G$5:$G$604,'2. Soil Data'!$B$5:$B$604,$B582),""))</f>
        <v/>
      </c>
      <c r="L582" s="9">
        <f>IF(NOT(ISNUMBER($K582)),"",PI()*($K582/2)^2)</f>
        <v/>
      </c>
      <c r="M582" s="9">
        <f>IF(OR(NOT(ISNUMBER($J582)),NOT(ISNUMBER($L582)),$L582=0),"",$J582/$L582*10000)</f>
        <v/>
      </c>
      <c r="N582" s="9">
        <f>IF(NOT(ISNUMBER($M582)),"",$M582*CARBON_FRACTION_ROOT/1000)</f>
        <v/>
      </c>
      <c r="O582" s="11">
        <f>IF(AND($A582="",$B582="",$G582=""),"",IF(AND($B582&lt;&gt;"",COUNTIFS('2. Soil Data'!$B$5:$B$604,$B582)=0),"Core ID not found in Soil Data, so the corer diameter cannot be looked up. ","")&amp;IF(ASH_CORRECTED&lt;&gt;"Yes","Root mass is NOT ash-corrected, so it includes adhering mineral soil and is too high. Set ASH_CORRECTED once you have done it. ","")&amp;IF(AND(ASH_CORRECTED="Yes",NOT(ISNUMBER($H582))),"Ash correction is switched on but no ash fraction is given for this row. ","")&amp;IF($I582="","Sieve mesh not recorded — a fine-root figure cannot be interpreted without it. ","")&amp;IF(AND(ISNUMBER($H582),$H582&gt;0.5),"Ash fraction above 0.5 — over half this sample was mineral soil. Re-wash. ","")&amp;IF($F582="Not separated","Live and dead not separated. Fine for a stock, but "&amp;"note it in reporting. ",""))</f>
        <v/>
      </c>
      <c r="P582" s="6" t="n"/>
      <c r="Q582" s="9">
        <f>IF($B582="",0,IF(COUNTIFS($B$5:$B582,$B582)=1,1,0))</f>
        <v/>
      </c>
    </row>
    <row r="583">
      <c r="A583" s="6" t="n"/>
      <c r="B583" s="6" t="n"/>
      <c r="C583" s="6" t="n"/>
      <c r="D583" s="6" t="n"/>
      <c r="E583" s="6" t="n"/>
      <c r="F583" s="6" t="n"/>
      <c r="G583" s="7" t="n"/>
      <c r="H583" s="7" t="n"/>
      <c r="I583" s="6" t="n"/>
      <c r="J583" s="9">
        <f>IF(NOT(ISNUMBER($G583)),"",IF(AND(ASH_CORRECTED="Yes",ISNUMBER($H583)),$G583*(1-$H583),$G583))</f>
        <v/>
      </c>
      <c r="K583" s="9">
        <f>IF($B583="","",IFERROR(AVERAGEIFS('2. Soil Data'!$G$5:$G$604,'2. Soil Data'!$B$5:$B$604,$B583),""))</f>
        <v/>
      </c>
      <c r="L583" s="9">
        <f>IF(NOT(ISNUMBER($K583)),"",PI()*($K583/2)^2)</f>
        <v/>
      </c>
      <c r="M583" s="9">
        <f>IF(OR(NOT(ISNUMBER($J583)),NOT(ISNUMBER($L583)),$L583=0),"",$J583/$L583*10000)</f>
        <v/>
      </c>
      <c r="N583" s="9">
        <f>IF(NOT(ISNUMBER($M583)),"",$M583*CARBON_FRACTION_ROOT/1000)</f>
        <v/>
      </c>
      <c r="O583" s="11">
        <f>IF(AND($A583="",$B583="",$G583=""),"",IF(AND($B583&lt;&gt;"",COUNTIFS('2. Soil Data'!$B$5:$B$604,$B583)=0),"Core ID not found in Soil Data, so the corer diameter cannot be looked up. ","")&amp;IF(ASH_CORRECTED&lt;&gt;"Yes","Root mass is NOT ash-corrected, so it includes adhering mineral soil and is too high. Set ASH_CORRECTED once you have done it. ","")&amp;IF(AND(ASH_CORRECTED="Yes",NOT(ISNUMBER($H583))),"Ash correction is switched on but no ash fraction is given for this row. ","")&amp;IF($I583="","Sieve mesh not recorded — a fine-root figure cannot be interpreted without it. ","")&amp;IF(AND(ISNUMBER($H583),$H583&gt;0.5),"Ash fraction above 0.5 — over half this sample was mineral soil. Re-wash. ","")&amp;IF($F583="Not separated","Live and dead not separated. Fine for a stock, but "&amp;"note it in reporting. ",""))</f>
        <v/>
      </c>
      <c r="P583" s="6" t="n"/>
      <c r="Q583" s="9">
        <f>IF($B583="",0,IF(COUNTIFS($B$5:$B583,$B583)=1,1,0))</f>
        <v/>
      </c>
    </row>
    <row r="584">
      <c r="A584" s="6" t="n"/>
      <c r="B584" s="6" t="n"/>
      <c r="C584" s="6" t="n"/>
      <c r="D584" s="6" t="n"/>
      <c r="E584" s="6" t="n"/>
      <c r="F584" s="6" t="n"/>
      <c r="G584" s="7" t="n"/>
      <c r="H584" s="7" t="n"/>
      <c r="I584" s="6" t="n"/>
      <c r="J584" s="9">
        <f>IF(NOT(ISNUMBER($G584)),"",IF(AND(ASH_CORRECTED="Yes",ISNUMBER($H584)),$G584*(1-$H584),$G584))</f>
        <v/>
      </c>
      <c r="K584" s="9">
        <f>IF($B584="","",IFERROR(AVERAGEIFS('2. Soil Data'!$G$5:$G$604,'2. Soil Data'!$B$5:$B$604,$B584),""))</f>
        <v/>
      </c>
      <c r="L584" s="9">
        <f>IF(NOT(ISNUMBER($K584)),"",PI()*($K584/2)^2)</f>
        <v/>
      </c>
      <c r="M584" s="9">
        <f>IF(OR(NOT(ISNUMBER($J584)),NOT(ISNUMBER($L584)),$L584=0),"",$J584/$L584*10000)</f>
        <v/>
      </c>
      <c r="N584" s="9">
        <f>IF(NOT(ISNUMBER($M584)),"",$M584*CARBON_FRACTION_ROOT/1000)</f>
        <v/>
      </c>
      <c r="O584" s="11">
        <f>IF(AND($A584="",$B584="",$G584=""),"",IF(AND($B584&lt;&gt;"",COUNTIFS('2. Soil Data'!$B$5:$B$604,$B584)=0),"Core ID not found in Soil Data, so the corer diameter cannot be looked up. ","")&amp;IF(ASH_CORRECTED&lt;&gt;"Yes","Root mass is NOT ash-corrected, so it includes adhering mineral soil and is too high. Set ASH_CORRECTED once you have done it. ","")&amp;IF(AND(ASH_CORRECTED="Yes",NOT(ISNUMBER($H584))),"Ash correction is switched on but no ash fraction is given for this row. ","")&amp;IF($I584="","Sieve mesh not recorded — a fine-root figure cannot be interpreted without it. ","")&amp;IF(AND(ISNUMBER($H584),$H584&gt;0.5),"Ash fraction above 0.5 — over half this sample was mineral soil. Re-wash. ","")&amp;IF($F584="Not separated","Live and dead not separated. Fine for a stock, but "&amp;"note it in reporting. ",""))</f>
        <v/>
      </c>
      <c r="P584" s="6" t="n"/>
      <c r="Q584" s="9">
        <f>IF($B584="",0,IF(COUNTIFS($B$5:$B584,$B584)=1,1,0))</f>
        <v/>
      </c>
    </row>
    <row r="585">
      <c r="A585" s="6" t="n"/>
      <c r="B585" s="6" t="n"/>
      <c r="C585" s="6" t="n"/>
      <c r="D585" s="6" t="n"/>
      <c r="E585" s="6" t="n"/>
      <c r="F585" s="6" t="n"/>
      <c r="G585" s="7" t="n"/>
      <c r="H585" s="7" t="n"/>
      <c r="I585" s="6" t="n"/>
      <c r="J585" s="9">
        <f>IF(NOT(ISNUMBER($G585)),"",IF(AND(ASH_CORRECTED="Yes",ISNUMBER($H585)),$G585*(1-$H585),$G585))</f>
        <v/>
      </c>
      <c r="K585" s="9">
        <f>IF($B585="","",IFERROR(AVERAGEIFS('2. Soil Data'!$G$5:$G$604,'2. Soil Data'!$B$5:$B$604,$B585),""))</f>
        <v/>
      </c>
      <c r="L585" s="9">
        <f>IF(NOT(ISNUMBER($K585)),"",PI()*($K585/2)^2)</f>
        <v/>
      </c>
      <c r="M585" s="9">
        <f>IF(OR(NOT(ISNUMBER($J585)),NOT(ISNUMBER($L585)),$L585=0),"",$J585/$L585*10000)</f>
        <v/>
      </c>
      <c r="N585" s="9">
        <f>IF(NOT(ISNUMBER($M585)),"",$M585*CARBON_FRACTION_ROOT/1000)</f>
        <v/>
      </c>
      <c r="O585" s="11">
        <f>IF(AND($A585="",$B585="",$G585=""),"",IF(AND($B585&lt;&gt;"",COUNTIFS('2. Soil Data'!$B$5:$B$604,$B585)=0),"Core ID not found in Soil Data, so the corer diameter cannot be looked up. ","")&amp;IF(ASH_CORRECTED&lt;&gt;"Yes","Root mass is NOT ash-corrected, so it includes adhering mineral soil and is too high. Set ASH_CORRECTED once you have done it. ","")&amp;IF(AND(ASH_CORRECTED="Yes",NOT(ISNUMBER($H585))),"Ash correction is switched on but no ash fraction is given for this row. ","")&amp;IF($I585="","Sieve mesh not recorded — a fine-root figure cannot be interpreted without it. ","")&amp;IF(AND(ISNUMBER($H585),$H585&gt;0.5),"Ash fraction above 0.5 — over half this sample was mineral soil. Re-wash. ","")&amp;IF($F585="Not separated","Live and dead not separated. Fine for a stock, but "&amp;"note it in reporting. ",""))</f>
        <v/>
      </c>
      <c r="P585" s="6" t="n"/>
      <c r="Q585" s="9">
        <f>IF($B585="",0,IF(COUNTIFS($B$5:$B585,$B585)=1,1,0))</f>
        <v/>
      </c>
    </row>
    <row r="586">
      <c r="A586" s="6" t="n"/>
      <c r="B586" s="6" t="n"/>
      <c r="C586" s="6" t="n"/>
      <c r="D586" s="6" t="n"/>
      <c r="E586" s="6" t="n"/>
      <c r="F586" s="6" t="n"/>
      <c r="G586" s="7" t="n"/>
      <c r="H586" s="7" t="n"/>
      <c r="I586" s="6" t="n"/>
      <c r="J586" s="9">
        <f>IF(NOT(ISNUMBER($G586)),"",IF(AND(ASH_CORRECTED="Yes",ISNUMBER($H586)),$G586*(1-$H586),$G586))</f>
        <v/>
      </c>
      <c r="K586" s="9">
        <f>IF($B586="","",IFERROR(AVERAGEIFS('2. Soil Data'!$G$5:$G$604,'2. Soil Data'!$B$5:$B$604,$B586),""))</f>
        <v/>
      </c>
      <c r="L586" s="9">
        <f>IF(NOT(ISNUMBER($K586)),"",PI()*($K586/2)^2)</f>
        <v/>
      </c>
      <c r="M586" s="9">
        <f>IF(OR(NOT(ISNUMBER($J586)),NOT(ISNUMBER($L586)),$L586=0),"",$J586/$L586*10000)</f>
        <v/>
      </c>
      <c r="N586" s="9">
        <f>IF(NOT(ISNUMBER($M586)),"",$M586*CARBON_FRACTION_ROOT/1000)</f>
        <v/>
      </c>
      <c r="O586" s="11">
        <f>IF(AND($A586="",$B586="",$G586=""),"",IF(AND($B586&lt;&gt;"",COUNTIFS('2. Soil Data'!$B$5:$B$604,$B586)=0),"Core ID not found in Soil Data, so the corer diameter cannot be looked up. ","")&amp;IF(ASH_CORRECTED&lt;&gt;"Yes","Root mass is NOT ash-corrected, so it includes adhering mineral soil and is too high. Set ASH_CORRECTED once you have done it. ","")&amp;IF(AND(ASH_CORRECTED="Yes",NOT(ISNUMBER($H586))),"Ash correction is switched on but no ash fraction is given for this row. ","")&amp;IF($I586="","Sieve mesh not recorded — a fine-root figure cannot be interpreted without it. ","")&amp;IF(AND(ISNUMBER($H586),$H586&gt;0.5),"Ash fraction above 0.5 — over half this sample was mineral soil. Re-wash. ","")&amp;IF($F586="Not separated","Live and dead not separated. Fine for a stock, but "&amp;"note it in reporting. ",""))</f>
        <v/>
      </c>
      <c r="P586" s="6" t="n"/>
      <c r="Q586" s="9">
        <f>IF($B586="",0,IF(COUNTIFS($B$5:$B586,$B586)=1,1,0))</f>
        <v/>
      </c>
    </row>
    <row r="587">
      <c r="A587" s="6" t="n"/>
      <c r="B587" s="6" t="n"/>
      <c r="C587" s="6" t="n"/>
      <c r="D587" s="6" t="n"/>
      <c r="E587" s="6" t="n"/>
      <c r="F587" s="6" t="n"/>
      <c r="G587" s="7" t="n"/>
      <c r="H587" s="7" t="n"/>
      <c r="I587" s="6" t="n"/>
      <c r="J587" s="9">
        <f>IF(NOT(ISNUMBER($G587)),"",IF(AND(ASH_CORRECTED="Yes",ISNUMBER($H587)),$G587*(1-$H587),$G587))</f>
        <v/>
      </c>
      <c r="K587" s="9">
        <f>IF($B587="","",IFERROR(AVERAGEIFS('2. Soil Data'!$G$5:$G$604,'2. Soil Data'!$B$5:$B$604,$B587),""))</f>
        <v/>
      </c>
      <c r="L587" s="9">
        <f>IF(NOT(ISNUMBER($K587)),"",PI()*($K587/2)^2)</f>
        <v/>
      </c>
      <c r="M587" s="9">
        <f>IF(OR(NOT(ISNUMBER($J587)),NOT(ISNUMBER($L587)),$L587=0),"",$J587/$L587*10000)</f>
        <v/>
      </c>
      <c r="N587" s="9">
        <f>IF(NOT(ISNUMBER($M587)),"",$M587*CARBON_FRACTION_ROOT/1000)</f>
        <v/>
      </c>
      <c r="O587" s="11">
        <f>IF(AND($A587="",$B587="",$G587=""),"",IF(AND($B587&lt;&gt;"",COUNTIFS('2. Soil Data'!$B$5:$B$604,$B587)=0),"Core ID not found in Soil Data, so the corer diameter cannot be looked up. ","")&amp;IF(ASH_CORRECTED&lt;&gt;"Yes","Root mass is NOT ash-corrected, so it includes adhering mineral soil and is too high. Set ASH_CORRECTED once you have done it. ","")&amp;IF(AND(ASH_CORRECTED="Yes",NOT(ISNUMBER($H587))),"Ash correction is switched on but no ash fraction is given for this row. ","")&amp;IF($I587="","Sieve mesh not recorded — a fine-root figure cannot be interpreted without it. ","")&amp;IF(AND(ISNUMBER($H587),$H587&gt;0.5),"Ash fraction above 0.5 — over half this sample was mineral soil. Re-wash. ","")&amp;IF($F587="Not separated","Live and dead not separated. Fine for a stock, but "&amp;"note it in reporting. ",""))</f>
        <v/>
      </c>
      <c r="P587" s="6" t="n"/>
      <c r="Q587" s="9">
        <f>IF($B587="",0,IF(COUNTIFS($B$5:$B587,$B587)=1,1,0))</f>
        <v/>
      </c>
    </row>
    <row r="588">
      <c r="A588" s="6" t="n"/>
      <c r="B588" s="6" t="n"/>
      <c r="C588" s="6" t="n"/>
      <c r="D588" s="6" t="n"/>
      <c r="E588" s="6" t="n"/>
      <c r="F588" s="6" t="n"/>
      <c r="G588" s="7" t="n"/>
      <c r="H588" s="7" t="n"/>
      <c r="I588" s="6" t="n"/>
      <c r="J588" s="9">
        <f>IF(NOT(ISNUMBER($G588)),"",IF(AND(ASH_CORRECTED="Yes",ISNUMBER($H588)),$G588*(1-$H588),$G588))</f>
        <v/>
      </c>
      <c r="K588" s="9">
        <f>IF($B588="","",IFERROR(AVERAGEIFS('2. Soil Data'!$G$5:$G$604,'2. Soil Data'!$B$5:$B$604,$B588),""))</f>
        <v/>
      </c>
      <c r="L588" s="9">
        <f>IF(NOT(ISNUMBER($K588)),"",PI()*($K588/2)^2)</f>
        <v/>
      </c>
      <c r="M588" s="9">
        <f>IF(OR(NOT(ISNUMBER($J588)),NOT(ISNUMBER($L588)),$L588=0),"",$J588/$L588*10000)</f>
        <v/>
      </c>
      <c r="N588" s="9">
        <f>IF(NOT(ISNUMBER($M588)),"",$M588*CARBON_FRACTION_ROOT/1000)</f>
        <v/>
      </c>
      <c r="O588" s="11">
        <f>IF(AND($A588="",$B588="",$G588=""),"",IF(AND($B588&lt;&gt;"",COUNTIFS('2. Soil Data'!$B$5:$B$604,$B588)=0),"Core ID not found in Soil Data, so the corer diameter cannot be looked up. ","")&amp;IF(ASH_CORRECTED&lt;&gt;"Yes","Root mass is NOT ash-corrected, so it includes adhering mineral soil and is too high. Set ASH_CORRECTED once you have done it. ","")&amp;IF(AND(ASH_CORRECTED="Yes",NOT(ISNUMBER($H588))),"Ash correction is switched on but no ash fraction is given for this row. ","")&amp;IF($I588="","Sieve mesh not recorded — a fine-root figure cannot be interpreted without it. ","")&amp;IF(AND(ISNUMBER($H588),$H588&gt;0.5),"Ash fraction above 0.5 — over half this sample was mineral soil. Re-wash. ","")&amp;IF($F588="Not separated","Live and dead not separated. Fine for a stock, but "&amp;"note it in reporting. ",""))</f>
        <v/>
      </c>
      <c r="P588" s="6" t="n"/>
      <c r="Q588" s="9">
        <f>IF($B588="",0,IF(COUNTIFS($B$5:$B588,$B588)=1,1,0))</f>
        <v/>
      </c>
    </row>
    <row r="589">
      <c r="A589" s="6" t="n"/>
      <c r="B589" s="6" t="n"/>
      <c r="C589" s="6" t="n"/>
      <c r="D589" s="6" t="n"/>
      <c r="E589" s="6" t="n"/>
      <c r="F589" s="6" t="n"/>
      <c r="G589" s="7" t="n"/>
      <c r="H589" s="7" t="n"/>
      <c r="I589" s="6" t="n"/>
      <c r="J589" s="9">
        <f>IF(NOT(ISNUMBER($G589)),"",IF(AND(ASH_CORRECTED="Yes",ISNUMBER($H589)),$G589*(1-$H589),$G589))</f>
        <v/>
      </c>
      <c r="K589" s="9">
        <f>IF($B589="","",IFERROR(AVERAGEIFS('2. Soil Data'!$G$5:$G$604,'2. Soil Data'!$B$5:$B$604,$B589),""))</f>
        <v/>
      </c>
      <c r="L589" s="9">
        <f>IF(NOT(ISNUMBER($K589)),"",PI()*($K589/2)^2)</f>
        <v/>
      </c>
      <c r="M589" s="9">
        <f>IF(OR(NOT(ISNUMBER($J589)),NOT(ISNUMBER($L589)),$L589=0),"",$J589/$L589*10000)</f>
        <v/>
      </c>
      <c r="N589" s="9">
        <f>IF(NOT(ISNUMBER($M589)),"",$M589*CARBON_FRACTION_ROOT/1000)</f>
        <v/>
      </c>
      <c r="O589" s="11">
        <f>IF(AND($A589="",$B589="",$G589=""),"",IF(AND($B589&lt;&gt;"",COUNTIFS('2. Soil Data'!$B$5:$B$604,$B589)=0),"Core ID not found in Soil Data, so the corer diameter cannot be looked up. ","")&amp;IF(ASH_CORRECTED&lt;&gt;"Yes","Root mass is NOT ash-corrected, so it includes adhering mineral soil and is too high. Set ASH_CORRECTED once you have done it. ","")&amp;IF(AND(ASH_CORRECTED="Yes",NOT(ISNUMBER($H589))),"Ash correction is switched on but no ash fraction is given for this row. ","")&amp;IF($I589="","Sieve mesh not recorded — a fine-root figure cannot be interpreted without it. ","")&amp;IF(AND(ISNUMBER($H589),$H589&gt;0.5),"Ash fraction above 0.5 — over half this sample was mineral soil. Re-wash. ","")&amp;IF($F589="Not separated","Live and dead not separated. Fine for a stock, but "&amp;"note it in reporting. ",""))</f>
        <v/>
      </c>
      <c r="P589" s="6" t="n"/>
      <c r="Q589" s="9">
        <f>IF($B589="",0,IF(COUNTIFS($B$5:$B589,$B589)=1,1,0))</f>
        <v/>
      </c>
    </row>
    <row r="590">
      <c r="A590" s="6" t="n"/>
      <c r="B590" s="6" t="n"/>
      <c r="C590" s="6" t="n"/>
      <c r="D590" s="6" t="n"/>
      <c r="E590" s="6" t="n"/>
      <c r="F590" s="6" t="n"/>
      <c r="G590" s="7" t="n"/>
      <c r="H590" s="7" t="n"/>
      <c r="I590" s="6" t="n"/>
      <c r="J590" s="9">
        <f>IF(NOT(ISNUMBER($G590)),"",IF(AND(ASH_CORRECTED="Yes",ISNUMBER($H590)),$G590*(1-$H590),$G590))</f>
        <v/>
      </c>
      <c r="K590" s="9">
        <f>IF($B590="","",IFERROR(AVERAGEIFS('2. Soil Data'!$G$5:$G$604,'2. Soil Data'!$B$5:$B$604,$B590),""))</f>
        <v/>
      </c>
      <c r="L590" s="9">
        <f>IF(NOT(ISNUMBER($K590)),"",PI()*($K590/2)^2)</f>
        <v/>
      </c>
      <c r="M590" s="9">
        <f>IF(OR(NOT(ISNUMBER($J590)),NOT(ISNUMBER($L590)),$L590=0),"",$J590/$L590*10000)</f>
        <v/>
      </c>
      <c r="N590" s="9">
        <f>IF(NOT(ISNUMBER($M590)),"",$M590*CARBON_FRACTION_ROOT/1000)</f>
        <v/>
      </c>
      <c r="O590" s="11">
        <f>IF(AND($A590="",$B590="",$G590=""),"",IF(AND($B590&lt;&gt;"",COUNTIFS('2. Soil Data'!$B$5:$B$604,$B590)=0),"Core ID not found in Soil Data, so the corer diameter cannot be looked up. ","")&amp;IF(ASH_CORRECTED&lt;&gt;"Yes","Root mass is NOT ash-corrected, so it includes adhering mineral soil and is too high. Set ASH_CORRECTED once you have done it. ","")&amp;IF(AND(ASH_CORRECTED="Yes",NOT(ISNUMBER($H590))),"Ash correction is switched on but no ash fraction is given for this row. ","")&amp;IF($I590="","Sieve mesh not recorded — a fine-root figure cannot be interpreted without it. ","")&amp;IF(AND(ISNUMBER($H590),$H590&gt;0.5),"Ash fraction above 0.5 — over half this sample was mineral soil. Re-wash. ","")&amp;IF($F590="Not separated","Live and dead not separated. Fine for a stock, but "&amp;"note it in reporting. ",""))</f>
        <v/>
      </c>
      <c r="P590" s="6" t="n"/>
      <c r="Q590" s="9">
        <f>IF($B590="",0,IF(COUNTIFS($B$5:$B590,$B590)=1,1,0))</f>
        <v/>
      </c>
    </row>
    <row r="591">
      <c r="A591" s="6" t="n"/>
      <c r="B591" s="6" t="n"/>
      <c r="C591" s="6" t="n"/>
      <c r="D591" s="6" t="n"/>
      <c r="E591" s="6" t="n"/>
      <c r="F591" s="6" t="n"/>
      <c r="G591" s="7" t="n"/>
      <c r="H591" s="7" t="n"/>
      <c r="I591" s="6" t="n"/>
      <c r="J591" s="9">
        <f>IF(NOT(ISNUMBER($G591)),"",IF(AND(ASH_CORRECTED="Yes",ISNUMBER($H591)),$G591*(1-$H591),$G591))</f>
        <v/>
      </c>
      <c r="K591" s="9">
        <f>IF($B591="","",IFERROR(AVERAGEIFS('2. Soil Data'!$G$5:$G$604,'2. Soil Data'!$B$5:$B$604,$B591),""))</f>
        <v/>
      </c>
      <c r="L591" s="9">
        <f>IF(NOT(ISNUMBER($K591)),"",PI()*($K591/2)^2)</f>
        <v/>
      </c>
      <c r="M591" s="9">
        <f>IF(OR(NOT(ISNUMBER($J591)),NOT(ISNUMBER($L591)),$L591=0),"",$J591/$L591*10000)</f>
        <v/>
      </c>
      <c r="N591" s="9">
        <f>IF(NOT(ISNUMBER($M591)),"",$M591*CARBON_FRACTION_ROOT/1000)</f>
        <v/>
      </c>
      <c r="O591" s="11">
        <f>IF(AND($A591="",$B591="",$G591=""),"",IF(AND($B591&lt;&gt;"",COUNTIFS('2. Soil Data'!$B$5:$B$604,$B591)=0),"Core ID not found in Soil Data, so the corer diameter cannot be looked up. ","")&amp;IF(ASH_CORRECTED&lt;&gt;"Yes","Root mass is NOT ash-corrected, so it includes adhering mineral soil and is too high. Set ASH_CORRECTED once you have done it. ","")&amp;IF(AND(ASH_CORRECTED="Yes",NOT(ISNUMBER($H591))),"Ash correction is switched on but no ash fraction is given for this row. ","")&amp;IF($I591="","Sieve mesh not recorded — a fine-root figure cannot be interpreted without it. ","")&amp;IF(AND(ISNUMBER($H591),$H591&gt;0.5),"Ash fraction above 0.5 — over half this sample was mineral soil. Re-wash. ","")&amp;IF($F591="Not separated","Live and dead not separated. Fine for a stock, but "&amp;"note it in reporting. ",""))</f>
        <v/>
      </c>
      <c r="P591" s="6" t="n"/>
      <c r="Q591" s="9">
        <f>IF($B591="",0,IF(COUNTIFS($B$5:$B591,$B591)=1,1,0))</f>
        <v/>
      </c>
    </row>
    <row r="592">
      <c r="A592" s="6" t="n"/>
      <c r="B592" s="6" t="n"/>
      <c r="C592" s="6" t="n"/>
      <c r="D592" s="6" t="n"/>
      <c r="E592" s="6" t="n"/>
      <c r="F592" s="6" t="n"/>
      <c r="G592" s="7" t="n"/>
      <c r="H592" s="7" t="n"/>
      <c r="I592" s="6" t="n"/>
      <c r="J592" s="9">
        <f>IF(NOT(ISNUMBER($G592)),"",IF(AND(ASH_CORRECTED="Yes",ISNUMBER($H592)),$G592*(1-$H592),$G592))</f>
        <v/>
      </c>
      <c r="K592" s="9">
        <f>IF($B592="","",IFERROR(AVERAGEIFS('2. Soil Data'!$G$5:$G$604,'2. Soil Data'!$B$5:$B$604,$B592),""))</f>
        <v/>
      </c>
      <c r="L592" s="9">
        <f>IF(NOT(ISNUMBER($K592)),"",PI()*($K592/2)^2)</f>
        <v/>
      </c>
      <c r="M592" s="9">
        <f>IF(OR(NOT(ISNUMBER($J592)),NOT(ISNUMBER($L592)),$L592=0),"",$J592/$L592*10000)</f>
        <v/>
      </c>
      <c r="N592" s="9">
        <f>IF(NOT(ISNUMBER($M592)),"",$M592*CARBON_FRACTION_ROOT/1000)</f>
        <v/>
      </c>
      <c r="O592" s="11">
        <f>IF(AND($A592="",$B592="",$G592=""),"",IF(AND($B592&lt;&gt;"",COUNTIFS('2. Soil Data'!$B$5:$B$604,$B592)=0),"Core ID not found in Soil Data, so the corer diameter cannot be looked up. ","")&amp;IF(ASH_CORRECTED&lt;&gt;"Yes","Root mass is NOT ash-corrected, so it includes adhering mineral soil and is too high. Set ASH_CORRECTED once you have done it. ","")&amp;IF(AND(ASH_CORRECTED="Yes",NOT(ISNUMBER($H592))),"Ash correction is switched on but no ash fraction is given for this row. ","")&amp;IF($I592="","Sieve mesh not recorded — a fine-root figure cannot be interpreted without it. ","")&amp;IF(AND(ISNUMBER($H592),$H592&gt;0.5),"Ash fraction above 0.5 — over half this sample was mineral soil. Re-wash. ","")&amp;IF($F592="Not separated","Live and dead not separated. Fine for a stock, but "&amp;"note it in reporting. ",""))</f>
        <v/>
      </c>
      <c r="P592" s="6" t="n"/>
      <c r="Q592" s="9">
        <f>IF($B592="",0,IF(COUNTIFS($B$5:$B592,$B592)=1,1,0))</f>
        <v/>
      </c>
    </row>
    <row r="593">
      <c r="A593" s="6" t="n"/>
      <c r="B593" s="6" t="n"/>
      <c r="C593" s="6" t="n"/>
      <c r="D593" s="6" t="n"/>
      <c r="E593" s="6" t="n"/>
      <c r="F593" s="6" t="n"/>
      <c r="G593" s="7" t="n"/>
      <c r="H593" s="7" t="n"/>
      <c r="I593" s="6" t="n"/>
      <c r="J593" s="9">
        <f>IF(NOT(ISNUMBER($G593)),"",IF(AND(ASH_CORRECTED="Yes",ISNUMBER($H593)),$G593*(1-$H593),$G593))</f>
        <v/>
      </c>
      <c r="K593" s="9">
        <f>IF($B593="","",IFERROR(AVERAGEIFS('2. Soil Data'!$G$5:$G$604,'2. Soil Data'!$B$5:$B$604,$B593),""))</f>
        <v/>
      </c>
      <c r="L593" s="9">
        <f>IF(NOT(ISNUMBER($K593)),"",PI()*($K593/2)^2)</f>
        <v/>
      </c>
      <c r="M593" s="9">
        <f>IF(OR(NOT(ISNUMBER($J593)),NOT(ISNUMBER($L593)),$L593=0),"",$J593/$L593*10000)</f>
        <v/>
      </c>
      <c r="N593" s="9">
        <f>IF(NOT(ISNUMBER($M593)),"",$M593*CARBON_FRACTION_ROOT/1000)</f>
        <v/>
      </c>
      <c r="O593" s="11">
        <f>IF(AND($A593="",$B593="",$G593=""),"",IF(AND($B593&lt;&gt;"",COUNTIFS('2. Soil Data'!$B$5:$B$604,$B593)=0),"Core ID not found in Soil Data, so the corer diameter cannot be looked up. ","")&amp;IF(ASH_CORRECTED&lt;&gt;"Yes","Root mass is NOT ash-corrected, so it includes adhering mineral soil and is too high. Set ASH_CORRECTED once you have done it. ","")&amp;IF(AND(ASH_CORRECTED="Yes",NOT(ISNUMBER($H593))),"Ash correction is switched on but no ash fraction is given for this row. ","")&amp;IF($I593="","Sieve mesh not recorded — a fine-root figure cannot be interpreted without it. ","")&amp;IF(AND(ISNUMBER($H593),$H593&gt;0.5),"Ash fraction above 0.5 — over half this sample was mineral soil. Re-wash. ","")&amp;IF($F593="Not separated","Live and dead not separated. Fine for a stock, but "&amp;"note it in reporting. ",""))</f>
        <v/>
      </c>
      <c r="P593" s="6" t="n"/>
      <c r="Q593" s="9">
        <f>IF($B593="",0,IF(COUNTIFS($B$5:$B593,$B593)=1,1,0))</f>
        <v/>
      </c>
    </row>
    <row r="594">
      <c r="A594" s="6" t="n"/>
      <c r="B594" s="6" t="n"/>
      <c r="C594" s="6" t="n"/>
      <c r="D594" s="6" t="n"/>
      <c r="E594" s="6" t="n"/>
      <c r="F594" s="6" t="n"/>
      <c r="G594" s="7" t="n"/>
      <c r="H594" s="7" t="n"/>
      <c r="I594" s="6" t="n"/>
      <c r="J594" s="9">
        <f>IF(NOT(ISNUMBER($G594)),"",IF(AND(ASH_CORRECTED="Yes",ISNUMBER($H594)),$G594*(1-$H594),$G594))</f>
        <v/>
      </c>
      <c r="K594" s="9">
        <f>IF($B594="","",IFERROR(AVERAGEIFS('2. Soil Data'!$G$5:$G$604,'2. Soil Data'!$B$5:$B$604,$B594),""))</f>
        <v/>
      </c>
      <c r="L594" s="9">
        <f>IF(NOT(ISNUMBER($K594)),"",PI()*($K594/2)^2)</f>
        <v/>
      </c>
      <c r="M594" s="9">
        <f>IF(OR(NOT(ISNUMBER($J594)),NOT(ISNUMBER($L594)),$L594=0),"",$J594/$L594*10000)</f>
        <v/>
      </c>
      <c r="N594" s="9">
        <f>IF(NOT(ISNUMBER($M594)),"",$M594*CARBON_FRACTION_ROOT/1000)</f>
        <v/>
      </c>
      <c r="O594" s="11">
        <f>IF(AND($A594="",$B594="",$G594=""),"",IF(AND($B594&lt;&gt;"",COUNTIFS('2. Soil Data'!$B$5:$B$604,$B594)=0),"Core ID not found in Soil Data, so the corer diameter cannot be looked up. ","")&amp;IF(ASH_CORRECTED&lt;&gt;"Yes","Root mass is NOT ash-corrected, so it includes adhering mineral soil and is too high. Set ASH_CORRECTED once you have done it. ","")&amp;IF(AND(ASH_CORRECTED="Yes",NOT(ISNUMBER($H594))),"Ash correction is switched on but no ash fraction is given for this row. ","")&amp;IF($I594="","Sieve mesh not recorded — a fine-root figure cannot be interpreted without it. ","")&amp;IF(AND(ISNUMBER($H594),$H594&gt;0.5),"Ash fraction above 0.5 — over half this sample was mineral soil. Re-wash. ","")&amp;IF($F594="Not separated","Live and dead not separated. Fine for a stock, but "&amp;"note it in reporting. ",""))</f>
        <v/>
      </c>
      <c r="P594" s="6" t="n"/>
      <c r="Q594" s="9">
        <f>IF($B594="",0,IF(COUNTIFS($B$5:$B594,$B594)=1,1,0))</f>
        <v/>
      </c>
    </row>
    <row r="595">
      <c r="A595" s="6" t="n"/>
      <c r="B595" s="6" t="n"/>
      <c r="C595" s="6" t="n"/>
      <c r="D595" s="6" t="n"/>
      <c r="E595" s="6" t="n"/>
      <c r="F595" s="6" t="n"/>
      <c r="G595" s="7" t="n"/>
      <c r="H595" s="7" t="n"/>
      <c r="I595" s="6" t="n"/>
      <c r="J595" s="9">
        <f>IF(NOT(ISNUMBER($G595)),"",IF(AND(ASH_CORRECTED="Yes",ISNUMBER($H595)),$G595*(1-$H595),$G595))</f>
        <v/>
      </c>
      <c r="K595" s="9">
        <f>IF($B595="","",IFERROR(AVERAGEIFS('2. Soil Data'!$G$5:$G$604,'2. Soil Data'!$B$5:$B$604,$B595),""))</f>
        <v/>
      </c>
      <c r="L595" s="9">
        <f>IF(NOT(ISNUMBER($K595)),"",PI()*($K595/2)^2)</f>
        <v/>
      </c>
      <c r="M595" s="9">
        <f>IF(OR(NOT(ISNUMBER($J595)),NOT(ISNUMBER($L595)),$L595=0),"",$J595/$L595*10000)</f>
        <v/>
      </c>
      <c r="N595" s="9">
        <f>IF(NOT(ISNUMBER($M595)),"",$M595*CARBON_FRACTION_ROOT/1000)</f>
        <v/>
      </c>
      <c r="O595" s="11">
        <f>IF(AND($A595="",$B595="",$G595=""),"",IF(AND($B595&lt;&gt;"",COUNTIFS('2. Soil Data'!$B$5:$B$604,$B595)=0),"Core ID not found in Soil Data, so the corer diameter cannot be looked up. ","")&amp;IF(ASH_CORRECTED&lt;&gt;"Yes","Root mass is NOT ash-corrected, so it includes adhering mineral soil and is too high. Set ASH_CORRECTED once you have done it. ","")&amp;IF(AND(ASH_CORRECTED="Yes",NOT(ISNUMBER($H595))),"Ash correction is switched on but no ash fraction is given for this row. ","")&amp;IF($I595="","Sieve mesh not recorded — a fine-root figure cannot be interpreted without it. ","")&amp;IF(AND(ISNUMBER($H595),$H595&gt;0.5),"Ash fraction above 0.5 — over half this sample was mineral soil. Re-wash. ","")&amp;IF($F595="Not separated","Live and dead not separated. Fine for a stock, but "&amp;"note it in reporting. ",""))</f>
        <v/>
      </c>
      <c r="P595" s="6" t="n"/>
      <c r="Q595" s="9">
        <f>IF($B595="",0,IF(COUNTIFS($B$5:$B595,$B595)=1,1,0))</f>
        <v/>
      </c>
    </row>
    <row r="596">
      <c r="A596" s="6" t="n"/>
      <c r="B596" s="6" t="n"/>
      <c r="C596" s="6" t="n"/>
      <c r="D596" s="6" t="n"/>
      <c r="E596" s="6" t="n"/>
      <c r="F596" s="6" t="n"/>
      <c r="G596" s="7" t="n"/>
      <c r="H596" s="7" t="n"/>
      <c r="I596" s="6" t="n"/>
      <c r="J596" s="9">
        <f>IF(NOT(ISNUMBER($G596)),"",IF(AND(ASH_CORRECTED="Yes",ISNUMBER($H596)),$G596*(1-$H596),$G596))</f>
        <v/>
      </c>
      <c r="K596" s="9">
        <f>IF($B596="","",IFERROR(AVERAGEIFS('2. Soil Data'!$G$5:$G$604,'2. Soil Data'!$B$5:$B$604,$B596),""))</f>
        <v/>
      </c>
      <c r="L596" s="9">
        <f>IF(NOT(ISNUMBER($K596)),"",PI()*($K596/2)^2)</f>
        <v/>
      </c>
      <c r="M596" s="9">
        <f>IF(OR(NOT(ISNUMBER($J596)),NOT(ISNUMBER($L596)),$L596=0),"",$J596/$L596*10000)</f>
        <v/>
      </c>
      <c r="N596" s="9">
        <f>IF(NOT(ISNUMBER($M596)),"",$M596*CARBON_FRACTION_ROOT/1000)</f>
        <v/>
      </c>
      <c r="O596" s="11">
        <f>IF(AND($A596="",$B596="",$G596=""),"",IF(AND($B596&lt;&gt;"",COUNTIFS('2. Soil Data'!$B$5:$B$604,$B596)=0),"Core ID not found in Soil Data, so the corer diameter cannot be looked up. ","")&amp;IF(ASH_CORRECTED&lt;&gt;"Yes","Root mass is NOT ash-corrected, so it includes adhering mineral soil and is too high. Set ASH_CORRECTED once you have done it. ","")&amp;IF(AND(ASH_CORRECTED="Yes",NOT(ISNUMBER($H596))),"Ash correction is switched on but no ash fraction is given for this row. ","")&amp;IF($I596="","Sieve mesh not recorded — a fine-root figure cannot be interpreted without it. ","")&amp;IF(AND(ISNUMBER($H596),$H596&gt;0.5),"Ash fraction above 0.5 — over half this sample was mineral soil. Re-wash. ","")&amp;IF($F596="Not separated","Live and dead not separated. Fine for a stock, but "&amp;"note it in reporting. ",""))</f>
        <v/>
      </c>
      <c r="P596" s="6" t="n"/>
      <c r="Q596" s="9">
        <f>IF($B596="",0,IF(COUNTIFS($B$5:$B596,$B596)=1,1,0))</f>
        <v/>
      </c>
    </row>
    <row r="597">
      <c r="A597" s="6" t="n"/>
      <c r="B597" s="6" t="n"/>
      <c r="C597" s="6" t="n"/>
      <c r="D597" s="6" t="n"/>
      <c r="E597" s="6" t="n"/>
      <c r="F597" s="6" t="n"/>
      <c r="G597" s="7" t="n"/>
      <c r="H597" s="7" t="n"/>
      <c r="I597" s="6" t="n"/>
      <c r="J597" s="9">
        <f>IF(NOT(ISNUMBER($G597)),"",IF(AND(ASH_CORRECTED="Yes",ISNUMBER($H597)),$G597*(1-$H597),$G597))</f>
        <v/>
      </c>
      <c r="K597" s="9">
        <f>IF($B597="","",IFERROR(AVERAGEIFS('2. Soil Data'!$G$5:$G$604,'2. Soil Data'!$B$5:$B$604,$B597),""))</f>
        <v/>
      </c>
      <c r="L597" s="9">
        <f>IF(NOT(ISNUMBER($K597)),"",PI()*($K597/2)^2)</f>
        <v/>
      </c>
      <c r="M597" s="9">
        <f>IF(OR(NOT(ISNUMBER($J597)),NOT(ISNUMBER($L597)),$L597=0),"",$J597/$L597*10000)</f>
        <v/>
      </c>
      <c r="N597" s="9">
        <f>IF(NOT(ISNUMBER($M597)),"",$M597*CARBON_FRACTION_ROOT/1000)</f>
        <v/>
      </c>
      <c r="O597" s="11">
        <f>IF(AND($A597="",$B597="",$G597=""),"",IF(AND($B597&lt;&gt;"",COUNTIFS('2. Soil Data'!$B$5:$B$604,$B597)=0),"Core ID not found in Soil Data, so the corer diameter cannot be looked up. ","")&amp;IF(ASH_CORRECTED&lt;&gt;"Yes","Root mass is NOT ash-corrected, so it includes adhering mineral soil and is too high. Set ASH_CORRECTED once you have done it. ","")&amp;IF(AND(ASH_CORRECTED="Yes",NOT(ISNUMBER($H597))),"Ash correction is switched on but no ash fraction is given for this row. ","")&amp;IF($I597="","Sieve mesh not recorded — a fine-root figure cannot be interpreted without it. ","")&amp;IF(AND(ISNUMBER($H597),$H597&gt;0.5),"Ash fraction above 0.5 — over half this sample was mineral soil. Re-wash. ","")&amp;IF($F597="Not separated","Live and dead not separated. Fine for a stock, but "&amp;"note it in reporting. ",""))</f>
        <v/>
      </c>
      <c r="P597" s="6" t="n"/>
      <c r="Q597" s="9">
        <f>IF($B597="",0,IF(COUNTIFS($B$5:$B597,$B597)=1,1,0))</f>
        <v/>
      </c>
    </row>
    <row r="598">
      <c r="A598" s="6" t="n"/>
      <c r="B598" s="6" t="n"/>
      <c r="C598" s="6" t="n"/>
      <c r="D598" s="6" t="n"/>
      <c r="E598" s="6" t="n"/>
      <c r="F598" s="6" t="n"/>
      <c r="G598" s="7" t="n"/>
      <c r="H598" s="7" t="n"/>
      <c r="I598" s="6" t="n"/>
      <c r="J598" s="9">
        <f>IF(NOT(ISNUMBER($G598)),"",IF(AND(ASH_CORRECTED="Yes",ISNUMBER($H598)),$G598*(1-$H598),$G598))</f>
        <v/>
      </c>
      <c r="K598" s="9">
        <f>IF($B598="","",IFERROR(AVERAGEIFS('2. Soil Data'!$G$5:$G$604,'2. Soil Data'!$B$5:$B$604,$B598),""))</f>
        <v/>
      </c>
      <c r="L598" s="9">
        <f>IF(NOT(ISNUMBER($K598)),"",PI()*($K598/2)^2)</f>
        <v/>
      </c>
      <c r="M598" s="9">
        <f>IF(OR(NOT(ISNUMBER($J598)),NOT(ISNUMBER($L598)),$L598=0),"",$J598/$L598*10000)</f>
        <v/>
      </c>
      <c r="N598" s="9">
        <f>IF(NOT(ISNUMBER($M598)),"",$M598*CARBON_FRACTION_ROOT/1000)</f>
        <v/>
      </c>
      <c r="O598" s="11">
        <f>IF(AND($A598="",$B598="",$G598=""),"",IF(AND($B598&lt;&gt;"",COUNTIFS('2. Soil Data'!$B$5:$B$604,$B598)=0),"Core ID not found in Soil Data, so the corer diameter cannot be looked up. ","")&amp;IF(ASH_CORRECTED&lt;&gt;"Yes","Root mass is NOT ash-corrected, so it includes adhering mineral soil and is too high. Set ASH_CORRECTED once you have done it. ","")&amp;IF(AND(ASH_CORRECTED="Yes",NOT(ISNUMBER($H598))),"Ash correction is switched on but no ash fraction is given for this row. ","")&amp;IF($I598="","Sieve mesh not recorded — a fine-root figure cannot be interpreted without it. ","")&amp;IF(AND(ISNUMBER($H598),$H598&gt;0.5),"Ash fraction above 0.5 — over half this sample was mineral soil. Re-wash. ","")&amp;IF($F598="Not separated","Live and dead not separated. Fine for a stock, but "&amp;"note it in reporting. ",""))</f>
        <v/>
      </c>
      <c r="P598" s="6" t="n"/>
      <c r="Q598" s="9">
        <f>IF($B598="",0,IF(COUNTIFS($B$5:$B598,$B598)=1,1,0))</f>
        <v/>
      </c>
    </row>
    <row r="599">
      <c r="A599" s="6" t="n"/>
      <c r="B599" s="6" t="n"/>
      <c r="C599" s="6" t="n"/>
      <c r="D599" s="6" t="n"/>
      <c r="E599" s="6" t="n"/>
      <c r="F599" s="6" t="n"/>
      <c r="G599" s="7" t="n"/>
      <c r="H599" s="7" t="n"/>
      <c r="I599" s="6" t="n"/>
      <c r="J599" s="9">
        <f>IF(NOT(ISNUMBER($G599)),"",IF(AND(ASH_CORRECTED="Yes",ISNUMBER($H599)),$G599*(1-$H599),$G599))</f>
        <v/>
      </c>
      <c r="K599" s="9">
        <f>IF($B599="","",IFERROR(AVERAGEIFS('2. Soil Data'!$G$5:$G$604,'2. Soil Data'!$B$5:$B$604,$B599),""))</f>
        <v/>
      </c>
      <c r="L599" s="9">
        <f>IF(NOT(ISNUMBER($K599)),"",PI()*($K599/2)^2)</f>
        <v/>
      </c>
      <c r="M599" s="9">
        <f>IF(OR(NOT(ISNUMBER($J599)),NOT(ISNUMBER($L599)),$L599=0),"",$J599/$L599*10000)</f>
        <v/>
      </c>
      <c r="N599" s="9">
        <f>IF(NOT(ISNUMBER($M599)),"",$M599*CARBON_FRACTION_ROOT/1000)</f>
        <v/>
      </c>
      <c r="O599" s="11">
        <f>IF(AND($A599="",$B599="",$G599=""),"",IF(AND($B599&lt;&gt;"",COUNTIFS('2. Soil Data'!$B$5:$B$604,$B599)=0),"Core ID not found in Soil Data, so the corer diameter cannot be looked up. ","")&amp;IF(ASH_CORRECTED&lt;&gt;"Yes","Root mass is NOT ash-corrected, so it includes adhering mineral soil and is too high. Set ASH_CORRECTED once you have done it. ","")&amp;IF(AND(ASH_CORRECTED="Yes",NOT(ISNUMBER($H599))),"Ash correction is switched on but no ash fraction is given for this row. ","")&amp;IF($I599="","Sieve mesh not recorded — a fine-root figure cannot be interpreted without it. ","")&amp;IF(AND(ISNUMBER($H599),$H599&gt;0.5),"Ash fraction above 0.5 — over half this sample was mineral soil. Re-wash. ","")&amp;IF($F599="Not separated","Live and dead not separated. Fine for a stock, but "&amp;"note it in reporting. ",""))</f>
        <v/>
      </c>
      <c r="P599" s="6" t="n"/>
      <c r="Q599" s="9">
        <f>IF($B599="",0,IF(COUNTIFS($B$5:$B599,$B599)=1,1,0))</f>
        <v/>
      </c>
    </row>
    <row r="600">
      <c r="A600" s="6" t="n"/>
      <c r="B600" s="6" t="n"/>
      <c r="C600" s="6" t="n"/>
      <c r="D600" s="6" t="n"/>
      <c r="E600" s="6" t="n"/>
      <c r="F600" s="6" t="n"/>
      <c r="G600" s="7" t="n"/>
      <c r="H600" s="7" t="n"/>
      <c r="I600" s="6" t="n"/>
      <c r="J600" s="9">
        <f>IF(NOT(ISNUMBER($G600)),"",IF(AND(ASH_CORRECTED="Yes",ISNUMBER($H600)),$G600*(1-$H600),$G600))</f>
        <v/>
      </c>
      <c r="K600" s="9">
        <f>IF($B600="","",IFERROR(AVERAGEIFS('2. Soil Data'!$G$5:$G$604,'2. Soil Data'!$B$5:$B$604,$B600),""))</f>
        <v/>
      </c>
      <c r="L600" s="9">
        <f>IF(NOT(ISNUMBER($K600)),"",PI()*($K600/2)^2)</f>
        <v/>
      </c>
      <c r="M600" s="9">
        <f>IF(OR(NOT(ISNUMBER($J600)),NOT(ISNUMBER($L600)),$L600=0),"",$J600/$L600*10000)</f>
        <v/>
      </c>
      <c r="N600" s="9">
        <f>IF(NOT(ISNUMBER($M600)),"",$M600*CARBON_FRACTION_ROOT/1000)</f>
        <v/>
      </c>
      <c r="O600" s="11">
        <f>IF(AND($A600="",$B600="",$G600=""),"",IF(AND($B600&lt;&gt;"",COUNTIFS('2. Soil Data'!$B$5:$B$604,$B600)=0),"Core ID not found in Soil Data, so the corer diameter cannot be looked up. ","")&amp;IF(ASH_CORRECTED&lt;&gt;"Yes","Root mass is NOT ash-corrected, so it includes adhering mineral soil and is too high. Set ASH_CORRECTED once you have done it. ","")&amp;IF(AND(ASH_CORRECTED="Yes",NOT(ISNUMBER($H600))),"Ash correction is switched on but no ash fraction is given for this row. ","")&amp;IF($I600="","Sieve mesh not recorded — a fine-root figure cannot be interpreted without it. ","")&amp;IF(AND(ISNUMBER($H600),$H600&gt;0.5),"Ash fraction above 0.5 — over half this sample was mineral soil. Re-wash. ","")&amp;IF($F600="Not separated","Live and dead not separated. Fine for a stock, but "&amp;"note it in reporting. ",""))</f>
        <v/>
      </c>
      <c r="P600" s="6" t="n"/>
      <c r="Q600" s="9">
        <f>IF($B600="",0,IF(COUNTIFS($B$5:$B600,$B600)=1,1,0))</f>
        <v/>
      </c>
    </row>
    <row r="601">
      <c r="A601" s="6" t="n"/>
      <c r="B601" s="6" t="n"/>
      <c r="C601" s="6" t="n"/>
      <c r="D601" s="6" t="n"/>
      <c r="E601" s="6" t="n"/>
      <c r="F601" s="6" t="n"/>
      <c r="G601" s="7" t="n"/>
      <c r="H601" s="7" t="n"/>
      <c r="I601" s="6" t="n"/>
      <c r="J601" s="9">
        <f>IF(NOT(ISNUMBER($G601)),"",IF(AND(ASH_CORRECTED="Yes",ISNUMBER($H601)),$G601*(1-$H601),$G601))</f>
        <v/>
      </c>
      <c r="K601" s="9">
        <f>IF($B601="","",IFERROR(AVERAGEIFS('2. Soil Data'!$G$5:$G$604,'2. Soil Data'!$B$5:$B$604,$B601),""))</f>
        <v/>
      </c>
      <c r="L601" s="9">
        <f>IF(NOT(ISNUMBER($K601)),"",PI()*($K601/2)^2)</f>
        <v/>
      </c>
      <c r="M601" s="9">
        <f>IF(OR(NOT(ISNUMBER($J601)),NOT(ISNUMBER($L601)),$L601=0),"",$J601/$L601*10000)</f>
        <v/>
      </c>
      <c r="N601" s="9">
        <f>IF(NOT(ISNUMBER($M601)),"",$M601*CARBON_FRACTION_ROOT/1000)</f>
        <v/>
      </c>
      <c r="O601" s="11">
        <f>IF(AND($A601="",$B601="",$G601=""),"",IF(AND($B601&lt;&gt;"",COUNTIFS('2. Soil Data'!$B$5:$B$604,$B601)=0),"Core ID not found in Soil Data, so the corer diameter cannot be looked up. ","")&amp;IF(ASH_CORRECTED&lt;&gt;"Yes","Root mass is NOT ash-corrected, so it includes adhering mineral soil and is too high. Set ASH_CORRECTED once you have done it. ","")&amp;IF(AND(ASH_CORRECTED="Yes",NOT(ISNUMBER($H601))),"Ash correction is switched on but no ash fraction is given for this row. ","")&amp;IF($I601="","Sieve mesh not recorded — a fine-root figure cannot be interpreted without it. ","")&amp;IF(AND(ISNUMBER($H601),$H601&gt;0.5),"Ash fraction above 0.5 — over half this sample was mineral soil. Re-wash. ","")&amp;IF($F601="Not separated","Live and dead not separated. Fine for a stock, but "&amp;"note it in reporting. ",""))</f>
        <v/>
      </c>
      <c r="P601" s="6" t="n"/>
      <c r="Q601" s="9">
        <f>IF($B601="",0,IF(COUNTIFS($B$5:$B601,$B601)=1,1,0))</f>
        <v/>
      </c>
    </row>
    <row r="602">
      <c r="A602" s="6" t="n"/>
      <c r="B602" s="6" t="n"/>
      <c r="C602" s="6" t="n"/>
      <c r="D602" s="6" t="n"/>
      <c r="E602" s="6" t="n"/>
      <c r="F602" s="6" t="n"/>
      <c r="G602" s="7" t="n"/>
      <c r="H602" s="7" t="n"/>
      <c r="I602" s="6" t="n"/>
      <c r="J602" s="9">
        <f>IF(NOT(ISNUMBER($G602)),"",IF(AND(ASH_CORRECTED="Yes",ISNUMBER($H602)),$G602*(1-$H602),$G602))</f>
        <v/>
      </c>
      <c r="K602" s="9">
        <f>IF($B602="","",IFERROR(AVERAGEIFS('2. Soil Data'!$G$5:$G$604,'2. Soil Data'!$B$5:$B$604,$B602),""))</f>
        <v/>
      </c>
      <c r="L602" s="9">
        <f>IF(NOT(ISNUMBER($K602)),"",PI()*($K602/2)^2)</f>
        <v/>
      </c>
      <c r="M602" s="9">
        <f>IF(OR(NOT(ISNUMBER($J602)),NOT(ISNUMBER($L602)),$L602=0),"",$J602/$L602*10000)</f>
        <v/>
      </c>
      <c r="N602" s="9">
        <f>IF(NOT(ISNUMBER($M602)),"",$M602*CARBON_FRACTION_ROOT/1000)</f>
        <v/>
      </c>
      <c r="O602" s="11">
        <f>IF(AND($A602="",$B602="",$G602=""),"",IF(AND($B602&lt;&gt;"",COUNTIFS('2. Soil Data'!$B$5:$B$604,$B602)=0),"Core ID not found in Soil Data, so the corer diameter cannot be looked up. ","")&amp;IF(ASH_CORRECTED&lt;&gt;"Yes","Root mass is NOT ash-corrected, so it includes adhering mineral soil and is too high. Set ASH_CORRECTED once you have done it. ","")&amp;IF(AND(ASH_CORRECTED="Yes",NOT(ISNUMBER($H602))),"Ash correction is switched on but no ash fraction is given for this row. ","")&amp;IF($I602="","Sieve mesh not recorded — a fine-root figure cannot be interpreted without it. ","")&amp;IF(AND(ISNUMBER($H602),$H602&gt;0.5),"Ash fraction above 0.5 — over half this sample was mineral soil. Re-wash. ","")&amp;IF($F602="Not separated","Live and dead not separated. Fine for a stock, but "&amp;"note it in reporting. ",""))</f>
        <v/>
      </c>
      <c r="P602" s="6" t="n"/>
      <c r="Q602" s="9">
        <f>IF($B602="",0,IF(COUNTIFS($B$5:$B602,$B602)=1,1,0))</f>
        <v/>
      </c>
    </row>
    <row r="603">
      <c r="A603" s="6" t="n"/>
      <c r="B603" s="6" t="n"/>
      <c r="C603" s="6" t="n"/>
      <c r="D603" s="6" t="n"/>
      <c r="E603" s="6" t="n"/>
      <c r="F603" s="6" t="n"/>
      <c r="G603" s="7" t="n"/>
      <c r="H603" s="7" t="n"/>
      <c r="I603" s="6" t="n"/>
      <c r="J603" s="9">
        <f>IF(NOT(ISNUMBER($G603)),"",IF(AND(ASH_CORRECTED="Yes",ISNUMBER($H603)),$G603*(1-$H603),$G603))</f>
        <v/>
      </c>
      <c r="K603" s="9">
        <f>IF($B603="","",IFERROR(AVERAGEIFS('2. Soil Data'!$G$5:$G$604,'2. Soil Data'!$B$5:$B$604,$B603),""))</f>
        <v/>
      </c>
      <c r="L603" s="9">
        <f>IF(NOT(ISNUMBER($K603)),"",PI()*($K603/2)^2)</f>
        <v/>
      </c>
      <c r="M603" s="9">
        <f>IF(OR(NOT(ISNUMBER($J603)),NOT(ISNUMBER($L603)),$L603=0),"",$J603/$L603*10000)</f>
        <v/>
      </c>
      <c r="N603" s="9">
        <f>IF(NOT(ISNUMBER($M603)),"",$M603*CARBON_FRACTION_ROOT/1000)</f>
        <v/>
      </c>
      <c r="O603" s="11">
        <f>IF(AND($A603="",$B603="",$G603=""),"",IF(AND($B603&lt;&gt;"",COUNTIFS('2. Soil Data'!$B$5:$B$604,$B603)=0),"Core ID not found in Soil Data, so the corer diameter cannot be looked up. ","")&amp;IF(ASH_CORRECTED&lt;&gt;"Yes","Root mass is NOT ash-corrected, so it includes adhering mineral soil and is too high. Set ASH_CORRECTED once you have done it. ","")&amp;IF(AND(ASH_CORRECTED="Yes",NOT(ISNUMBER($H603))),"Ash correction is switched on but no ash fraction is given for this row. ","")&amp;IF($I603="","Sieve mesh not recorded — a fine-root figure cannot be interpreted without it. ","")&amp;IF(AND(ISNUMBER($H603),$H603&gt;0.5),"Ash fraction above 0.5 — over half this sample was mineral soil. Re-wash. ","")&amp;IF($F603="Not separated","Live and dead not separated. Fine for a stock, but "&amp;"note it in reporting. ",""))</f>
        <v/>
      </c>
      <c r="P603" s="6" t="n"/>
      <c r="Q603" s="9">
        <f>IF($B603="",0,IF(COUNTIFS($B$5:$B603,$B603)=1,1,0))</f>
        <v/>
      </c>
    </row>
    <row r="604">
      <c r="A604" s="6" t="n"/>
      <c r="B604" s="6" t="n"/>
      <c r="C604" s="6" t="n"/>
      <c r="D604" s="6" t="n"/>
      <c r="E604" s="6" t="n"/>
      <c r="F604" s="6" t="n"/>
      <c r="G604" s="7" t="n"/>
      <c r="H604" s="7" t="n"/>
      <c r="I604" s="6" t="n"/>
      <c r="J604" s="9">
        <f>IF(NOT(ISNUMBER($G604)),"",IF(AND(ASH_CORRECTED="Yes",ISNUMBER($H604)),$G604*(1-$H604),$G604))</f>
        <v/>
      </c>
      <c r="K604" s="9">
        <f>IF($B604="","",IFERROR(AVERAGEIFS('2. Soil Data'!$G$5:$G$604,'2. Soil Data'!$B$5:$B$604,$B604),""))</f>
        <v/>
      </c>
      <c r="L604" s="9">
        <f>IF(NOT(ISNUMBER($K604)),"",PI()*($K604/2)^2)</f>
        <v/>
      </c>
      <c r="M604" s="9">
        <f>IF(OR(NOT(ISNUMBER($J604)),NOT(ISNUMBER($L604)),$L604=0),"",$J604/$L604*10000)</f>
        <v/>
      </c>
      <c r="N604" s="9">
        <f>IF(NOT(ISNUMBER($M604)),"",$M604*CARBON_FRACTION_ROOT/1000)</f>
        <v/>
      </c>
      <c r="O604" s="11">
        <f>IF(AND($A604="",$B604="",$G604=""),"",IF(AND($B604&lt;&gt;"",COUNTIFS('2. Soil Data'!$B$5:$B$604,$B604)=0),"Core ID not found in Soil Data, so the corer diameter cannot be looked up. ","")&amp;IF(ASH_CORRECTED&lt;&gt;"Yes","Root mass is NOT ash-corrected, so it includes adhering mineral soil and is too high. Set ASH_CORRECTED once you have done it. ","")&amp;IF(AND(ASH_CORRECTED="Yes",NOT(ISNUMBER($H604))),"Ash correction is switched on but no ash fraction is given for this row. ","")&amp;IF($I604="","Sieve mesh not recorded — a fine-root figure cannot be interpreted without it. ","")&amp;IF(AND(ISNUMBER($H604),$H604&gt;0.5),"Ash fraction above 0.5 — over half this sample was mineral soil. Re-wash. ","")&amp;IF($F604="Not separated","Live and dead not separated. Fine for a stock, but "&amp;"note it in reporting. ",""))</f>
        <v/>
      </c>
      <c r="P604" s="6" t="n"/>
      <c r="Q604" s="9">
        <f>IF($B604="",0,IF(COUNTIFS($B$5:$B604,$B604)=1,1,0))</f>
        <v/>
      </c>
    </row>
    <row r="605">
      <c r="A605" s="6" t="n"/>
      <c r="B605" s="6" t="n"/>
      <c r="C605" s="6" t="n"/>
      <c r="D605" s="6" t="n"/>
      <c r="E605" s="6" t="n"/>
      <c r="F605" s="6" t="n"/>
      <c r="G605" s="7" t="n"/>
      <c r="H605" s="7" t="n"/>
      <c r="I605" s="6" t="n"/>
      <c r="J605" s="9">
        <f>IF(NOT(ISNUMBER($G605)),"",IF(AND(ASH_CORRECTED="Yes",ISNUMBER($H605)),$G605*(1-$H605),$G605))</f>
        <v/>
      </c>
      <c r="K605" s="9">
        <f>IF($B605="","",IFERROR(AVERAGEIFS('2. Soil Data'!$G$5:$G$604,'2. Soil Data'!$B$5:$B$604,$B605),""))</f>
        <v/>
      </c>
      <c r="L605" s="9">
        <f>IF(NOT(ISNUMBER($K605)),"",PI()*($K605/2)^2)</f>
        <v/>
      </c>
      <c r="M605" s="9">
        <f>IF(OR(NOT(ISNUMBER($J605)),NOT(ISNUMBER($L605)),$L605=0),"",$J605/$L605*10000)</f>
        <v/>
      </c>
      <c r="N605" s="9">
        <f>IF(NOT(ISNUMBER($M605)),"",$M605*CARBON_FRACTION_ROOT/1000)</f>
        <v/>
      </c>
      <c r="O605" s="11">
        <f>IF(AND($A605="",$B605="",$G605=""),"",IF(AND($B605&lt;&gt;"",COUNTIFS('2. Soil Data'!$B$5:$B$604,$B605)=0),"Core ID not found in Soil Data, so the corer diameter cannot be looked up. ","")&amp;IF(ASH_CORRECTED&lt;&gt;"Yes","Root mass is NOT ash-corrected, so it includes adhering mineral soil and is too high. Set ASH_CORRECTED once you have done it. ","")&amp;IF(AND(ASH_CORRECTED="Yes",NOT(ISNUMBER($H605))),"Ash correction is switched on but no ash fraction is given for this row. ","")&amp;IF($I605="","Sieve mesh not recorded — a fine-root figure cannot be interpreted without it. ","")&amp;IF(AND(ISNUMBER($H605),$H605&gt;0.5),"Ash fraction above 0.5 — over half this sample was mineral soil. Re-wash. ","")&amp;IF($F605="Not separated","Live and dead not separated. Fine for a stock, but "&amp;"note it in reporting. ",""))</f>
        <v/>
      </c>
      <c r="P605" s="6" t="n"/>
      <c r="Q605" s="9">
        <f>IF($B605="",0,IF(COUNTIFS($B$5:$B605,$B605)=1,1,0))</f>
        <v/>
      </c>
    </row>
    <row r="606">
      <c r="A606" s="6" t="n"/>
      <c r="B606" s="6" t="n"/>
      <c r="C606" s="6" t="n"/>
      <c r="D606" s="6" t="n"/>
      <c r="E606" s="6" t="n"/>
      <c r="F606" s="6" t="n"/>
      <c r="G606" s="7" t="n"/>
      <c r="H606" s="7" t="n"/>
      <c r="I606" s="6" t="n"/>
      <c r="J606" s="9">
        <f>IF(NOT(ISNUMBER($G606)),"",IF(AND(ASH_CORRECTED="Yes",ISNUMBER($H606)),$G606*(1-$H606),$G606))</f>
        <v/>
      </c>
      <c r="K606" s="9">
        <f>IF($B606="","",IFERROR(AVERAGEIFS('2. Soil Data'!$G$5:$G$604,'2. Soil Data'!$B$5:$B$604,$B606),""))</f>
        <v/>
      </c>
      <c r="L606" s="9">
        <f>IF(NOT(ISNUMBER($K606)),"",PI()*($K606/2)^2)</f>
        <v/>
      </c>
      <c r="M606" s="9">
        <f>IF(OR(NOT(ISNUMBER($J606)),NOT(ISNUMBER($L606)),$L606=0),"",$J606/$L606*10000)</f>
        <v/>
      </c>
      <c r="N606" s="9">
        <f>IF(NOT(ISNUMBER($M606)),"",$M606*CARBON_FRACTION_ROOT/1000)</f>
        <v/>
      </c>
      <c r="O606" s="11">
        <f>IF(AND($A606="",$B606="",$G606=""),"",IF(AND($B606&lt;&gt;"",COUNTIFS('2. Soil Data'!$B$5:$B$604,$B606)=0),"Core ID not found in Soil Data, so the corer diameter cannot be looked up. ","")&amp;IF(ASH_CORRECTED&lt;&gt;"Yes","Root mass is NOT ash-corrected, so it includes adhering mineral soil and is too high. Set ASH_CORRECTED once you have done it. ","")&amp;IF(AND(ASH_CORRECTED="Yes",NOT(ISNUMBER($H606))),"Ash correction is switched on but no ash fraction is given for this row. ","")&amp;IF($I606="","Sieve mesh not recorded — a fine-root figure cannot be interpreted without it. ","")&amp;IF(AND(ISNUMBER($H606),$H606&gt;0.5),"Ash fraction above 0.5 — over half this sample was mineral soil. Re-wash. ","")&amp;IF($F606="Not separated","Live and dead not separated. Fine for a stock, but "&amp;"note it in reporting. ",""))</f>
        <v/>
      </c>
      <c r="P606" s="6" t="n"/>
      <c r="Q606" s="9">
        <f>IF($B606="",0,IF(COUNTIFS($B$5:$B606,$B606)=1,1,0))</f>
        <v/>
      </c>
    </row>
    <row r="607">
      <c r="A607" s="6" t="n"/>
      <c r="B607" s="6" t="n"/>
      <c r="C607" s="6" t="n"/>
      <c r="D607" s="6" t="n"/>
      <c r="E607" s="6" t="n"/>
      <c r="F607" s="6" t="n"/>
      <c r="G607" s="7" t="n"/>
      <c r="H607" s="7" t="n"/>
      <c r="I607" s="6" t="n"/>
      <c r="J607" s="9">
        <f>IF(NOT(ISNUMBER($G607)),"",IF(AND(ASH_CORRECTED="Yes",ISNUMBER($H607)),$G607*(1-$H607),$G607))</f>
        <v/>
      </c>
      <c r="K607" s="9">
        <f>IF($B607="","",IFERROR(AVERAGEIFS('2. Soil Data'!$G$5:$G$604,'2. Soil Data'!$B$5:$B$604,$B607),""))</f>
        <v/>
      </c>
      <c r="L607" s="9">
        <f>IF(NOT(ISNUMBER($K607)),"",PI()*($K607/2)^2)</f>
        <v/>
      </c>
      <c r="M607" s="9">
        <f>IF(OR(NOT(ISNUMBER($J607)),NOT(ISNUMBER($L607)),$L607=0),"",$J607/$L607*10000)</f>
        <v/>
      </c>
      <c r="N607" s="9">
        <f>IF(NOT(ISNUMBER($M607)),"",$M607*CARBON_FRACTION_ROOT/1000)</f>
        <v/>
      </c>
      <c r="O607" s="11">
        <f>IF(AND($A607="",$B607="",$G607=""),"",IF(AND($B607&lt;&gt;"",COUNTIFS('2. Soil Data'!$B$5:$B$604,$B607)=0),"Core ID not found in Soil Data, so the corer diameter cannot be looked up. ","")&amp;IF(ASH_CORRECTED&lt;&gt;"Yes","Root mass is NOT ash-corrected, so it includes adhering mineral soil and is too high. Set ASH_CORRECTED once you have done it. ","")&amp;IF(AND(ASH_CORRECTED="Yes",NOT(ISNUMBER($H607))),"Ash correction is switched on but no ash fraction is given for this row. ","")&amp;IF($I607="","Sieve mesh not recorded — a fine-root figure cannot be interpreted without it. ","")&amp;IF(AND(ISNUMBER($H607),$H607&gt;0.5),"Ash fraction above 0.5 — over half this sample was mineral soil. Re-wash. ","")&amp;IF($F607="Not separated","Live and dead not separated. Fine for a stock, but "&amp;"note it in reporting. ",""))</f>
        <v/>
      </c>
      <c r="P607" s="6" t="n"/>
      <c r="Q607" s="9">
        <f>IF($B607="",0,IF(COUNTIFS($B$5:$B607,$B607)=1,1,0))</f>
        <v/>
      </c>
    </row>
    <row r="608">
      <c r="A608" s="6" t="n"/>
      <c r="B608" s="6" t="n"/>
      <c r="C608" s="6" t="n"/>
      <c r="D608" s="6" t="n"/>
      <c r="E608" s="6" t="n"/>
      <c r="F608" s="6" t="n"/>
      <c r="G608" s="7" t="n"/>
      <c r="H608" s="7" t="n"/>
      <c r="I608" s="6" t="n"/>
      <c r="J608" s="9">
        <f>IF(NOT(ISNUMBER($G608)),"",IF(AND(ASH_CORRECTED="Yes",ISNUMBER($H608)),$G608*(1-$H608),$G608))</f>
        <v/>
      </c>
      <c r="K608" s="9">
        <f>IF($B608="","",IFERROR(AVERAGEIFS('2. Soil Data'!$G$5:$G$604,'2. Soil Data'!$B$5:$B$604,$B608),""))</f>
        <v/>
      </c>
      <c r="L608" s="9">
        <f>IF(NOT(ISNUMBER($K608)),"",PI()*($K608/2)^2)</f>
        <v/>
      </c>
      <c r="M608" s="9">
        <f>IF(OR(NOT(ISNUMBER($J608)),NOT(ISNUMBER($L608)),$L608=0),"",$J608/$L608*10000)</f>
        <v/>
      </c>
      <c r="N608" s="9">
        <f>IF(NOT(ISNUMBER($M608)),"",$M608*CARBON_FRACTION_ROOT/1000)</f>
        <v/>
      </c>
      <c r="O608" s="11">
        <f>IF(AND($A608="",$B608="",$G608=""),"",IF(AND($B608&lt;&gt;"",COUNTIFS('2. Soil Data'!$B$5:$B$604,$B608)=0),"Core ID not found in Soil Data, so the corer diameter cannot be looked up. ","")&amp;IF(ASH_CORRECTED&lt;&gt;"Yes","Root mass is NOT ash-corrected, so it includes adhering mineral soil and is too high. Set ASH_CORRECTED once you have done it. ","")&amp;IF(AND(ASH_CORRECTED="Yes",NOT(ISNUMBER($H608))),"Ash correction is switched on but no ash fraction is given for this row. ","")&amp;IF($I608="","Sieve mesh not recorded — a fine-root figure cannot be interpreted without it. ","")&amp;IF(AND(ISNUMBER($H608),$H608&gt;0.5),"Ash fraction above 0.5 — over half this sample was mineral soil. Re-wash. ","")&amp;IF($F608="Not separated","Live and dead not separated. Fine for a stock, but "&amp;"note it in reporting. ",""))</f>
        <v/>
      </c>
      <c r="P608" s="6" t="n"/>
      <c r="Q608" s="9">
        <f>IF($B608="",0,IF(COUNTIFS($B$5:$B608,$B608)=1,1,0))</f>
        <v/>
      </c>
    </row>
    <row r="609">
      <c r="A609" s="6" t="n"/>
      <c r="B609" s="6" t="n"/>
      <c r="C609" s="6" t="n"/>
      <c r="D609" s="6" t="n"/>
      <c r="E609" s="6" t="n"/>
      <c r="F609" s="6" t="n"/>
      <c r="G609" s="7" t="n"/>
      <c r="H609" s="7" t="n"/>
      <c r="I609" s="6" t="n"/>
      <c r="J609" s="9">
        <f>IF(NOT(ISNUMBER($G609)),"",IF(AND(ASH_CORRECTED="Yes",ISNUMBER($H609)),$G609*(1-$H609),$G609))</f>
        <v/>
      </c>
      <c r="K609" s="9">
        <f>IF($B609="","",IFERROR(AVERAGEIFS('2. Soil Data'!$G$5:$G$604,'2. Soil Data'!$B$5:$B$604,$B609),""))</f>
        <v/>
      </c>
      <c r="L609" s="9">
        <f>IF(NOT(ISNUMBER($K609)),"",PI()*($K609/2)^2)</f>
        <v/>
      </c>
      <c r="M609" s="9">
        <f>IF(OR(NOT(ISNUMBER($J609)),NOT(ISNUMBER($L609)),$L609=0),"",$J609/$L609*10000)</f>
        <v/>
      </c>
      <c r="N609" s="9">
        <f>IF(NOT(ISNUMBER($M609)),"",$M609*CARBON_FRACTION_ROOT/1000)</f>
        <v/>
      </c>
      <c r="O609" s="11">
        <f>IF(AND($A609="",$B609="",$G609=""),"",IF(AND($B609&lt;&gt;"",COUNTIFS('2. Soil Data'!$B$5:$B$604,$B609)=0),"Core ID not found in Soil Data, so the corer diameter cannot be looked up. ","")&amp;IF(ASH_CORRECTED&lt;&gt;"Yes","Root mass is NOT ash-corrected, so it includes adhering mineral soil and is too high. Set ASH_CORRECTED once you have done it. ","")&amp;IF(AND(ASH_CORRECTED="Yes",NOT(ISNUMBER($H609))),"Ash correction is switched on but no ash fraction is given for this row. ","")&amp;IF($I609="","Sieve mesh not recorded — a fine-root figure cannot be interpreted without it. ","")&amp;IF(AND(ISNUMBER($H609),$H609&gt;0.5),"Ash fraction above 0.5 — over half this sample was mineral soil. Re-wash. ","")&amp;IF($F609="Not separated","Live and dead not separated. Fine for a stock, but "&amp;"note it in reporting. ",""))</f>
        <v/>
      </c>
      <c r="P609" s="6" t="n"/>
      <c r="Q609" s="9">
        <f>IF($B609="",0,IF(COUNTIFS($B$5:$B609,$B609)=1,1,0))</f>
        <v/>
      </c>
    </row>
    <row r="610">
      <c r="A610" s="6" t="n"/>
      <c r="B610" s="6" t="n"/>
      <c r="C610" s="6" t="n"/>
      <c r="D610" s="6" t="n"/>
      <c r="E610" s="6" t="n"/>
      <c r="F610" s="6" t="n"/>
      <c r="G610" s="7" t="n"/>
      <c r="H610" s="7" t="n"/>
      <c r="I610" s="6" t="n"/>
      <c r="J610" s="9">
        <f>IF(NOT(ISNUMBER($G610)),"",IF(AND(ASH_CORRECTED="Yes",ISNUMBER($H610)),$G610*(1-$H610),$G610))</f>
        <v/>
      </c>
      <c r="K610" s="9">
        <f>IF($B610="","",IFERROR(AVERAGEIFS('2. Soil Data'!$G$5:$G$604,'2. Soil Data'!$B$5:$B$604,$B610),""))</f>
        <v/>
      </c>
      <c r="L610" s="9">
        <f>IF(NOT(ISNUMBER($K610)),"",PI()*($K610/2)^2)</f>
        <v/>
      </c>
      <c r="M610" s="9">
        <f>IF(OR(NOT(ISNUMBER($J610)),NOT(ISNUMBER($L610)),$L610=0),"",$J610/$L610*10000)</f>
        <v/>
      </c>
      <c r="N610" s="9">
        <f>IF(NOT(ISNUMBER($M610)),"",$M610*CARBON_FRACTION_ROOT/1000)</f>
        <v/>
      </c>
      <c r="O610" s="11">
        <f>IF(AND($A610="",$B610="",$G610=""),"",IF(AND($B610&lt;&gt;"",COUNTIFS('2. Soil Data'!$B$5:$B$604,$B610)=0),"Core ID not found in Soil Data, so the corer diameter cannot be looked up. ","")&amp;IF(ASH_CORRECTED&lt;&gt;"Yes","Root mass is NOT ash-corrected, so it includes adhering mineral soil and is too high. Set ASH_CORRECTED once you have done it. ","")&amp;IF(AND(ASH_CORRECTED="Yes",NOT(ISNUMBER($H610))),"Ash correction is switched on but no ash fraction is given for this row. ","")&amp;IF($I610="","Sieve mesh not recorded — a fine-root figure cannot be interpreted without it. ","")&amp;IF(AND(ISNUMBER($H610),$H610&gt;0.5),"Ash fraction above 0.5 — over half this sample was mineral soil. Re-wash. ","")&amp;IF($F610="Not separated","Live and dead not separated. Fine for a stock, but "&amp;"note it in reporting. ",""))</f>
        <v/>
      </c>
      <c r="P610" s="6" t="n"/>
      <c r="Q610" s="9">
        <f>IF($B610="",0,IF(COUNTIFS($B$5:$B610,$B610)=1,1,0))</f>
        <v/>
      </c>
    </row>
    <row r="611">
      <c r="A611" s="6" t="n"/>
      <c r="B611" s="6" t="n"/>
      <c r="C611" s="6" t="n"/>
      <c r="D611" s="6" t="n"/>
      <c r="E611" s="6" t="n"/>
      <c r="F611" s="6" t="n"/>
      <c r="G611" s="7" t="n"/>
      <c r="H611" s="7" t="n"/>
      <c r="I611" s="6" t="n"/>
      <c r="J611" s="9">
        <f>IF(NOT(ISNUMBER($G611)),"",IF(AND(ASH_CORRECTED="Yes",ISNUMBER($H611)),$G611*(1-$H611),$G611))</f>
        <v/>
      </c>
      <c r="K611" s="9">
        <f>IF($B611="","",IFERROR(AVERAGEIFS('2. Soil Data'!$G$5:$G$604,'2. Soil Data'!$B$5:$B$604,$B611),""))</f>
        <v/>
      </c>
      <c r="L611" s="9">
        <f>IF(NOT(ISNUMBER($K611)),"",PI()*($K611/2)^2)</f>
        <v/>
      </c>
      <c r="M611" s="9">
        <f>IF(OR(NOT(ISNUMBER($J611)),NOT(ISNUMBER($L611)),$L611=0),"",$J611/$L611*10000)</f>
        <v/>
      </c>
      <c r="N611" s="9">
        <f>IF(NOT(ISNUMBER($M611)),"",$M611*CARBON_FRACTION_ROOT/1000)</f>
        <v/>
      </c>
      <c r="O611" s="11">
        <f>IF(AND($A611="",$B611="",$G611=""),"",IF(AND($B611&lt;&gt;"",COUNTIFS('2. Soil Data'!$B$5:$B$604,$B611)=0),"Core ID not found in Soil Data, so the corer diameter cannot be looked up. ","")&amp;IF(ASH_CORRECTED&lt;&gt;"Yes","Root mass is NOT ash-corrected, so it includes adhering mineral soil and is too high. Set ASH_CORRECTED once you have done it. ","")&amp;IF(AND(ASH_CORRECTED="Yes",NOT(ISNUMBER($H611))),"Ash correction is switched on but no ash fraction is given for this row. ","")&amp;IF($I611="","Sieve mesh not recorded — a fine-root figure cannot be interpreted without it. ","")&amp;IF(AND(ISNUMBER($H611),$H611&gt;0.5),"Ash fraction above 0.5 — over half this sample was mineral soil. Re-wash. ","")&amp;IF($F611="Not separated","Live and dead not separated. Fine for a stock, but "&amp;"note it in reporting. ",""))</f>
        <v/>
      </c>
      <c r="P611" s="6" t="n"/>
      <c r="Q611" s="9">
        <f>IF($B611="",0,IF(COUNTIFS($B$5:$B611,$B611)=1,1,0))</f>
        <v/>
      </c>
    </row>
    <row r="612">
      <c r="A612" s="6" t="n"/>
      <c r="B612" s="6" t="n"/>
      <c r="C612" s="6" t="n"/>
      <c r="D612" s="6" t="n"/>
      <c r="E612" s="6" t="n"/>
      <c r="F612" s="6" t="n"/>
      <c r="G612" s="7" t="n"/>
      <c r="H612" s="7" t="n"/>
      <c r="I612" s="6" t="n"/>
      <c r="J612" s="9">
        <f>IF(NOT(ISNUMBER($G612)),"",IF(AND(ASH_CORRECTED="Yes",ISNUMBER($H612)),$G612*(1-$H612),$G612))</f>
        <v/>
      </c>
      <c r="K612" s="9">
        <f>IF($B612="","",IFERROR(AVERAGEIFS('2. Soil Data'!$G$5:$G$604,'2. Soil Data'!$B$5:$B$604,$B612),""))</f>
        <v/>
      </c>
      <c r="L612" s="9">
        <f>IF(NOT(ISNUMBER($K612)),"",PI()*($K612/2)^2)</f>
        <v/>
      </c>
      <c r="M612" s="9">
        <f>IF(OR(NOT(ISNUMBER($J612)),NOT(ISNUMBER($L612)),$L612=0),"",$J612/$L612*10000)</f>
        <v/>
      </c>
      <c r="N612" s="9">
        <f>IF(NOT(ISNUMBER($M612)),"",$M612*CARBON_FRACTION_ROOT/1000)</f>
        <v/>
      </c>
      <c r="O612" s="11">
        <f>IF(AND($A612="",$B612="",$G612=""),"",IF(AND($B612&lt;&gt;"",COUNTIFS('2. Soil Data'!$B$5:$B$604,$B612)=0),"Core ID not found in Soil Data, so the corer diameter cannot be looked up. ","")&amp;IF(ASH_CORRECTED&lt;&gt;"Yes","Root mass is NOT ash-corrected, so it includes adhering mineral soil and is too high. Set ASH_CORRECTED once you have done it. ","")&amp;IF(AND(ASH_CORRECTED="Yes",NOT(ISNUMBER($H612))),"Ash correction is switched on but no ash fraction is given for this row. ","")&amp;IF($I612="","Sieve mesh not recorded — a fine-root figure cannot be interpreted without it. ","")&amp;IF(AND(ISNUMBER($H612),$H612&gt;0.5),"Ash fraction above 0.5 — over half this sample was mineral soil. Re-wash. ","")&amp;IF($F612="Not separated","Live and dead not separated. Fine for a stock, but "&amp;"note it in reporting. ",""))</f>
        <v/>
      </c>
      <c r="P612" s="6" t="n"/>
      <c r="Q612" s="9">
        <f>IF($B612="",0,IF(COUNTIFS($B$5:$B612,$B612)=1,1,0))</f>
        <v/>
      </c>
    </row>
    <row r="613">
      <c r="A613" s="6" t="n"/>
      <c r="B613" s="6" t="n"/>
      <c r="C613" s="6" t="n"/>
      <c r="D613" s="6" t="n"/>
      <c r="E613" s="6" t="n"/>
      <c r="F613" s="6" t="n"/>
      <c r="G613" s="7" t="n"/>
      <c r="H613" s="7" t="n"/>
      <c r="I613" s="6" t="n"/>
      <c r="J613" s="9">
        <f>IF(NOT(ISNUMBER($G613)),"",IF(AND(ASH_CORRECTED="Yes",ISNUMBER($H613)),$G613*(1-$H613),$G613))</f>
        <v/>
      </c>
      <c r="K613" s="9">
        <f>IF($B613="","",IFERROR(AVERAGEIFS('2. Soil Data'!$G$5:$G$604,'2. Soil Data'!$B$5:$B$604,$B613),""))</f>
        <v/>
      </c>
      <c r="L613" s="9">
        <f>IF(NOT(ISNUMBER($K613)),"",PI()*($K613/2)^2)</f>
        <v/>
      </c>
      <c r="M613" s="9">
        <f>IF(OR(NOT(ISNUMBER($J613)),NOT(ISNUMBER($L613)),$L613=0),"",$J613/$L613*10000)</f>
        <v/>
      </c>
      <c r="N613" s="9">
        <f>IF(NOT(ISNUMBER($M613)),"",$M613*CARBON_FRACTION_ROOT/1000)</f>
        <v/>
      </c>
      <c r="O613" s="11">
        <f>IF(AND($A613="",$B613="",$G613=""),"",IF(AND($B613&lt;&gt;"",COUNTIFS('2. Soil Data'!$B$5:$B$604,$B613)=0),"Core ID not found in Soil Data, so the corer diameter cannot be looked up. ","")&amp;IF(ASH_CORRECTED&lt;&gt;"Yes","Root mass is NOT ash-corrected, so it includes adhering mineral soil and is too high. Set ASH_CORRECTED once you have done it. ","")&amp;IF(AND(ASH_CORRECTED="Yes",NOT(ISNUMBER($H613))),"Ash correction is switched on but no ash fraction is given for this row. ","")&amp;IF($I613="","Sieve mesh not recorded — a fine-root figure cannot be interpreted without it. ","")&amp;IF(AND(ISNUMBER($H613),$H613&gt;0.5),"Ash fraction above 0.5 — over half this sample was mineral soil. Re-wash. ","")&amp;IF($F613="Not separated","Live and dead not separated. Fine for a stock, but "&amp;"note it in reporting. ",""))</f>
        <v/>
      </c>
      <c r="P613" s="6" t="n"/>
      <c r="Q613" s="9">
        <f>IF($B613="",0,IF(COUNTIFS($B$5:$B613,$B613)=1,1,0))</f>
        <v/>
      </c>
    </row>
    <row r="614">
      <c r="A614" s="6" t="n"/>
      <c r="B614" s="6" t="n"/>
      <c r="C614" s="6" t="n"/>
      <c r="D614" s="6" t="n"/>
      <c r="E614" s="6" t="n"/>
      <c r="F614" s="6" t="n"/>
      <c r="G614" s="7" t="n"/>
      <c r="H614" s="7" t="n"/>
      <c r="I614" s="6" t="n"/>
      <c r="J614" s="9">
        <f>IF(NOT(ISNUMBER($G614)),"",IF(AND(ASH_CORRECTED="Yes",ISNUMBER($H614)),$G614*(1-$H614),$G614))</f>
        <v/>
      </c>
      <c r="K614" s="9">
        <f>IF($B614="","",IFERROR(AVERAGEIFS('2. Soil Data'!$G$5:$G$604,'2. Soil Data'!$B$5:$B$604,$B614),""))</f>
        <v/>
      </c>
      <c r="L614" s="9">
        <f>IF(NOT(ISNUMBER($K614)),"",PI()*($K614/2)^2)</f>
        <v/>
      </c>
      <c r="M614" s="9">
        <f>IF(OR(NOT(ISNUMBER($J614)),NOT(ISNUMBER($L614)),$L614=0),"",$J614/$L614*10000)</f>
        <v/>
      </c>
      <c r="N614" s="9">
        <f>IF(NOT(ISNUMBER($M614)),"",$M614*CARBON_FRACTION_ROOT/1000)</f>
        <v/>
      </c>
      <c r="O614" s="11">
        <f>IF(AND($A614="",$B614="",$G614=""),"",IF(AND($B614&lt;&gt;"",COUNTIFS('2. Soil Data'!$B$5:$B$604,$B614)=0),"Core ID not found in Soil Data, so the corer diameter cannot be looked up. ","")&amp;IF(ASH_CORRECTED&lt;&gt;"Yes","Root mass is NOT ash-corrected, so it includes adhering mineral soil and is too high. Set ASH_CORRECTED once you have done it. ","")&amp;IF(AND(ASH_CORRECTED="Yes",NOT(ISNUMBER($H614))),"Ash correction is switched on but no ash fraction is given for this row. ","")&amp;IF($I614="","Sieve mesh not recorded — a fine-root figure cannot be interpreted without it. ","")&amp;IF(AND(ISNUMBER($H614),$H614&gt;0.5),"Ash fraction above 0.5 — over half this sample was mineral soil. Re-wash. ","")&amp;IF($F614="Not separated","Live and dead not separated. Fine for a stock, but "&amp;"note it in reporting. ",""))</f>
        <v/>
      </c>
      <c r="P614" s="6" t="n"/>
      <c r="Q614" s="9">
        <f>IF($B614="",0,IF(COUNTIFS($B$5:$B614,$B614)=1,1,0))</f>
        <v/>
      </c>
    </row>
    <row r="615">
      <c r="A615" s="6" t="n"/>
      <c r="B615" s="6" t="n"/>
      <c r="C615" s="6" t="n"/>
      <c r="D615" s="6" t="n"/>
      <c r="E615" s="6" t="n"/>
      <c r="F615" s="6" t="n"/>
      <c r="G615" s="7" t="n"/>
      <c r="H615" s="7" t="n"/>
      <c r="I615" s="6" t="n"/>
      <c r="J615" s="9">
        <f>IF(NOT(ISNUMBER($G615)),"",IF(AND(ASH_CORRECTED="Yes",ISNUMBER($H615)),$G615*(1-$H615),$G615))</f>
        <v/>
      </c>
      <c r="K615" s="9">
        <f>IF($B615="","",IFERROR(AVERAGEIFS('2. Soil Data'!$G$5:$G$604,'2. Soil Data'!$B$5:$B$604,$B615),""))</f>
        <v/>
      </c>
      <c r="L615" s="9">
        <f>IF(NOT(ISNUMBER($K615)),"",PI()*($K615/2)^2)</f>
        <v/>
      </c>
      <c r="M615" s="9">
        <f>IF(OR(NOT(ISNUMBER($J615)),NOT(ISNUMBER($L615)),$L615=0),"",$J615/$L615*10000)</f>
        <v/>
      </c>
      <c r="N615" s="9">
        <f>IF(NOT(ISNUMBER($M615)),"",$M615*CARBON_FRACTION_ROOT/1000)</f>
        <v/>
      </c>
      <c r="O615" s="11">
        <f>IF(AND($A615="",$B615="",$G615=""),"",IF(AND($B615&lt;&gt;"",COUNTIFS('2. Soil Data'!$B$5:$B$604,$B615)=0),"Core ID not found in Soil Data, so the corer diameter cannot be looked up. ","")&amp;IF(ASH_CORRECTED&lt;&gt;"Yes","Root mass is NOT ash-corrected, so it includes adhering mineral soil and is too high. Set ASH_CORRECTED once you have done it. ","")&amp;IF(AND(ASH_CORRECTED="Yes",NOT(ISNUMBER($H615))),"Ash correction is switched on but no ash fraction is given for this row. ","")&amp;IF($I615="","Sieve mesh not recorded — a fine-root figure cannot be interpreted without it. ","")&amp;IF(AND(ISNUMBER($H615),$H615&gt;0.5),"Ash fraction above 0.5 — over half this sample was mineral soil. Re-wash. ","")&amp;IF($F615="Not separated","Live and dead not separated. Fine for a stock, but "&amp;"note it in reporting. ",""))</f>
        <v/>
      </c>
      <c r="P615" s="6" t="n"/>
      <c r="Q615" s="9">
        <f>IF($B615="",0,IF(COUNTIFS($B$5:$B615,$B615)=1,1,0))</f>
        <v/>
      </c>
    </row>
    <row r="616">
      <c r="A616" s="6" t="n"/>
      <c r="B616" s="6" t="n"/>
      <c r="C616" s="6" t="n"/>
      <c r="D616" s="6" t="n"/>
      <c r="E616" s="6" t="n"/>
      <c r="F616" s="6" t="n"/>
      <c r="G616" s="7" t="n"/>
      <c r="H616" s="7" t="n"/>
      <c r="I616" s="6" t="n"/>
      <c r="J616" s="9">
        <f>IF(NOT(ISNUMBER($G616)),"",IF(AND(ASH_CORRECTED="Yes",ISNUMBER($H616)),$G616*(1-$H616),$G616))</f>
        <v/>
      </c>
      <c r="K616" s="9">
        <f>IF($B616="","",IFERROR(AVERAGEIFS('2. Soil Data'!$G$5:$G$604,'2. Soil Data'!$B$5:$B$604,$B616),""))</f>
        <v/>
      </c>
      <c r="L616" s="9">
        <f>IF(NOT(ISNUMBER($K616)),"",PI()*($K616/2)^2)</f>
        <v/>
      </c>
      <c r="M616" s="9">
        <f>IF(OR(NOT(ISNUMBER($J616)),NOT(ISNUMBER($L616)),$L616=0),"",$J616/$L616*10000)</f>
        <v/>
      </c>
      <c r="N616" s="9">
        <f>IF(NOT(ISNUMBER($M616)),"",$M616*CARBON_FRACTION_ROOT/1000)</f>
        <v/>
      </c>
      <c r="O616" s="11">
        <f>IF(AND($A616="",$B616="",$G616=""),"",IF(AND($B616&lt;&gt;"",COUNTIFS('2. Soil Data'!$B$5:$B$604,$B616)=0),"Core ID not found in Soil Data, so the corer diameter cannot be looked up. ","")&amp;IF(ASH_CORRECTED&lt;&gt;"Yes","Root mass is NOT ash-corrected, so it includes adhering mineral soil and is too high. Set ASH_CORRECTED once you have done it. ","")&amp;IF(AND(ASH_CORRECTED="Yes",NOT(ISNUMBER($H616))),"Ash correction is switched on but no ash fraction is given for this row. ","")&amp;IF($I616="","Sieve mesh not recorded — a fine-root figure cannot be interpreted without it. ","")&amp;IF(AND(ISNUMBER($H616),$H616&gt;0.5),"Ash fraction above 0.5 — over half this sample was mineral soil. Re-wash. ","")&amp;IF($F616="Not separated","Live and dead not separated. Fine for a stock, but "&amp;"note it in reporting. ",""))</f>
        <v/>
      </c>
      <c r="P616" s="6" t="n"/>
      <c r="Q616" s="9">
        <f>IF($B616="",0,IF(COUNTIFS($B$5:$B616,$B616)=1,1,0))</f>
        <v/>
      </c>
    </row>
    <row r="617">
      <c r="A617" s="6" t="n"/>
      <c r="B617" s="6" t="n"/>
      <c r="C617" s="6" t="n"/>
      <c r="D617" s="6" t="n"/>
      <c r="E617" s="6" t="n"/>
      <c r="F617" s="6" t="n"/>
      <c r="G617" s="7" t="n"/>
      <c r="H617" s="7" t="n"/>
      <c r="I617" s="6" t="n"/>
      <c r="J617" s="9">
        <f>IF(NOT(ISNUMBER($G617)),"",IF(AND(ASH_CORRECTED="Yes",ISNUMBER($H617)),$G617*(1-$H617),$G617))</f>
        <v/>
      </c>
      <c r="K617" s="9">
        <f>IF($B617="","",IFERROR(AVERAGEIFS('2. Soil Data'!$G$5:$G$604,'2. Soil Data'!$B$5:$B$604,$B617),""))</f>
        <v/>
      </c>
      <c r="L617" s="9">
        <f>IF(NOT(ISNUMBER($K617)),"",PI()*($K617/2)^2)</f>
        <v/>
      </c>
      <c r="M617" s="9">
        <f>IF(OR(NOT(ISNUMBER($J617)),NOT(ISNUMBER($L617)),$L617=0),"",$J617/$L617*10000)</f>
        <v/>
      </c>
      <c r="N617" s="9">
        <f>IF(NOT(ISNUMBER($M617)),"",$M617*CARBON_FRACTION_ROOT/1000)</f>
        <v/>
      </c>
      <c r="O617" s="11">
        <f>IF(AND($A617="",$B617="",$G617=""),"",IF(AND($B617&lt;&gt;"",COUNTIFS('2. Soil Data'!$B$5:$B$604,$B617)=0),"Core ID not found in Soil Data, so the corer diameter cannot be looked up. ","")&amp;IF(ASH_CORRECTED&lt;&gt;"Yes","Root mass is NOT ash-corrected, so it includes adhering mineral soil and is too high. Set ASH_CORRECTED once you have done it. ","")&amp;IF(AND(ASH_CORRECTED="Yes",NOT(ISNUMBER($H617))),"Ash correction is switched on but no ash fraction is given for this row. ","")&amp;IF($I617="","Sieve mesh not recorded — a fine-root figure cannot be interpreted without it. ","")&amp;IF(AND(ISNUMBER($H617),$H617&gt;0.5),"Ash fraction above 0.5 — over half this sample was mineral soil. Re-wash. ","")&amp;IF($F617="Not separated","Live and dead not separated. Fine for a stock, but "&amp;"note it in reporting. ",""))</f>
        <v/>
      </c>
      <c r="P617" s="6" t="n"/>
      <c r="Q617" s="9">
        <f>IF($B617="",0,IF(COUNTIFS($B$5:$B617,$B617)=1,1,0))</f>
        <v/>
      </c>
    </row>
    <row r="618">
      <c r="A618" s="6" t="n"/>
      <c r="B618" s="6" t="n"/>
      <c r="C618" s="6" t="n"/>
      <c r="D618" s="6" t="n"/>
      <c r="E618" s="6" t="n"/>
      <c r="F618" s="6" t="n"/>
      <c r="G618" s="7" t="n"/>
      <c r="H618" s="7" t="n"/>
      <c r="I618" s="6" t="n"/>
      <c r="J618" s="9">
        <f>IF(NOT(ISNUMBER($G618)),"",IF(AND(ASH_CORRECTED="Yes",ISNUMBER($H618)),$G618*(1-$H618),$G618))</f>
        <v/>
      </c>
      <c r="K618" s="9">
        <f>IF($B618="","",IFERROR(AVERAGEIFS('2. Soil Data'!$G$5:$G$604,'2. Soil Data'!$B$5:$B$604,$B618),""))</f>
        <v/>
      </c>
      <c r="L618" s="9">
        <f>IF(NOT(ISNUMBER($K618)),"",PI()*($K618/2)^2)</f>
        <v/>
      </c>
      <c r="M618" s="9">
        <f>IF(OR(NOT(ISNUMBER($J618)),NOT(ISNUMBER($L618)),$L618=0),"",$J618/$L618*10000)</f>
        <v/>
      </c>
      <c r="N618" s="9">
        <f>IF(NOT(ISNUMBER($M618)),"",$M618*CARBON_FRACTION_ROOT/1000)</f>
        <v/>
      </c>
      <c r="O618" s="11">
        <f>IF(AND($A618="",$B618="",$G618=""),"",IF(AND($B618&lt;&gt;"",COUNTIFS('2. Soil Data'!$B$5:$B$604,$B618)=0),"Core ID not found in Soil Data, so the corer diameter cannot be looked up. ","")&amp;IF(ASH_CORRECTED&lt;&gt;"Yes","Root mass is NOT ash-corrected, so it includes adhering mineral soil and is too high. Set ASH_CORRECTED once you have done it. ","")&amp;IF(AND(ASH_CORRECTED="Yes",NOT(ISNUMBER($H618))),"Ash correction is switched on but no ash fraction is given for this row. ","")&amp;IF($I618="","Sieve mesh not recorded — a fine-root figure cannot be interpreted without it. ","")&amp;IF(AND(ISNUMBER($H618),$H618&gt;0.5),"Ash fraction above 0.5 — over half this sample was mineral soil. Re-wash. ","")&amp;IF($F618="Not separated","Live and dead not separated. Fine for a stock, but "&amp;"note it in reporting. ",""))</f>
        <v/>
      </c>
      <c r="P618" s="6" t="n"/>
      <c r="Q618" s="9">
        <f>IF($B618="",0,IF(COUNTIFS($B$5:$B618,$B618)=1,1,0))</f>
        <v/>
      </c>
    </row>
    <row r="619">
      <c r="A619" s="6" t="n"/>
      <c r="B619" s="6" t="n"/>
      <c r="C619" s="6" t="n"/>
      <c r="D619" s="6" t="n"/>
      <c r="E619" s="6" t="n"/>
      <c r="F619" s="6" t="n"/>
      <c r="G619" s="7" t="n"/>
      <c r="H619" s="7" t="n"/>
      <c r="I619" s="6" t="n"/>
      <c r="J619" s="9">
        <f>IF(NOT(ISNUMBER($G619)),"",IF(AND(ASH_CORRECTED="Yes",ISNUMBER($H619)),$G619*(1-$H619),$G619))</f>
        <v/>
      </c>
      <c r="K619" s="9">
        <f>IF($B619="","",IFERROR(AVERAGEIFS('2. Soil Data'!$G$5:$G$604,'2. Soil Data'!$B$5:$B$604,$B619),""))</f>
        <v/>
      </c>
      <c r="L619" s="9">
        <f>IF(NOT(ISNUMBER($K619)),"",PI()*($K619/2)^2)</f>
        <v/>
      </c>
      <c r="M619" s="9">
        <f>IF(OR(NOT(ISNUMBER($J619)),NOT(ISNUMBER($L619)),$L619=0),"",$J619/$L619*10000)</f>
        <v/>
      </c>
      <c r="N619" s="9">
        <f>IF(NOT(ISNUMBER($M619)),"",$M619*CARBON_FRACTION_ROOT/1000)</f>
        <v/>
      </c>
      <c r="O619" s="11">
        <f>IF(AND($A619="",$B619="",$G619=""),"",IF(AND($B619&lt;&gt;"",COUNTIFS('2. Soil Data'!$B$5:$B$604,$B619)=0),"Core ID not found in Soil Data, so the corer diameter cannot be looked up. ","")&amp;IF(ASH_CORRECTED&lt;&gt;"Yes","Root mass is NOT ash-corrected, so it includes adhering mineral soil and is too high. Set ASH_CORRECTED once you have done it. ","")&amp;IF(AND(ASH_CORRECTED="Yes",NOT(ISNUMBER($H619))),"Ash correction is switched on but no ash fraction is given for this row. ","")&amp;IF($I619="","Sieve mesh not recorded — a fine-root figure cannot be interpreted without it. ","")&amp;IF(AND(ISNUMBER($H619),$H619&gt;0.5),"Ash fraction above 0.5 — over half this sample was mineral soil. Re-wash. ","")&amp;IF($F619="Not separated","Live and dead not separated. Fine for a stock, but "&amp;"note it in reporting. ",""))</f>
        <v/>
      </c>
      <c r="P619" s="6" t="n"/>
      <c r="Q619" s="9">
        <f>IF($B619="",0,IF(COUNTIFS($B$5:$B619,$B619)=1,1,0))</f>
        <v/>
      </c>
    </row>
    <row r="620">
      <c r="A620" s="6" t="n"/>
      <c r="B620" s="6" t="n"/>
      <c r="C620" s="6" t="n"/>
      <c r="D620" s="6" t="n"/>
      <c r="E620" s="6" t="n"/>
      <c r="F620" s="6" t="n"/>
      <c r="G620" s="7" t="n"/>
      <c r="H620" s="7" t="n"/>
      <c r="I620" s="6" t="n"/>
      <c r="J620" s="9">
        <f>IF(NOT(ISNUMBER($G620)),"",IF(AND(ASH_CORRECTED="Yes",ISNUMBER($H620)),$G620*(1-$H620),$G620))</f>
        <v/>
      </c>
      <c r="K620" s="9">
        <f>IF($B620="","",IFERROR(AVERAGEIFS('2. Soil Data'!$G$5:$G$604,'2. Soil Data'!$B$5:$B$604,$B620),""))</f>
        <v/>
      </c>
      <c r="L620" s="9">
        <f>IF(NOT(ISNUMBER($K620)),"",PI()*($K620/2)^2)</f>
        <v/>
      </c>
      <c r="M620" s="9">
        <f>IF(OR(NOT(ISNUMBER($J620)),NOT(ISNUMBER($L620)),$L620=0),"",$J620/$L620*10000)</f>
        <v/>
      </c>
      <c r="N620" s="9">
        <f>IF(NOT(ISNUMBER($M620)),"",$M620*CARBON_FRACTION_ROOT/1000)</f>
        <v/>
      </c>
      <c r="O620" s="11">
        <f>IF(AND($A620="",$B620="",$G620=""),"",IF(AND($B620&lt;&gt;"",COUNTIFS('2. Soil Data'!$B$5:$B$604,$B620)=0),"Core ID not found in Soil Data, so the corer diameter cannot be looked up. ","")&amp;IF(ASH_CORRECTED&lt;&gt;"Yes","Root mass is NOT ash-corrected, so it includes adhering mineral soil and is too high. Set ASH_CORRECTED once you have done it. ","")&amp;IF(AND(ASH_CORRECTED="Yes",NOT(ISNUMBER($H620))),"Ash correction is switched on but no ash fraction is given for this row. ","")&amp;IF($I620="","Sieve mesh not recorded — a fine-root figure cannot be interpreted without it. ","")&amp;IF(AND(ISNUMBER($H620),$H620&gt;0.5),"Ash fraction above 0.5 — over half this sample was mineral soil. Re-wash. ","")&amp;IF($F620="Not separated","Live and dead not separated. Fine for a stock, but "&amp;"note it in reporting. ",""))</f>
        <v/>
      </c>
      <c r="P620" s="6" t="n"/>
      <c r="Q620" s="9">
        <f>IF($B620="",0,IF(COUNTIFS($B$5:$B620,$B620)=1,1,0))</f>
        <v/>
      </c>
    </row>
    <row r="621">
      <c r="A621" s="6" t="n"/>
      <c r="B621" s="6" t="n"/>
      <c r="C621" s="6" t="n"/>
      <c r="D621" s="6" t="n"/>
      <c r="E621" s="6" t="n"/>
      <c r="F621" s="6" t="n"/>
      <c r="G621" s="7" t="n"/>
      <c r="H621" s="7" t="n"/>
      <c r="I621" s="6" t="n"/>
      <c r="J621" s="9">
        <f>IF(NOT(ISNUMBER($G621)),"",IF(AND(ASH_CORRECTED="Yes",ISNUMBER($H621)),$G621*(1-$H621),$G621))</f>
        <v/>
      </c>
      <c r="K621" s="9">
        <f>IF($B621="","",IFERROR(AVERAGEIFS('2. Soil Data'!$G$5:$G$604,'2. Soil Data'!$B$5:$B$604,$B621),""))</f>
        <v/>
      </c>
      <c r="L621" s="9">
        <f>IF(NOT(ISNUMBER($K621)),"",PI()*($K621/2)^2)</f>
        <v/>
      </c>
      <c r="M621" s="9">
        <f>IF(OR(NOT(ISNUMBER($J621)),NOT(ISNUMBER($L621)),$L621=0),"",$J621/$L621*10000)</f>
        <v/>
      </c>
      <c r="N621" s="9">
        <f>IF(NOT(ISNUMBER($M621)),"",$M621*CARBON_FRACTION_ROOT/1000)</f>
        <v/>
      </c>
      <c r="O621" s="11">
        <f>IF(AND($A621="",$B621="",$G621=""),"",IF(AND($B621&lt;&gt;"",COUNTIFS('2. Soil Data'!$B$5:$B$604,$B621)=0),"Core ID not found in Soil Data, so the corer diameter cannot be looked up. ","")&amp;IF(ASH_CORRECTED&lt;&gt;"Yes","Root mass is NOT ash-corrected, so it includes adhering mineral soil and is too high. Set ASH_CORRECTED once you have done it. ","")&amp;IF(AND(ASH_CORRECTED="Yes",NOT(ISNUMBER($H621))),"Ash correction is switched on but no ash fraction is given for this row. ","")&amp;IF($I621="","Sieve mesh not recorded — a fine-root figure cannot be interpreted without it. ","")&amp;IF(AND(ISNUMBER($H621),$H621&gt;0.5),"Ash fraction above 0.5 — over half this sample was mineral soil. Re-wash. ","")&amp;IF($F621="Not separated","Live and dead not separated. Fine for a stock, but "&amp;"note it in reporting. ",""))</f>
        <v/>
      </c>
      <c r="P621" s="6" t="n"/>
      <c r="Q621" s="9">
        <f>IF($B621="",0,IF(COUNTIFS($B$5:$B621,$B621)=1,1,0))</f>
        <v/>
      </c>
    </row>
    <row r="622">
      <c r="A622" s="6" t="n"/>
      <c r="B622" s="6" t="n"/>
      <c r="C622" s="6" t="n"/>
      <c r="D622" s="6" t="n"/>
      <c r="E622" s="6" t="n"/>
      <c r="F622" s="6" t="n"/>
      <c r="G622" s="7" t="n"/>
      <c r="H622" s="7" t="n"/>
      <c r="I622" s="6" t="n"/>
      <c r="J622" s="9">
        <f>IF(NOT(ISNUMBER($G622)),"",IF(AND(ASH_CORRECTED="Yes",ISNUMBER($H622)),$G622*(1-$H622),$G622))</f>
        <v/>
      </c>
      <c r="K622" s="9">
        <f>IF($B622="","",IFERROR(AVERAGEIFS('2. Soil Data'!$G$5:$G$604,'2. Soil Data'!$B$5:$B$604,$B622),""))</f>
        <v/>
      </c>
      <c r="L622" s="9">
        <f>IF(NOT(ISNUMBER($K622)),"",PI()*($K622/2)^2)</f>
        <v/>
      </c>
      <c r="M622" s="9">
        <f>IF(OR(NOT(ISNUMBER($J622)),NOT(ISNUMBER($L622)),$L622=0),"",$J622/$L622*10000)</f>
        <v/>
      </c>
      <c r="N622" s="9">
        <f>IF(NOT(ISNUMBER($M622)),"",$M622*CARBON_FRACTION_ROOT/1000)</f>
        <v/>
      </c>
      <c r="O622" s="11">
        <f>IF(AND($A622="",$B622="",$G622=""),"",IF(AND($B622&lt;&gt;"",COUNTIFS('2. Soil Data'!$B$5:$B$604,$B622)=0),"Core ID not found in Soil Data, so the corer diameter cannot be looked up. ","")&amp;IF(ASH_CORRECTED&lt;&gt;"Yes","Root mass is NOT ash-corrected, so it includes adhering mineral soil and is too high. Set ASH_CORRECTED once you have done it. ","")&amp;IF(AND(ASH_CORRECTED="Yes",NOT(ISNUMBER($H622))),"Ash correction is switched on but no ash fraction is given for this row. ","")&amp;IF($I622="","Sieve mesh not recorded — a fine-root figure cannot be interpreted without it. ","")&amp;IF(AND(ISNUMBER($H622),$H622&gt;0.5),"Ash fraction above 0.5 — over half this sample was mineral soil. Re-wash. ","")&amp;IF($F622="Not separated","Live and dead not separated. Fine for a stock, but "&amp;"note it in reporting. ",""))</f>
        <v/>
      </c>
      <c r="P622" s="6" t="n"/>
      <c r="Q622" s="9">
        <f>IF($B622="",0,IF(COUNTIFS($B$5:$B622,$B622)=1,1,0))</f>
        <v/>
      </c>
    </row>
    <row r="623">
      <c r="A623" s="6" t="n"/>
      <c r="B623" s="6" t="n"/>
      <c r="C623" s="6" t="n"/>
      <c r="D623" s="6" t="n"/>
      <c r="E623" s="6" t="n"/>
      <c r="F623" s="6" t="n"/>
      <c r="G623" s="7" t="n"/>
      <c r="H623" s="7" t="n"/>
      <c r="I623" s="6" t="n"/>
      <c r="J623" s="9">
        <f>IF(NOT(ISNUMBER($G623)),"",IF(AND(ASH_CORRECTED="Yes",ISNUMBER($H623)),$G623*(1-$H623),$G623))</f>
        <v/>
      </c>
      <c r="K623" s="9">
        <f>IF($B623="","",IFERROR(AVERAGEIFS('2. Soil Data'!$G$5:$G$604,'2. Soil Data'!$B$5:$B$604,$B623),""))</f>
        <v/>
      </c>
      <c r="L623" s="9">
        <f>IF(NOT(ISNUMBER($K623)),"",PI()*($K623/2)^2)</f>
        <v/>
      </c>
      <c r="M623" s="9">
        <f>IF(OR(NOT(ISNUMBER($J623)),NOT(ISNUMBER($L623)),$L623=0),"",$J623/$L623*10000)</f>
        <v/>
      </c>
      <c r="N623" s="9">
        <f>IF(NOT(ISNUMBER($M623)),"",$M623*CARBON_FRACTION_ROOT/1000)</f>
        <v/>
      </c>
      <c r="O623" s="11">
        <f>IF(AND($A623="",$B623="",$G623=""),"",IF(AND($B623&lt;&gt;"",COUNTIFS('2. Soil Data'!$B$5:$B$604,$B623)=0),"Core ID not found in Soil Data, so the corer diameter cannot be looked up. ","")&amp;IF(ASH_CORRECTED&lt;&gt;"Yes","Root mass is NOT ash-corrected, so it includes adhering mineral soil and is too high. Set ASH_CORRECTED once you have done it. ","")&amp;IF(AND(ASH_CORRECTED="Yes",NOT(ISNUMBER($H623))),"Ash correction is switched on but no ash fraction is given for this row. ","")&amp;IF($I623="","Sieve mesh not recorded — a fine-root figure cannot be interpreted without it. ","")&amp;IF(AND(ISNUMBER($H623),$H623&gt;0.5),"Ash fraction above 0.5 — over half this sample was mineral soil. Re-wash. ","")&amp;IF($F623="Not separated","Live and dead not separated. Fine for a stock, but "&amp;"note it in reporting. ",""))</f>
        <v/>
      </c>
      <c r="P623" s="6" t="n"/>
      <c r="Q623" s="9">
        <f>IF($B623="",0,IF(COUNTIFS($B$5:$B623,$B623)=1,1,0))</f>
        <v/>
      </c>
    </row>
    <row r="624">
      <c r="A624" s="6" t="n"/>
      <c r="B624" s="6" t="n"/>
      <c r="C624" s="6" t="n"/>
      <c r="D624" s="6" t="n"/>
      <c r="E624" s="6" t="n"/>
      <c r="F624" s="6" t="n"/>
      <c r="G624" s="7" t="n"/>
      <c r="H624" s="7" t="n"/>
      <c r="I624" s="6" t="n"/>
      <c r="J624" s="9">
        <f>IF(NOT(ISNUMBER($G624)),"",IF(AND(ASH_CORRECTED="Yes",ISNUMBER($H624)),$G624*(1-$H624),$G624))</f>
        <v/>
      </c>
      <c r="K624" s="9">
        <f>IF($B624="","",IFERROR(AVERAGEIFS('2. Soil Data'!$G$5:$G$604,'2. Soil Data'!$B$5:$B$604,$B624),""))</f>
        <v/>
      </c>
      <c r="L624" s="9">
        <f>IF(NOT(ISNUMBER($K624)),"",PI()*($K624/2)^2)</f>
        <v/>
      </c>
      <c r="M624" s="9">
        <f>IF(OR(NOT(ISNUMBER($J624)),NOT(ISNUMBER($L624)),$L624=0),"",$J624/$L624*10000)</f>
        <v/>
      </c>
      <c r="N624" s="9">
        <f>IF(NOT(ISNUMBER($M624)),"",$M624*CARBON_FRACTION_ROOT/1000)</f>
        <v/>
      </c>
      <c r="O624" s="11">
        <f>IF(AND($A624="",$B624="",$G624=""),"",IF(AND($B624&lt;&gt;"",COUNTIFS('2. Soil Data'!$B$5:$B$604,$B624)=0),"Core ID not found in Soil Data, so the corer diameter cannot be looked up. ","")&amp;IF(ASH_CORRECTED&lt;&gt;"Yes","Root mass is NOT ash-corrected, so it includes adhering mineral soil and is too high. Set ASH_CORRECTED once you have done it. ","")&amp;IF(AND(ASH_CORRECTED="Yes",NOT(ISNUMBER($H624))),"Ash correction is switched on but no ash fraction is given for this row. ","")&amp;IF($I624="","Sieve mesh not recorded — a fine-root figure cannot be interpreted without it. ","")&amp;IF(AND(ISNUMBER($H624),$H624&gt;0.5),"Ash fraction above 0.5 — over half this sample was mineral soil. Re-wash. ","")&amp;IF($F624="Not separated","Live and dead not separated. Fine for a stock, but "&amp;"note it in reporting. ",""))</f>
        <v/>
      </c>
      <c r="P624" s="6" t="n"/>
      <c r="Q624" s="9">
        <f>IF($B624="",0,IF(COUNTIFS($B$5:$B624,$B624)=1,1,0))</f>
        <v/>
      </c>
    </row>
    <row r="625">
      <c r="A625" s="6" t="n"/>
      <c r="B625" s="6" t="n"/>
      <c r="C625" s="6" t="n"/>
      <c r="D625" s="6" t="n"/>
      <c r="E625" s="6" t="n"/>
      <c r="F625" s="6" t="n"/>
      <c r="G625" s="7" t="n"/>
      <c r="H625" s="7" t="n"/>
      <c r="I625" s="6" t="n"/>
      <c r="J625" s="9">
        <f>IF(NOT(ISNUMBER($G625)),"",IF(AND(ASH_CORRECTED="Yes",ISNUMBER($H625)),$G625*(1-$H625),$G625))</f>
        <v/>
      </c>
      <c r="K625" s="9">
        <f>IF($B625="","",IFERROR(AVERAGEIFS('2. Soil Data'!$G$5:$G$604,'2. Soil Data'!$B$5:$B$604,$B625),""))</f>
        <v/>
      </c>
      <c r="L625" s="9">
        <f>IF(NOT(ISNUMBER($K625)),"",PI()*($K625/2)^2)</f>
        <v/>
      </c>
      <c r="M625" s="9">
        <f>IF(OR(NOT(ISNUMBER($J625)),NOT(ISNUMBER($L625)),$L625=0),"",$J625/$L625*10000)</f>
        <v/>
      </c>
      <c r="N625" s="9">
        <f>IF(NOT(ISNUMBER($M625)),"",$M625*CARBON_FRACTION_ROOT/1000)</f>
        <v/>
      </c>
      <c r="O625" s="11">
        <f>IF(AND($A625="",$B625="",$G625=""),"",IF(AND($B625&lt;&gt;"",COUNTIFS('2. Soil Data'!$B$5:$B$604,$B625)=0),"Core ID not found in Soil Data, so the corer diameter cannot be looked up. ","")&amp;IF(ASH_CORRECTED&lt;&gt;"Yes","Root mass is NOT ash-corrected, so it includes adhering mineral soil and is too high. Set ASH_CORRECTED once you have done it. ","")&amp;IF(AND(ASH_CORRECTED="Yes",NOT(ISNUMBER($H625))),"Ash correction is switched on but no ash fraction is given for this row. ","")&amp;IF($I625="","Sieve mesh not recorded — a fine-root figure cannot be interpreted without it. ","")&amp;IF(AND(ISNUMBER($H625),$H625&gt;0.5),"Ash fraction above 0.5 — over half this sample was mineral soil. Re-wash. ","")&amp;IF($F625="Not separated","Live and dead not separated. Fine for a stock, but "&amp;"note it in reporting. ",""))</f>
        <v/>
      </c>
      <c r="P625" s="6" t="n"/>
      <c r="Q625" s="9">
        <f>IF($B625="",0,IF(COUNTIFS($B$5:$B625,$B625)=1,1,0))</f>
        <v/>
      </c>
    </row>
    <row r="626">
      <c r="A626" s="6" t="n"/>
      <c r="B626" s="6" t="n"/>
      <c r="C626" s="6" t="n"/>
      <c r="D626" s="6" t="n"/>
      <c r="E626" s="6" t="n"/>
      <c r="F626" s="6" t="n"/>
      <c r="G626" s="7" t="n"/>
      <c r="H626" s="7" t="n"/>
      <c r="I626" s="6" t="n"/>
      <c r="J626" s="9">
        <f>IF(NOT(ISNUMBER($G626)),"",IF(AND(ASH_CORRECTED="Yes",ISNUMBER($H626)),$G626*(1-$H626),$G626))</f>
        <v/>
      </c>
      <c r="K626" s="9">
        <f>IF($B626="","",IFERROR(AVERAGEIFS('2. Soil Data'!$G$5:$G$604,'2. Soil Data'!$B$5:$B$604,$B626),""))</f>
        <v/>
      </c>
      <c r="L626" s="9">
        <f>IF(NOT(ISNUMBER($K626)),"",PI()*($K626/2)^2)</f>
        <v/>
      </c>
      <c r="M626" s="9">
        <f>IF(OR(NOT(ISNUMBER($J626)),NOT(ISNUMBER($L626)),$L626=0),"",$J626/$L626*10000)</f>
        <v/>
      </c>
      <c r="N626" s="9">
        <f>IF(NOT(ISNUMBER($M626)),"",$M626*CARBON_FRACTION_ROOT/1000)</f>
        <v/>
      </c>
      <c r="O626" s="11">
        <f>IF(AND($A626="",$B626="",$G626=""),"",IF(AND($B626&lt;&gt;"",COUNTIFS('2. Soil Data'!$B$5:$B$604,$B626)=0),"Core ID not found in Soil Data, so the corer diameter cannot be looked up. ","")&amp;IF(ASH_CORRECTED&lt;&gt;"Yes","Root mass is NOT ash-corrected, so it includes adhering mineral soil and is too high. Set ASH_CORRECTED once you have done it. ","")&amp;IF(AND(ASH_CORRECTED="Yes",NOT(ISNUMBER($H626))),"Ash correction is switched on but no ash fraction is given for this row. ","")&amp;IF($I626="","Sieve mesh not recorded — a fine-root figure cannot be interpreted without it. ","")&amp;IF(AND(ISNUMBER($H626),$H626&gt;0.5),"Ash fraction above 0.5 — over half this sample was mineral soil. Re-wash. ","")&amp;IF($F626="Not separated","Live and dead not separated. Fine for a stock, but "&amp;"note it in reporting. ",""))</f>
        <v/>
      </c>
      <c r="P626" s="6" t="n"/>
      <c r="Q626" s="9">
        <f>IF($B626="",0,IF(COUNTIFS($B$5:$B626,$B626)=1,1,0))</f>
        <v/>
      </c>
    </row>
    <row r="627">
      <c r="A627" s="6" t="n"/>
      <c r="B627" s="6" t="n"/>
      <c r="C627" s="6" t="n"/>
      <c r="D627" s="6" t="n"/>
      <c r="E627" s="6" t="n"/>
      <c r="F627" s="6" t="n"/>
      <c r="G627" s="7" t="n"/>
      <c r="H627" s="7" t="n"/>
      <c r="I627" s="6" t="n"/>
      <c r="J627" s="9">
        <f>IF(NOT(ISNUMBER($G627)),"",IF(AND(ASH_CORRECTED="Yes",ISNUMBER($H627)),$G627*(1-$H627),$G627))</f>
        <v/>
      </c>
      <c r="K627" s="9">
        <f>IF($B627="","",IFERROR(AVERAGEIFS('2. Soil Data'!$G$5:$G$604,'2. Soil Data'!$B$5:$B$604,$B627),""))</f>
        <v/>
      </c>
      <c r="L627" s="9">
        <f>IF(NOT(ISNUMBER($K627)),"",PI()*($K627/2)^2)</f>
        <v/>
      </c>
      <c r="M627" s="9">
        <f>IF(OR(NOT(ISNUMBER($J627)),NOT(ISNUMBER($L627)),$L627=0),"",$J627/$L627*10000)</f>
        <v/>
      </c>
      <c r="N627" s="9">
        <f>IF(NOT(ISNUMBER($M627)),"",$M627*CARBON_FRACTION_ROOT/1000)</f>
        <v/>
      </c>
      <c r="O627" s="11">
        <f>IF(AND($A627="",$B627="",$G627=""),"",IF(AND($B627&lt;&gt;"",COUNTIFS('2. Soil Data'!$B$5:$B$604,$B627)=0),"Core ID not found in Soil Data, so the corer diameter cannot be looked up. ","")&amp;IF(ASH_CORRECTED&lt;&gt;"Yes","Root mass is NOT ash-corrected, so it includes adhering mineral soil and is too high. Set ASH_CORRECTED once you have done it. ","")&amp;IF(AND(ASH_CORRECTED="Yes",NOT(ISNUMBER($H627))),"Ash correction is switched on but no ash fraction is given for this row. ","")&amp;IF($I627="","Sieve mesh not recorded — a fine-root figure cannot be interpreted without it. ","")&amp;IF(AND(ISNUMBER($H627),$H627&gt;0.5),"Ash fraction above 0.5 — over half this sample was mineral soil. Re-wash. ","")&amp;IF($F627="Not separated","Live and dead not separated. Fine for a stock, but "&amp;"note it in reporting. ",""))</f>
        <v/>
      </c>
      <c r="P627" s="6" t="n"/>
      <c r="Q627" s="9">
        <f>IF($B627="",0,IF(COUNTIFS($B$5:$B627,$B627)=1,1,0))</f>
        <v/>
      </c>
    </row>
    <row r="628">
      <c r="A628" s="6" t="n"/>
      <c r="B628" s="6" t="n"/>
      <c r="C628" s="6" t="n"/>
      <c r="D628" s="6" t="n"/>
      <c r="E628" s="6" t="n"/>
      <c r="F628" s="6" t="n"/>
      <c r="G628" s="7" t="n"/>
      <c r="H628" s="7" t="n"/>
      <c r="I628" s="6" t="n"/>
      <c r="J628" s="9">
        <f>IF(NOT(ISNUMBER($G628)),"",IF(AND(ASH_CORRECTED="Yes",ISNUMBER($H628)),$G628*(1-$H628),$G628))</f>
        <v/>
      </c>
      <c r="K628" s="9">
        <f>IF($B628="","",IFERROR(AVERAGEIFS('2. Soil Data'!$G$5:$G$604,'2. Soil Data'!$B$5:$B$604,$B628),""))</f>
        <v/>
      </c>
      <c r="L628" s="9">
        <f>IF(NOT(ISNUMBER($K628)),"",PI()*($K628/2)^2)</f>
        <v/>
      </c>
      <c r="M628" s="9">
        <f>IF(OR(NOT(ISNUMBER($J628)),NOT(ISNUMBER($L628)),$L628=0),"",$J628/$L628*10000)</f>
        <v/>
      </c>
      <c r="N628" s="9">
        <f>IF(NOT(ISNUMBER($M628)),"",$M628*CARBON_FRACTION_ROOT/1000)</f>
        <v/>
      </c>
      <c r="O628" s="11">
        <f>IF(AND($A628="",$B628="",$G628=""),"",IF(AND($B628&lt;&gt;"",COUNTIFS('2. Soil Data'!$B$5:$B$604,$B628)=0),"Core ID not found in Soil Data, so the corer diameter cannot be looked up. ","")&amp;IF(ASH_CORRECTED&lt;&gt;"Yes","Root mass is NOT ash-corrected, so it includes adhering mineral soil and is too high. Set ASH_CORRECTED once you have done it. ","")&amp;IF(AND(ASH_CORRECTED="Yes",NOT(ISNUMBER($H628))),"Ash correction is switched on but no ash fraction is given for this row. ","")&amp;IF($I628="","Sieve mesh not recorded — a fine-root figure cannot be interpreted without it. ","")&amp;IF(AND(ISNUMBER($H628),$H628&gt;0.5),"Ash fraction above 0.5 — over half this sample was mineral soil. Re-wash. ","")&amp;IF($F628="Not separated","Live and dead not separated. Fine for a stock, but "&amp;"note it in reporting. ",""))</f>
        <v/>
      </c>
      <c r="P628" s="6" t="n"/>
      <c r="Q628" s="9">
        <f>IF($B628="",0,IF(COUNTIFS($B$5:$B628,$B628)=1,1,0))</f>
        <v/>
      </c>
    </row>
    <row r="629">
      <c r="A629" s="6" t="n"/>
      <c r="B629" s="6" t="n"/>
      <c r="C629" s="6" t="n"/>
      <c r="D629" s="6" t="n"/>
      <c r="E629" s="6" t="n"/>
      <c r="F629" s="6" t="n"/>
      <c r="G629" s="7" t="n"/>
      <c r="H629" s="7" t="n"/>
      <c r="I629" s="6" t="n"/>
      <c r="J629" s="9">
        <f>IF(NOT(ISNUMBER($G629)),"",IF(AND(ASH_CORRECTED="Yes",ISNUMBER($H629)),$G629*(1-$H629),$G629))</f>
        <v/>
      </c>
      <c r="K629" s="9">
        <f>IF($B629="","",IFERROR(AVERAGEIFS('2. Soil Data'!$G$5:$G$604,'2. Soil Data'!$B$5:$B$604,$B629),""))</f>
        <v/>
      </c>
      <c r="L629" s="9">
        <f>IF(NOT(ISNUMBER($K629)),"",PI()*($K629/2)^2)</f>
        <v/>
      </c>
      <c r="M629" s="9">
        <f>IF(OR(NOT(ISNUMBER($J629)),NOT(ISNUMBER($L629)),$L629=0),"",$J629/$L629*10000)</f>
        <v/>
      </c>
      <c r="N629" s="9">
        <f>IF(NOT(ISNUMBER($M629)),"",$M629*CARBON_FRACTION_ROOT/1000)</f>
        <v/>
      </c>
      <c r="O629" s="11">
        <f>IF(AND($A629="",$B629="",$G629=""),"",IF(AND($B629&lt;&gt;"",COUNTIFS('2. Soil Data'!$B$5:$B$604,$B629)=0),"Core ID not found in Soil Data, so the corer diameter cannot be looked up. ","")&amp;IF(ASH_CORRECTED&lt;&gt;"Yes","Root mass is NOT ash-corrected, so it includes adhering mineral soil and is too high. Set ASH_CORRECTED once you have done it. ","")&amp;IF(AND(ASH_CORRECTED="Yes",NOT(ISNUMBER($H629))),"Ash correction is switched on but no ash fraction is given for this row. ","")&amp;IF($I629="","Sieve mesh not recorded — a fine-root figure cannot be interpreted without it. ","")&amp;IF(AND(ISNUMBER($H629),$H629&gt;0.5),"Ash fraction above 0.5 — over half this sample was mineral soil. Re-wash. ","")&amp;IF($F629="Not separated","Live and dead not separated. Fine for a stock, but "&amp;"note it in reporting. ",""))</f>
        <v/>
      </c>
      <c r="P629" s="6" t="n"/>
      <c r="Q629" s="9">
        <f>IF($B629="",0,IF(COUNTIFS($B$5:$B629,$B629)=1,1,0))</f>
        <v/>
      </c>
    </row>
    <row r="630">
      <c r="A630" s="6" t="n"/>
      <c r="B630" s="6" t="n"/>
      <c r="C630" s="6" t="n"/>
      <c r="D630" s="6" t="n"/>
      <c r="E630" s="6" t="n"/>
      <c r="F630" s="6" t="n"/>
      <c r="G630" s="7" t="n"/>
      <c r="H630" s="7" t="n"/>
      <c r="I630" s="6" t="n"/>
      <c r="J630" s="9">
        <f>IF(NOT(ISNUMBER($G630)),"",IF(AND(ASH_CORRECTED="Yes",ISNUMBER($H630)),$G630*(1-$H630),$G630))</f>
        <v/>
      </c>
      <c r="K630" s="9">
        <f>IF($B630="","",IFERROR(AVERAGEIFS('2. Soil Data'!$G$5:$G$604,'2. Soil Data'!$B$5:$B$604,$B630),""))</f>
        <v/>
      </c>
      <c r="L630" s="9">
        <f>IF(NOT(ISNUMBER($K630)),"",PI()*($K630/2)^2)</f>
        <v/>
      </c>
      <c r="M630" s="9">
        <f>IF(OR(NOT(ISNUMBER($J630)),NOT(ISNUMBER($L630)),$L630=0),"",$J630/$L630*10000)</f>
        <v/>
      </c>
      <c r="N630" s="9">
        <f>IF(NOT(ISNUMBER($M630)),"",$M630*CARBON_FRACTION_ROOT/1000)</f>
        <v/>
      </c>
      <c r="O630" s="11">
        <f>IF(AND($A630="",$B630="",$G630=""),"",IF(AND($B630&lt;&gt;"",COUNTIFS('2. Soil Data'!$B$5:$B$604,$B630)=0),"Core ID not found in Soil Data, so the corer diameter cannot be looked up. ","")&amp;IF(ASH_CORRECTED&lt;&gt;"Yes","Root mass is NOT ash-corrected, so it includes adhering mineral soil and is too high. Set ASH_CORRECTED once you have done it. ","")&amp;IF(AND(ASH_CORRECTED="Yes",NOT(ISNUMBER($H630))),"Ash correction is switched on but no ash fraction is given for this row. ","")&amp;IF($I630="","Sieve mesh not recorded — a fine-root figure cannot be interpreted without it. ","")&amp;IF(AND(ISNUMBER($H630),$H630&gt;0.5),"Ash fraction above 0.5 — over half this sample was mineral soil. Re-wash. ","")&amp;IF($F630="Not separated","Live and dead not separated. Fine for a stock, but "&amp;"note it in reporting. ",""))</f>
        <v/>
      </c>
      <c r="P630" s="6" t="n"/>
      <c r="Q630" s="9">
        <f>IF($B630="",0,IF(COUNTIFS($B$5:$B630,$B630)=1,1,0))</f>
        <v/>
      </c>
    </row>
    <row r="631">
      <c r="A631" s="6" t="n"/>
      <c r="B631" s="6" t="n"/>
      <c r="C631" s="6" t="n"/>
      <c r="D631" s="6" t="n"/>
      <c r="E631" s="6" t="n"/>
      <c r="F631" s="6" t="n"/>
      <c r="G631" s="7" t="n"/>
      <c r="H631" s="7" t="n"/>
      <c r="I631" s="6" t="n"/>
      <c r="J631" s="9">
        <f>IF(NOT(ISNUMBER($G631)),"",IF(AND(ASH_CORRECTED="Yes",ISNUMBER($H631)),$G631*(1-$H631),$G631))</f>
        <v/>
      </c>
      <c r="K631" s="9">
        <f>IF($B631="","",IFERROR(AVERAGEIFS('2. Soil Data'!$G$5:$G$604,'2. Soil Data'!$B$5:$B$604,$B631),""))</f>
        <v/>
      </c>
      <c r="L631" s="9">
        <f>IF(NOT(ISNUMBER($K631)),"",PI()*($K631/2)^2)</f>
        <v/>
      </c>
      <c r="M631" s="9">
        <f>IF(OR(NOT(ISNUMBER($J631)),NOT(ISNUMBER($L631)),$L631=0),"",$J631/$L631*10000)</f>
        <v/>
      </c>
      <c r="N631" s="9">
        <f>IF(NOT(ISNUMBER($M631)),"",$M631*CARBON_FRACTION_ROOT/1000)</f>
        <v/>
      </c>
      <c r="O631" s="11">
        <f>IF(AND($A631="",$B631="",$G631=""),"",IF(AND($B631&lt;&gt;"",COUNTIFS('2. Soil Data'!$B$5:$B$604,$B631)=0),"Core ID not found in Soil Data, so the corer diameter cannot be looked up. ","")&amp;IF(ASH_CORRECTED&lt;&gt;"Yes","Root mass is NOT ash-corrected, so it includes adhering mineral soil and is too high. Set ASH_CORRECTED once you have done it. ","")&amp;IF(AND(ASH_CORRECTED="Yes",NOT(ISNUMBER($H631))),"Ash correction is switched on but no ash fraction is given for this row. ","")&amp;IF($I631="","Sieve mesh not recorded — a fine-root figure cannot be interpreted without it. ","")&amp;IF(AND(ISNUMBER($H631),$H631&gt;0.5),"Ash fraction above 0.5 — over half this sample was mineral soil. Re-wash. ","")&amp;IF($F631="Not separated","Live and dead not separated. Fine for a stock, but "&amp;"note it in reporting. ",""))</f>
        <v/>
      </c>
      <c r="P631" s="6" t="n"/>
      <c r="Q631" s="9">
        <f>IF($B631="",0,IF(COUNTIFS($B$5:$B631,$B631)=1,1,0))</f>
        <v/>
      </c>
    </row>
    <row r="632">
      <c r="A632" s="6" t="n"/>
      <c r="B632" s="6" t="n"/>
      <c r="C632" s="6" t="n"/>
      <c r="D632" s="6" t="n"/>
      <c r="E632" s="6" t="n"/>
      <c r="F632" s="6" t="n"/>
      <c r="G632" s="7" t="n"/>
      <c r="H632" s="7" t="n"/>
      <c r="I632" s="6" t="n"/>
      <c r="J632" s="9">
        <f>IF(NOT(ISNUMBER($G632)),"",IF(AND(ASH_CORRECTED="Yes",ISNUMBER($H632)),$G632*(1-$H632),$G632))</f>
        <v/>
      </c>
      <c r="K632" s="9">
        <f>IF($B632="","",IFERROR(AVERAGEIFS('2. Soil Data'!$G$5:$G$604,'2. Soil Data'!$B$5:$B$604,$B632),""))</f>
        <v/>
      </c>
      <c r="L632" s="9">
        <f>IF(NOT(ISNUMBER($K632)),"",PI()*($K632/2)^2)</f>
        <v/>
      </c>
      <c r="M632" s="9">
        <f>IF(OR(NOT(ISNUMBER($J632)),NOT(ISNUMBER($L632)),$L632=0),"",$J632/$L632*10000)</f>
        <v/>
      </c>
      <c r="N632" s="9">
        <f>IF(NOT(ISNUMBER($M632)),"",$M632*CARBON_FRACTION_ROOT/1000)</f>
        <v/>
      </c>
      <c r="O632" s="11">
        <f>IF(AND($A632="",$B632="",$G632=""),"",IF(AND($B632&lt;&gt;"",COUNTIFS('2. Soil Data'!$B$5:$B$604,$B632)=0),"Core ID not found in Soil Data, so the corer diameter cannot be looked up. ","")&amp;IF(ASH_CORRECTED&lt;&gt;"Yes","Root mass is NOT ash-corrected, so it includes adhering mineral soil and is too high. Set ASH_CORRECTED once you have done it. ","")&amp;IF(AND(ASH_CORRECTED="Yes",NOT(ISNUMBER($H632))),"Ash correction is switched on but no ash fraction is given for this row. ","")&amp;IF($I632="","Sieve mesh not recorded — a fine-root figure cannot be interpreted without it. ","")&amp;IF(AND(ISNUMBER($H632),$H632&gt;0.5),"Ash fraction above 0.5 — over half this sample was mineral soil. Re-wash. ","")&amp;IF($F632="Not separated","Live and dead not separated. Fine for a stock, but "&amp;"note it in reporting. ",""))</f>
        <v/>
      </c>
      <c r="P632" s="6" t="n"/>
      <c r="Q632" s="9">
        <f>IF($B632="",0,IF(COUNTIFS($B$5:$B632,$B632)=1,1,0))</f>
        <v/>
      </c>
    </row>
    <row r="633">
      <c r="A633" s="6" t="n"/>
      <c r="B633" s="6" t="n"/>
      <c r="C633" s="6" t="n"/>
      <c r="D633" s="6" t="n"/>
      <c r="E633" s="6" t="n"/>
      <c r="F633" s="6" t="n"/>
      <c r="G633" s="7" t="n"/>
      <c r="H633" s="7" t="n"/>
      <c r="I633" s="6" t="n"/>
      <c r="J633" s="9">
        <f>IF(NOT(ISNUMBER($G633)),"",IF(AND(ASH_CORRECTED="Yes",ISNUMBER($H633)),$G633*(1-$H633),$G633))</f>
        <v/>
      </c>
      <c r="K633" s="9">
        <f>IF($B633="","",IFERROR(AVERAGEIFS('2. Soil Data'!$G$5:$G$604,'2. Soil Data'!$B$5:$B$604,$B633),""))</f>
        <v/>
      </c>
      <c r="L633" s="9">
        <f>IF(NOT(ISNUMBER($K633)),"",PI()*($K633/2)^2)</f>
        <v/>
      </c>
      <c r="M633" s="9">
        <f>IF(OR(NOT(ISNUMBER($J633)),NOT(ISNUMBER($L633)),$L633=0),"",$J633/$L633*10000)</f>
        <v/>
      </c>
      <c r="N633" s="9">
        <f>IF(NOT(ISNUMBER($M633)),"",$M633*CARBON_FRACTION_ROOT/1000)</f>
        <v/>
      </c>
      <c r="O633" s="11">
        <f>IF(AND($A633="",$B633="",$G633=""),"",IF(AND($B633&lt;&gt;"",COUNTIFS('2. Soil Data'!$B$5:$B$604,$B633)=0),"Core ID not found in Soil Data, so the corer diameter cannot be looked up. ","")&amp;IF(ASH_CORRECTED&lt;&gt;"Yes","Root mass is NOT ash-corrected, so it includes adhering mineral soil and is too high. Set ASH_CORRECTED once you have done it. ","")&amp;IF(AND(ASH_CORRECTED="Yes",NOT(ISNUMBER($H633))),"Ash correction is switched on but no ash fraction is given for this row. ","")&amp;IF($I633="","Sieve mesh not recorded — a fine-root figure cannot be interpreted without it. ","")&amp;IF(AND(ISNUMBER($H633),$H633&gt;0.5),"Ash fraction above 0.5 — over half this sample was mineral soil. Re-wash. ","")&amp;IF($F633="Not separated","Live and dead not separated. Fine for a stock, but "&amp;"note it in reporting. ",""))</f>
        <v/>
      </c>
      <c r="P633" s="6" t="n"/>
      <c r="Q633" s="9">
        <f>IF($B633="",0,IF(COUNTIFS($B$5:$B633,$B633)=1,1,0))</f>
        <v/>
      </c>
    </row>
    <row r="634">
      <c r="A634" s="6" t="n"/>
      <c r="B634" s="6" t="n"/>
      <c r="C634" s="6" t="n"/>
      <c r="D634" s="6" t="n"/>
      <c r="E634" s="6" t="n"/>
      <c r="F634" s="6" t="n"/>
      <c r="G634" s="7" t="n"/>
      <c r="H634" s="7" t="n"/>
      <c r="I634" s="6" t="n"/>
      <c r="J634" s="9">
        <f>IF(NOT(ISNUMBER($G634)),"",IF(AND(ASH_CORRECTED="Yes",ISNUMBER($H634)),$G634*(1-$H634),$G634))</f>
        <v/>
      </c>
      <c r="K634" s="9">
        <f>IF($B634="","",IFERROR(AVERAGEIFS('2. Soil Data'!$G$5:$G$604,'2. Soil Data'!$B$5:$B$604,$B634),""))</f>
        <v/>
      </c>
      <c r="L634" s="9">
        <f>IF(NOT(ISNUMBER($K634)),"",PI()*($K634/2)^2)</f>
        <v/>
      </c>
      <c r="M634" s="9">
        <f>IF(OR(NOT(ISNUMBER($J634)),NOT(ISNUMBER($L634)),$L634=0),"",$J634/$L634*10000)</f>
        <v/>
      </c>
      <c r="N634" s="9">
        <f>IF(NOT(ISNUMBER($M634)),"",$M634*CARBON_FRACTION_ROOT/1000)</f>
        <v/>
      </c>
      <c r="O634" s="11">
        <f>IF(AND($A634="",$B634="",$G634=""),"",IF(AND($B634&lt;&gt;"",COUNTIFS('2. Soil Data'!$B$5:$B$604,$B634)=0),"Core ID not found in Soil Data, so the corer diameter cannot be looked up. ","")&amp;IF(ASH_CORRECTED&lt;&gt;"Yes","Root mass is NOT ash-corrected, so it includes adhering mineral soil and is too high. Set ASH_CORRECTED once you have done it. ","")&amp;IF(AND(ASH_CORRECTED="Yes",NOT(ISNUMBER($H634))),"Ash correction is switched on but no ash fraction is given for this row. ","")&amp;IF($I634="","Sieve mesh not recorded — a fine-root figure cannot be interpreted without it. ","")&amp;IF(AND(ISNUMBER($H634),$H634&gt;0.5),"Ash fraction above 0.5 — over half this sample was mineral soil. Re-wash. ","")&amp;IF($F634="Not separated","Live and dead not separated. Fine for a stock, but "&amp;"note it in reporting. ",""))</f>
        <v/>
      </c>
      <c r="P634" s="6" t="n"/>
      <c r="Q634" s="9">
        <f>IF($B634="",0,IF(COUNTIFS($B$5:$B634,$B634)=1,1,0))</f>
        <v/>
      </c>
    </row>
    <row r="635">
      <c r="A635" s="6" t="n"/>
      <c r="B635" s="6" t="n"/>
      <c r="C635" s="6" t="n"/>
      <c r="D635" s="6" t="n"/>
      <c r="E635" s="6" t="n"/>
      <c r="F635" s="6" t="n"/>
      <c r="G635" s="7" t="n"/>
      <c r="H635" s="7" t="n"/>
      <c r="I635" s="6" t="n"/>
      <c r="J635" s="9">
        <f>IF(NOT(ISNUMBER($G635)),"",IF(AND(ASH_CORRECTED="Yes",ISNUMBER($H635)),$G635*(1-$H635),$G635))</f>
        <v/>
      </c>
      <c r="K635" s="9">
        <f>IF($B635="","",IFERROR(AVERAGEIFS('2. Soil Data'!$G$5:$G$604,'2. Soil Data'!$B$5:$B$604,$B635),""))</f>
        <v/>
      </c>
      <c r="L635" s="9">
        <f>IF(NOT(ISNUMBER($K635)),"",PI()*($K635/2)^2)</f>
        <v/>
      </c>
      <c r="M635" s="9">
        <f>IF(OR(NOT(ISNUMBER($J635)),NOT(ISNUMBER($L635)),$L635=0),"",$J635/$L635*10000)</f>
        <v/>
      </c>
      <c r="N635" s="9">
        <f>IF(NOT(ISNUMBER($M635)),"",$M635*CARBON_FRACTION_ROOT/1000)</f>
        <v/>
      </c>
      <c r="O635" s="11">
        <f>IF(AND($A635="",$B635="",$G635=""),"",IF(AND($B635&lt;&gt;"",COUNTIFS('2. Soil Data'!$B$5:$B$604,$B635)=0),"Core ID not found in Soil Data, so the corer diameter cannot be looked up. ","")&amp;IF(ASH_CORRECTED&lt;&gt;"Yes","Root mass is NOT ash-corrected, so it includes adhering mineral soil and is too high. Set ASH_CORRECTED once you have done it. ","")&amp;IF(AND(ASH_CORRECTED="Yes",NOT(ISNUMBER($H635))),"Ash correction is switched on but no ash fraction is given for this row. ","")&amp;IF($I635="","Sieve mesh not recorded — a fine-root figure cannot be interpreted without it. ","")&amp;IF(AND(ISNUMBER($H635),$H635&gt;0.5),"Ash fraction above 0.5 — over half this sample was mineral soil. Re-wash. ","")&amp;IF($F635="Not separated","Live and dead not separated. Fine for a stock, but "&amp;"note it in reporting. ",""))</f>
        <v/>
      </c>
      <c r="P635" s="6" t="n"/>
      <c r="Q635" s="9">
        <f>IF($B635="",0,IF(COUNTIFS($B$5:$B635,$B635)=1,1,0))</f>
        <v/>
      </c>
    </row>
    <row r="636">
      <c r="A636" s="6" t="n"/>
      <c r="B636" s="6" t="n"/>
      <c r="C636" s="6" t="n"/>
      <c r="D636" s="6" t="n"/>
      <c r="E636" s="6" t="n"/>
      <c r="F636" s="6" t="n"/>
      <c r="G636" s="7" t="n"/>
      <c r="H636" s="7" t="n"/>
      <c r="I636" s="6" t="n"/>
      <c r="J636" s="9">
        <f>IF(NOT(ISNUMBER($G636)),"",IF(AND(ASH_CORRECTED="Yes",ISNUMBER($H636)),$G636*(1-$H636),$G636))</f>
        <v/>
      </c>
      <c r="K636" s="9">
        <f>IF($B636="","",IFERROR(AVERAGEIFS('2. Soil Data'!$G$5:$G$604,'2. Soil Data'!$B$5:$B$604,$B636),""))</f>
        <v/>
      </c>
      <c r="L636" s="9">
        <f>IF(NOT(ISNUMBER($K636)),"",PI()*($K636/2)^2)</f>
        <v/>
      </c>
      <c r="M636" s="9">
        <f>IF(OR(NOT(ISNUMBER($J636)),NOT(ISNUMBER($L636)),$L636=0),"",$J636/$L636*10000)</f>
        <v/>
      </c>
      <c r="N636" s="9">
        <f>IF(NOT(ISNUMBER($M636)),"",$M636*CARBON_FRACTION_ROOT/1000)</f>
        <v/>
      </c>
      <c r="O636" s="11">
        <f>IF(AND($A636="",$B636="",$G636=""),"",IF(AND($B636&lt;&gt;"",COUNTIFS('2. Soil Data'!$B$5:$B$604,$B636)=0),"Core ID not found in Soil Data, so the corer diameter cannot be looked up. ","")&amp;IF(ASH_CORRECTED&lt;&gt;"Yes","Root mass is NOT ash-corrected, so it includes adhering mineral soil and is too high. Set ASH_CORRECTED once you have done it. ","")&amp;IF(AND(ASH_CORRECTED="Yes",NOT(ISNUMBER($H636))),"Ash correction is switched on but no ash fraction is given for this row. ","")&amp;IF($I636="","Sieve mesh not recorded — a fine-root figure cannot be interpreted without it. ","")&amp;IF(AND(ISNUMBER($H636),$H636&gt;0.5),"Ash fraction above 0.5 — over half this sample was mineral soil. Re-wash. ","")&amp;IF($F636="Not separated","Live and dead not separated. Fine for a stock, but "&amp;"note it in reporting. ",""))</f>
        <v/>
      </c>
      <c r="P636" s="6" t="n"/>
      <c r="Q636" s="9">
        <f>IF($B636="",0,IF(COUNTIFS($B$5:$B636,$B636)=1,1,0))</f>
        <v/>
      </c>
    </row>
    <row r="637">
      <c r="A637" s="6" t="n"/>
      <c r="B637" s="6" t="n"/>
      <c r="C637" s="6" t="n"/>
      <c r="D637" s="6" t="n"/>
      <c r="E637" s="6" t="n"/>
      <c r="F637" s="6" t="n"/>
      <c r="G637" s="7" t="n"/>
      <c r="H637" s="7" t="n"/>
      <c r="I637" s="6" t="n"/>
      <c r="J637" s="9">
        <f>IF(NOT(ISNUMBER($G637)),"",IF(AND(ASH_CORRECTED="Yes",ISNUMBER($H637)),$G637*(1-$H637),$G637))</f>
        <v/>
      </c>
      <c r="K637" s="9">
        <f>IF($B637="","",IFERROR(AVERAGEIFS('2. Soil Data'!$G$5:$G$604,'2. Soil Data'!$B$5:$B$604,$B637),""))</f>
        <v/>
      </c>
      <c r="L637" s="9">
        <f>IF(NOT(ISNUMBER($K637)),"",PI()*($K637/2)^2)</f>
        <v/>
      </c>
      <c r="M637" s="9">
        <f>IF(OR(NOT(ISNUMBER($J637)),NOT(ISNUMBER($L637)),$L637=0),"",$J637/$L637*10000)</f>
        <v/>
      </c>
      <c r="N637" s="9">
        <f>IF(NOT(ISNUMBER($M637)),"",$M637*CARBON_FRACTION_ROOT/1000)</f>
        <v/>
      </c>
      <c r="O637" s="11">
        <f>IF(AND($A637="",$B637="",$G637=""),"",IF(AND($B637&lt;&gt;"",COUNTIFS('2. Soil Data'!$B$5:$B$604,$B637)=0),"Core ID not found in Soil Data, so the corer diameter cannot be looked up. ","")&amp;IF(ASH_CORRECTED&lt;&gt;"Yes","Root mass is NOT ash-corrected, so it includes adhering mineral soil and is too high. Set ASH_CORRECTED once you have done it. ","")&amp;IF(AND(ASH_CORRECTED="Yes",NOT(ISNUMBER($H637))),"Ash correction is switched on but no ash fraction is given for this row. ","")&amp;IF($I637="","Sieve mesh not recorded — a fine-root figure cannot be interpreted without it. ","")&amp;IF(AND(ISNUMBER($H637),$H637&gt;0.5),"Ash fraction above 0.5 — over half this sample was mineral soil. Re-wash. ","")&amp;IF($F637="Not separated","Live and dead not separated. Fine for a stock, but "&amp;"note it in reporting. ",""))</f>
        <v/>
      </c>
      <c r="P637" s="6" t="n"/>
      <c r="Q637" s="9">
        <f>IF($B637="",0,IF(COUNTIFS($B$5:$B637,$B637)=1,1,0))</f>
        <v/>
      </c>
    </row>
    <row r="638">
      <c r="A638" s="6" t="n"/>
      <c r="B638" s="6" t="n"/>
      <c r="C638" s="6" t="n"/>
      <c r="D638" s="6" t="n"/>
      <c r="E638" s="6" t="n"/>
      <c r="F638" s="6" t="n"/>
      <c r="G638" s="7" t="n"/>
      <c r="H638" s="7" t="n"/>
      <c r="I638" s="6" t="n"/>
      <c r="J638" s="9">
        <f>IF(NOT(ISNUMBER($G638)),"",IF(AND(ASH_CORRECTED="Yes",ISNUMBER($H638)),$G638*(1-$H638),$G638))</f>
        <v/>
      </c>
      <c r="K638" s="9">
        <f>IF($B638="","",IFERROR(AVERAGEIFS('2. Soil Data'!$G$5:$G$604,'2. Soil Data'!$B$5:$B$604,$B638),""))</f>
        <v/>
      </c>
      <c r="L638" s="9">
        <f>IF(NOT(ISNUMBER($K638)),"",PI()*($K638/2)^2)</f>
        <v/>
      </c>
      <c r="M638" s="9">
        <f>IF(OR(NOT(ISNUMBER($J638)),NOT(ISNUMBER($L638)),$L638=0),"",$J638/$L638*10000)</f>
        <v/>
      </c>
      <c r="N638" s="9">
        <f>IF(NOT(ISNUMBER($M638)),"",$M638*CARBON_FRACTION_ROOT/1000)</f>
        <v/>
      </c>
      <c r="O638" s="11">
        <f>IF(AND($A638="",$B638="",$G638=""),"",IF(AND($B638&lt;&gt;"",COUNTIFS('2. Soil Data'!$B$5:$B$604,$B638)=0),"Core ID not found in Soil Data, so the corer diameter cannot be looked up. ","")&amp;IF(ASH_CORRECTED&lt;&gt;"Yes","Root mass is NOT ash-corrected, so it includes adhering mineral soil and is too high. Set ASH_CORRECTED once you have done it. ","")&amp;IF(AND(ASH_CORRECTED="Yes",NOT(ISNUMBER($H638))),"Ash correction is switched on but no ash fraction is given for this row. ","")&amp;IF($I638="","Sieve mesh not recorded — a fine-root figure cannot be interpreted without it. ","")&amp;IF(AND(ISNUMBER($H638),$H638&gt;0.5),"Ash fraction above 0.5 — over half this sample was mineral soil. Re-wash. ","")&amp;IF($F638="Not separated","Live and dead not separated. Fine for a stock, but "&amp;"note it in reporting. ",""))</f>
        <v/>
      </c>
      <c r="P638" s="6" t="n"/>
      <c r="Q638" s="9">
        <f>IF($B638="",0,IF(COUNTIFS($B$5:$B638,$B638)=1,1,0))</f>
        <v/>
      </c>
    </row>
    <row r="639">
      <c r="A639" s="6" t="n"/>
      <c r="B639" s="6" t="n"/>
      <c r="C639" s="6" t="n"/>
      <c r="D639" s="6" t="n"/>
      <c r="E639" s="6" t="n"/>
      <c r="F639" s="6" t="n"/>
      <c r="G639" s="7" t="n"/>
      <c r="H639" s="7" t="n"/>
      <c r="I639" s="6" t="n"/>
      <c r="J639" s="9">
        <f>IF(NOT(ISNUMBER($G639)),"",IF(AND(ASH_CORRECTED="Yes",ISNUMBER($H639)),$G639*(1-$H639),$G639))</f>
        <v/>
      </c>
      <c r="K639" s="9">
        <f>IF($B639="","",IFERROR(AVERAGEIFS('2. Soil Data'!$G$5:$G$604,'2. Soil Data'!$B$5:$B$604,$B639),""))</f>
        <v/>
      </c>
      <c r="L639" s="9">
        <f>IF(NOT(ISNUMBER($K639)),"",PI()*($K639/2)^2)</f>
        <v/>
      </c>
      <c r="M639" s="9">
        <f>IF(OR(NOT(ISNUMBER($J639)),NOT(ISNUMBER($L639)),$L639=0),"",$J639/$L639*10000)</f>
        <v/>
      </c>
      <c r="N639" s="9">
        <f>IF(NOT(ISNUMBER($M639)),"",$M639*CARBON_FRACTION_ROOT/1000)</f>
        <v/>
      </c>
      <c r="O639" s="11">
        <f>IF(AND($A639="",$B639="",$G639=""),"",IF(AND($B639&lt;&gt;"",COUNTIFS('2. Soil Data'!$B$5:$B$604,$B639)=0),"Core ID not found in Soil Data, so the corer diameter cannot be looked up. ","")&amp;IF(ASH_CORRECTED&lt;&gt;"Yes","Root mass is NOT ash-corrected, so it includes adhering mineral soil and is too high. Set ASH_CORRECTED once you have done it. ","")&amp;IF(AND(ASH_CORRECTED="Yes",NOT(ISNUMBER($H639))),"Ash correction is switched on but no ash fraction is given for this row. ","")&amp;IF($I639="","Sieve mesh not recorded — a fine-root figure cannot be interpreted without it. ","")&amp;IF(AND(ISNUMBER($H639),$H639&gt;0.5),"Ash fraction above 0.5 — over half this sample was mineral soil. Re-wash. ","")&amp;IF($F639="Not separated","Live and dead not separated. Fine for a stock, but "&amp;"note it in reporting. ",""))</f>
        <v/>
      </c>
      <c r="P639" s="6" t="n"/>
      <c r="Q639" s="9">
        <f>IF($B639="",0,IF(COUNTIFS($B$5:$B639,$B639)=1,1,0))</f>
        <v/>
      </c>
    </row>
    <row r="640">
      <c r="A640" s="6" t="n"/>
      <c r="B640" s="6" t="n"/>
      <c r="C640" s="6" t="n"/>
      <c r="D640" s="6" t="n"/>
      <c r="E640" s="6" t="n"/>
      <c r="F640" s="6" t="n"/>
      <c r="G640" s="7" t="n"/>
      <c r="H640" s="7" t="n"/>
      <c r="I640" s="6" t="n"/>
      <c r="J640" s="9">
        <f>IF(NOT(ISNUMBER($G640)),"",IF(AND(ASH_CORRECTED="Yes",ISNUMBER($H640)),$G640*(1-$H640),$G640))</f>
        <v/>
      </c>
      <c r="K640" s="9">
        <f>IF($B640="","",IFERROR(AVERAGEIFS('2. Soil Data'!$G$5:$G$604,'2. Soil Data'!$B$5:$B$604,$B640),""))</f>
        <v/>
      </c>
      <c r="L640" s="9">
        <f>IF(NOT(ISNUMBER($K640)),"",PI()*($K640/2)^2)</f>
        <v/>
      </c>
      <c r="M640" s="9">
        <f>IF(OR(NOT(ISNUMBER($J640)),NOT(ISNUMBER($L640)),$L640=0),"",$J640/$L640*10000)</f>
        <v/>
      </c>
      <c r="N640" s="9">
        <f>IF(NOT(ISNUMBER($M640)),"",$M640*CARBON_FRACTION_ROOT/1000)</f>
        <v/>
      </c>
      <c r="O640" s="11">
        <f>IF(AND($A640="",$B640="",$G640=""),"",IF(AND($B640&lt;&gt;"",COUNTIFS('2. Soil Data'!$B$5:$B$604,$B640)=0),"Core ID not found in Soil Data, so the corer diameter cannot be looked up. ","")&amp;IF(ASH_CORRECTED&lt;&gt;"Yes","Root mass is NOT ash-corrected, so it includes adhering mineral soil and is too high. Set ASH_CORRECTED once you have done it. ","")&amp;IF(AND(ASH_CORRECTED="Yes",NOT(ISNUMBER($H640))),"Ash correction is switched on but no ash fraction is given for this row. ","")&amp;IF($I640="","Sieve mesh not recorded — a fine-root figure cannot be interpreted without it. ","")&amp;IF(AND(ISNUMBER($H640),$H640&gt;0.5),"Ash fraction above 0.5 — over half this sample was mineral soil. Re-wash. ","")&amp;IF($F640="Not separated","Live and dead not separated. Fine for a stock, but "&amp;"note it in reporting. ",""))</f>
        <v/>
      </c>
      <c r="P640" s="6" t="n"/>
      <c r="Q640" s="9">
        <f>IF($B640="",0,IF(COUNTIFS($B$5:$B640,$B640)=1,1,0))</f>
        <v/>
      </c>
    </row>
    <row r="641">
      <c r="A641" s="6" t="n"/>
      <c r="B641" s="6" t="n"/>
      <c r="C641" s="6" t="n"/>
      <c r="D641" s="6" t="n"/>
      <c r="E641" s="6" t="n"/>
      <c r="F641" s="6" t="n"/>
      <c r="G641" s="7" t="n"/>
      <c r="H641" s="7" t="n"/>
      <c r="I641" s="6" t="n"/>
      <c r="J641" s="9">
        <f>IF(NOT(ISNUMBER($G641)),"",IF(AND(ASH_CORRECTED="Yes",ISNUMBER($H641)),$G641*(1-$H641),$G641))</f>
        <v/>
      </c>
      <c r="K641" s="9">
        <f>IF($B641="","",IFERROR(AVERAGEIFS('2. Soil Data'!$G$5:$G$604,'2. Soil Data'!$B$5:$B$604,$B641),""))</f>
        <v/>
      </c>
      <c r="L641" s="9">
        <f>IF(NOT(ISNUMBER($K641)),"",PI()*($K641/2)^2)</f>
        <v/>
      </c>
      <c r="M641" s="9">
        <f>IF(OR(NOT(ISNUMBER($J641)),NOT(ISNUMBER($L641)),$L641=0),"",$J641/$L641*10000)</f>
        <v/>
      </c>
      <c r="N641" s="9">
        <f>IF(NOT(ISNUMBER($M641)),"",$M641*CARBON_FRACTION_ROOT/1000)</f>
        <v/>
      </c>
      <c r="O641" s="11">
        <f>IF(AND($A641="",$B641="",$G641=""),"",IF(AND($B641&lt;&gt;"",COUNTIFS('2. Soil Data'!$B$5:$B$604,$B641)=0),"Core ID not found in Soil Data, so the corer diameter cannot be looked up. ","")&amp;IF(ASH_CORRECTED&lt;&gt;"Yes","Root mass is NOT ash-corrected, so it includes adhering mineral soil and is too high. Set ASH_CORRECTED once you have done it. ","")&amp;IF(AND(ASH_CORRECTED="Yes",NOT(ISNUMBER($H641))),"Ash correction is switched on but no ash fraction is given for this row. ","")&amp;IF($I641="","Sieve mesh not recorded — a fine-root figure cannot be interpreted without it. ","")&amp;IF(AND(ISNUMBER($H641),$H641&gt;0.5),"Ash fraction above 0.5 — over half this sample was mineral soil. Re-wash. ","")&amp;IF($F641="Not separated","Live and dead not separated. Fine for a stock, but "&amp;"note it in reporting. ",""))</f>
        <v/>
      </c>
      <c r="P641" s="6" t="n"/>
      <c r="Q641" s="9">
        <f>IF($B641="",0,IF(COUNTIFS($B$5:$B641,$B641)=1,1,0))</f>
        <v/>
      </c>
    </row>
    <row r="642">
      <c r="A642" s="6" t="n"/>
      <c r="B642" s="6" t="n"/>
      <c r="C642" s="6" t="n"/>
      <c r="D642" s="6" t="n"/>
      <c r="E642" s="6" t="n"/>
      <c r="F642" s="6" t="n"/>
      <c r="G642" s="7" t="n"/>
      <c r="H642" s="7" t="n"/>
      <c r="I642" s="6" t="n"/>
      <c r="J642" s="9">
        <f>IF(NOT(ISNUMBER($G642)),"",IF(AND(ASH_CORRECTED="Yes",ISNUMBER($H642)),$G642*(1-$H642),$G642))</f>
        <v/>
      </c>
      <c r="K642" s="9">
        <f>IF($B642="","",IFERROR(AVERAGEIFS('2. Soil Data'!$G$5:$G$604,'2. Soil Data'!$B$5:$B$604,$B642),""))</f>
        <v/>
      </c>
      <c r="L642" s="9">
        <f>IF(NOT(ISNUMBER($K642)),"",PI()*($K642/2)^2)</f>
        <v/>
      </c>
      <c r="M642" s="9">
        <f>IF(OR(NOT(ISNUMBER($J642)),NOT(ISNUMBER($L642)),$L642=0),"",$J642/$L642*10000)</f>
        <v/>
      </c>
      <c r="N642" s="9">
        <f>IF(NOT(ISNUMBER($M642)),"",$M642*CARBON_FRACTION_ROOT/1000)</f>
        <v/>
      </c>
      <c r="O642" s="11">
        <f>IF(AND($A642="",$B642="",$G642=""),"",IF(AND($B642&lt;&gt;"",COUNTIFS('2. Soil Data'!$B$5:$B$604,$B642)=0),"Core ID not found in Soil Data, so the corer diameter cannot be looked up. ","")&amp;IF(ASH_CORRECTED&lt;&gt;"Yes","Root mass is NOT ash-corrected, so it includes adhering mineral soil and is too high. Set ASH_CORRECTED once you have done it. ","")&amp;IF(AND(ASH_CORRECTED="Yes",NOT(ISNUMBER($H642))),"Ash correction is switched on but no ash fraction is given for this row. ","")&amp;IF($I642="","Sieve mesh not recorded — a fine-root figure cannot be interpreted without it. ","")&amp;IF(AND(ISNUMBER($H642),$H642&gt;0.5),"Ash fraction above 0.5 — over half this sample was mineral soil. Re-wash. ","")&amp;IF($F642="Not separated","Live and dead not separated. Fine for a stock, but "&amp;"note it in reporting. ",""))</f>
        <v/>
      </c>
      <c r="P642" s="6" t="n"/>
      <c r="Q642" s="9">
        <f>IF($B642="",0,IF(COUNTIFS($B$5:$B642,$B642)=1,1,0))</f>
        <v/>
      </c>
    </row>
    <row r="643">
      <c r="A643" s="6" t="n"/>
      <c r="B643" s="6" t="n"/>
      <c r="C643" s="6" t="n"/>
      <c r="D643" s="6" t="n"/>
      <c r="E643" s="6" t="n"/>
      <c r="F643" s="6" t="n"/>
      <c r="G643" s="7" t="n"/>
      <c r="H643" s="7" t="n"/>
      <c r="I643" s="6" t="n"/>
      <c r="J643" s="9">
        <f>IF(NOT(ISNUMBER($G643)),"",IF(AND(ASH_CORRECTED="Yes",ISNUMBER($H643)),$G643*(1-$H643),$G643))</f>
        <v/>
      </c>
      <c r="K643" s="9">
        <f>IF($B643="","",IFERROR(AVERAGEIFS('2. Soil Data'!$G$5:$G$604,'2. Soil Data'!$B$5:$B$604,$B643),""))</f>
        <v/>
      </c>
      <c r="L643" s="9">
        <f>IF(NOT(ISNUMBER($K643)),"",PI()*($K643/2)^2)</f>
        <v/>
      </c>
      <c r="M643" s="9">
        <f>IF(OR(NOT(ISNUMBER($J643)),NOT(ISNUMBER($L643)),$L643=0),"",$J643/$L643*10000)</f>
        <v/>
      </c>
      <c r="N643" s="9">
        <f>IF(NOT(ISNUMBER($M643)),"",$M643*CARBON_FRACTION_ROOT/1000)</f>
        <v/>
      </c>
      <c r="O643" s="11">
        <f>IF(AND($A643="",$B643="",$G643=""),"",IF(AND($B643&lt;&gt;"",COUNTIFS('2. Soil Data'!$B$5:$B$604,$B643)=0),"Core ID not found in Soil Data, so the corer diameter cannot be looked up. ","")&amp;IF(ASH_CORRECTED&lt;&gt;"Yes","Root mass is NOT ash-corrected, so it includes adhering mineral soil and is too high. Set ASH_CORRECTED once you have done it. ","")&amp;IF(AND(ASH_CORRECTED="Yes",NOT(ISNUMBER($H643))),"Ash correction is switched on but no ash fraction is given for this row. ","")&amp;IF($I643="","Sieve mesh not recorded — a fine-root figure cannot be interpreted without it. ","")&amp;IF(AND(ISNUMBER($H643),$H643&gt;0.5),"Ash fraction above 0.5 — over half this sample was mineral soil. Re-wash. ","")&amp;IF($F643="Not separated","Live and dead not separated. Fine for a stock, but "&amp;"note it in reporting. ",""))</f>
        <v/>
      </c>
      <c r="P643" s="6" t="n"/>
      <c r="Q643" s="9">
        <f>IF($B643="",0,IF(COUNTIFS($B$5:$B643,$B643)=1,1,0))</f>
        <v/>
      </c>
    </row>
    <row r="644">
      <c r="A644" s="6" t="n"/>
      <c r="B644" s="6" t="n"/>
      <c r="C644" s="6" t="n"/>
      <c r="D644" s="6" t="n"/>
      <c r="E644" s="6" t="n"/>
      <c r="F644" s="6" t="n"/>
      <c r="G644" s="7" t="n"/>
      <c r="H644" s="7" t="n"/>
      <c r="I644" s="6" t="n"/>
      <c r="J644" s="9">
        <f>IF(NOT(ISNUMBER($G644)),"",IF(AND(ASH_CORRECTED="Yes",ISNUMBER($H644)),$G644*(1-$H644),$G644))</f>
        <v/>
      </c>
      <c r="K644" s="9">
        <f>IF($B644="","",IFERROR(AVERAGEIFS('2. Soil Data'!$G$5:$G$604,'2. Soil Data'!$B$5:$B$604,$B644),""))</f>
        <v/>
      </c>
      <c r="L644" s="9">
        <f>IF(NOT(ISNUMBER($K644)),"",PI()*($K644/2)^2)</f>
        <v/>
      </c>
      <c r="M644" s="9">
        <f>IF(OR(NOT(ISNUMBER($J644)),NOT(ISNUMBER($L644)),$L644=0),"",$J644/$L644*10000)</f>
        <v/>
      </c>
      <c r="N644" s="9">
        <f>IF(NOT(ISNUMBER($M644)),"",$M644*CARBON_FRACTION_ROOT/1000)</f>
        <v/>
      </c>
      <c r="O644" s="11">
        <f>IF(AND($A644="",$B644="",$G644=""),"",IF(AND($B644&lt;&gt;"",COUNTIFS('2. Soil Data'!$B$5:$B$604,$B644)=0),"Core ID not found in Soil Data, so the corer diameter cannot be looked up. ","")&amp;IF(ASH_CORRECTED&lt;&gt;"Yes","Root mass is NOT ash-corrected, so it includes adhering mineral soil and is too high. Set ASH_CORRECTED once you have done it. ","")&amp;IF(AND(ASH_CORRECTED="Yes",NOT(ISNUMBER($H644))),"Ash correction is switched on but no ash fraction is given for this row. ","")&amp;IF($I644="","Sieve mesh not recorded — a fine-root figure cannot be interpreted without it. ","")&amp;IF(AND(ISNUMBER($H644),$H644&gt;0.5),"Ash fraction above 0.5 — over half this sample was mineral soil. Re-wash. ","")&amp;IF($F644="Not separated","Live and dead not separated. Fine for a stock, but "&amp;"note it in reporting. ",""))</f>
        <v/>
      </c>
      <c r="P644" s="6" t="n"/>
      <c r="Q644" s="9">
        <f>IF($B644="",0,IF(COUNTIFS($B$5:$B644,$B644)=1,1,0))</f>
        <v/>
      </c>
    </row>
    <row r="645">
      <c r="A645" s="6" t="n"/>
      <c r="B645" s="6" t="n"/>
      <c r="C645" s="6" t="n"/>
      <c r="D645" s="6" t="n"/>
      <c r="E645" s="6" t="n"/>
      <c r="F645" s="6" t="n"/>
      <c r="G645" s="7" t="n"/>
      <c r="H645" s="7" t="n"/>
      <c r="I645" s="6" t="n"/>
      <c r="J645" s="9">
        <f>IF(NOT(ISNUMBER($G645)),"",IF(AND(ASH_CORRECTED="Yes",ISNUMBER($H645)),$G645*(1-$H645),$G645))</f>
        <v/>
      </c>
      <c r="K645" s="9">
        <f>IF($B645="","",IFERROR(AVERAGEIFS('2. Soil Data'!$G$5:$G$604,'2. Soil Data'!$B$5:$B$604,$B645),""))</f>
        <v/>
      </c>
      <c r="L645" s="9">
        <f>IF(NOT(ISNUMBER($K645)),"",PI()*($K645/2)^2)</f>
        <v/>
      </c>
      <c r="M645" s="9">
        <f>IF(OR(NOT(ISNUMBER($J645)),NOT(ISNUMBER($L645)),$L645=0),"",$J645/$L645*10000)</f>
        <v/>
      </c>
      <c r="N645" s="9">
        <f>IF(NOT(ISNUMBER($M645)),"",$M645*CARBON_FRACTION_ROOT/1000)</f>
        <v/>
      </c>
      <c r="O645" s="11">
        <f>IF(AND($A645="",$B645="",$G645=""),"",IF(AND($B645&lt;&gt;"",COUNTIFS('2. Soil Data'!$B$5:$B$604,$B645)=0),"Core ID not found in Soil Data, so the corer diameter cannot be looked up. ","")&amp;IF(ASH_CORRECTED&lt;&gt;"Yes","Root mass is NOT ash-corrected, so it includes adhering mineral soil and is too high. Set ASH_CORRECTED once you have done it. ","")&amp;IF(AND(ASH_CORRECTED="Yes",NOT(ISNUMBER($H645))),"Ash correction is switched on but no ash fraction is given for this row. ","")&amp;IF($I645="","Sieve mesh not recorded — a fine-root figure cannot be interpreted without it. ","")&amp;IF(AND(ISNUMBER($H645),$H645&gt;0.5),"Ash fraction above 0.5 — over half this sample was mineral soil. Re-wash. ","")&amp;IF($F645="Not separated","Live and dead not separated. Fine for a stock, but "&amp;"note it in reporting. ",""))</f>
        <v/>
      </c>
      <c r="P645" s="6" t="n"/>
      <c r="Q645" s="9">
        <f>IF($B645="",0,IF(COUNTIFS($B$5:$B645,$B645)=1,1,0))</f>
        <v/>
      </c>
    </row>
    <row r="646">
      <c r="A646" s="6" t="n"/>
      <c r="B646" s="6" t="n"/>
      <c r="C646" s="6" t="n"/>
      <c r="D646" s="6" t="n"/>
      <c r="E646" s="6" t="n"/>
      <c r="F646" s="6" t="n"/>
      <c r="G646" s="7" t="n"/>
      <c r="H646" s="7" t="n"/>
      <c r="I646" s="6" t="n"/>
      <c r="J646" s="9">
        <f>IF(NOT(ISNUMBER($G646)),"",IF(AND(ASH_CORRECTED="Yes",ISNUMBER($H646)),$G646*(1-$H646),$G646))</f>
        <v/>
      </c>
      <c r="K646" s="9">
        <f>IF($B646="","",IFERROR(AVERAGEIFS('2. Soil Data'!$G$5:$G$604,'2. Soil Data'!$B$5:$B$604,$B646),""))</f>
        <v/>
      </c>
      <c r="L646" s="9">
        <f>IF(NOT(ISNUMBER($K646)),"",PI()*($K646/2)^2)</f>
        <v/>
      </c>
      <c r="M646" s="9">
        <f>IF(OR(NOT(ISNUMBER($J646)),NOT(ISNUMBER($L646)),$L646=0),"",$J646/$L646*10000)</f>
        <v/>
      </c>
      <c r="N646" s="9">
        <f>IF(NOT(ISNUMBER($M646)),"",$M646*CARBON_FRACTION_ROOT/1000)</f>
        <v/>
      </c>
      <c r="O646" s="11">
        <f>IF(AND($A646="",$B646="",$G646=""),"",IF(AND($B646&lt;&gt;"",COUNTIFS('2. Soil Data'!$B$5:$B$604,$B646)=0),"Core ID not found in Soil Data, so the corer diameter cannot be looked up. ","")&amp;IF(ASH_CORRECTED&lt;&gt;"Yes","Root mass is NOT ash-corrected, so it includes adhering mineral soil and is too high. Set ASH_CORRECTED once you have done it. ","")&amp;IF(AND(ASH_CORRECTED="Yes",NOT(ISNUMBER($H646))),"Ash correction is switched on but no ash fraction is given for this row. ","")&amp;IF($I646="","Sieve mesh not recorded — a fine-root figure cannot be interpreted without it. ","")&amp;IF(AND(ISNUMBER($H646),$H646&gt;0.5),"Ash fraction above 0.5 — over half this sample was mineral soil. Re-wash. ","")&amp;IF($F646="Not separated","Live and dead not separated. Fine for a stock, but "&amp;"note it in reporting. ",""))</f>
        <v/>
      </c>
      <c r="P646" s="6" t="n"/>
      <c r="Q646" s="9">
        <f>IF($B646="",0,IF(COUNTIFS($B$5:$B646,$B646)=1,1,0))</f>
        <v/>
      </c>
    </row>
    <row r="647">
      <c r="A647" s="6" t="n"/>
      <c r="B647" s="6" t="n"/>
      <c r="C647" s="6" t="n"/>
      <c r="D647" s="6" t="n"/>
      <c r="E647" s="6" t="n"/>
      <c r="F647" s="6" t="n"/>
      <c r="G647" s="7" t="n"/>
      <c r="H647" s="7" t="n"/>
      <c r="I647" s="6" t="n"/>
      <c r="J647" s="9">
        <f>IF(NOT(ISNUMBER($G647)),"",IF(AND(ASH_CORRECTED="Yes",ISNUMBER($H647)),$G647*(1-$H647),$G647))</f>
        <v/>
      </c>
      <c r="K647" s="9">
        <f>IF($B647="","",IFERROR(AVERAGEIFS('2. Soil Data'!$G$5:$G$604,'2. Soil Data'!$B$5:$B$604,$B647),""))</f>
        <v/>
      </c>
      <c r="L647" s="9">
        <f>IF(NOT(ISNUMBER($K647)),"",PI()*($K647/2)^2)</f>
        <v/>
      </c>
      <c r="M647" s="9">
        <f>IF(OR(NOT(ISNUMBER($J647)),NOT(ISNUMBER($L647)),$L647=0),"",$J647/$L647*10000)</f>
        <v/>
      </c>
      <c r="N647" s="9">
        <f>IF(NOT(ISNUMBER($M647)),"",$M647*CARBON_FRACTION_ROOT/1000)</f>
        <v/>
      </c>
      <c r="O647" s="11">
        <f>IF(AND($A647="",$B647="",$G647=""),"",IF(AND($B647&lt;&gt;"",COUNTIFS('2. Soil Data'!$B$5:$B$604,$B647)=0),"Core ID not found in Soil Data, so the corer diameter cannot be looked up. ","")&amp;IF(ASH_CORRECTED&lt;&gt;"Yes","Root mass is NOT ash-corrected, so it includes adhering mineral soil and is too high. Set ASH_CORRECTED once you have done it. ","")&amp;IF(AND(ASH_CORRECTED="Yes",NOT(ISNUMBER($H647))),"Ash correction is switched on but no ash fraction is given for this row. ","")&amp;IF($I647="","Sieve mesh not recorded — a fine-root figure cannot be interpreted without it. ","")&amp;IF(AND(ISNUMBER($H647),$H647&gt;0.5),"Ash fraction above 0.5 — over half this sample was mineral soil. Re-wash. ","")&amp;IF($F647="Not separated","Live and dead not separated. Fine for a stock, but "&amp;"note it in reporting. ",""))</f>
        <v/>
      </c>
      <c r="P647" s="6" t="n"/>
      <c r="Q647" s="9">
        <f>IF($B647="",0,IF(COUNTIFS($B$5:$B647,$B647)=1,1,0))</f>
        <v/>
      </c>
    </row>
    <row r="648">
      <c r="A648" s="6" t="n"/>
      <c r="B648" s="6" t="n"/>
      <c r="C648" s="6" t="n"/>
      <c r="D648" s="6" t="n"/>
      <c r="E648" s="6" t="n"/>
      <c r="F648" s="6" t="n"/>
      <c r="G648" s="7" t="n"/>
      <c r="H648" s="7" t="n"/>
      <c r="I648" s="6" t="n"/>
      <c r="J648" s="9">
        <f>IF(NOT(ISNUMBER($G648)),"",IF(AND(ASH_CORRECTED="Yes",ISNUMBER($H648)),$G648*(1-$H648),$G648))</f>
        <v/>
      </c>
      <c r="K648" s="9">
        <f>IF($B648="","",IFERROR(AVERAGEIFS('2. Soil Data'!$G$5:$G$604,'2. Soil Data'!$B$5:$B$604,$B648),""))</f>
        <v/>
      </c>
      <c r="L648" s="9">
        <f>IF(NOT(ISNUMBER($K648)),"",PI()*($K648/2)^2)</f>
        <v/>
      </c>
      <c r="M648" s="9">
        <f>IF(OR(NOT(ISNUMBER($J648)),NOT(ISNUMBER($L648)),$L648=0),"",$J648/$L648*10000)</f>
        <v/>
      </c>
      <c r="N648" s="9">
        <f>IF(NOT(ISNUMBER($M648)),"",$M648*CARBON_FRACTION_ROOT/1000)</f>
        <v/>
      </c>
      <c r="O648" s="11">
        <f>IF(AND($A648="",$B648="",$G648=""),"",IF(AND($B648&lt;&gt;"",COUNTIFS('2. Soil Data'!$B$5:$B$604,$B648)=0),"Core ID not found in Soil Data, so the corer diameter cannot be looked up. ","")&amp;IF(ASH_CORRECTED&lt;&gt;"Yes","Root mass is NOT ash-corrected, so it includes adhering mineral soil and is too high. Set ASH_CORRECTED once you have done it. ","")&amp;IF(AND(ASH_CORRECTED="Yes",NOT(ISNUMBER($H648))),"Ash correction is switched on but no ash fraction is given for this row. ","")&amp;IF($I648="","Sieve mesh not recorded — a fine-root figure cannot be interpreted without it. ","")&amp;IF(AND(ISNUMBER($H648),$H648&gt;0.5),"Ash fraction above 0.5 — over half this sample was mineral soil. Re-wash. ","")&amp;IF($F648="Not separated","Live and dead not separated. Fine for a stock, but "&amp;"note it in reporting. ",""))</f>
        <v/>
      </c>
      <c r="P648" s="6" t="n"/>
      <c r="Q648" s="9">
        <f>IF($B648="",0,IF(COUNTIFS($B$5:$B648,$B648)=1,1,0))</f>
        <v/>
      </c>
    </row>
    <row r="649">
      <c r="A649" s="6" t="n"/>
      <c r="B649" s="6" t="n"/>
      <c r="C649" s="6" t="n"/>
      <c r="D649" s="6" t="n"/>
      <c r="E649" s="6" t="n"/>
      <c r="F649" s="6" t="n"/>
      <c r="G649" s="7" t="n"/>
      <c r="H649" s="7" t="n"/>
      <c r="I649" s="6" t="n"/>
      <c r="J649" s="9">
        <f>IF(NOT(ISNUMBER($G649)),"",IF(AND(ASH_CORRECTED="Yes",ISNUMBER($H649)),$G649*(1-$H649),$G649))</f>
        <v/>
      </c>
      <c r="K649" s="9">
        <f>IF($B649="","",IFERROR(AVERAGEIFS('2. Soil Data'!$G$5:$G$604,'2. Soil Data'!$B$5:$B$604,$B649),""))</f>
        <v/>
      </c>
      <c r="L649" s="9">
        <f>IF(NOT(ISNUMBER($K649)),"",PI()*($K649/2)^2)</f>
        <v/>
      </c>
      <c r="M649" s="9">
        <f>IF(OR(NOT(ISNUMBER($J649)),NOT(ISNUMBER($L649)),$L649=0),"",$J649/$L649*10000)</f>
        <v/>
      </c>
      <c r="N649" s="9">
        <f>IF(NOT(ISNUMBER($M649)),"",$M649*CARBON_FRACTION_ROOT/1000)</f>
        <v/>
      </c>
      <c r="O649" s="11">
        <f>IF(AND($A649="",$B649="",$G649=""),"",IF(AND($B649&lt;&gt;"",COUNTIFS('2. Soil Data'!$B$5:$B$604,$B649)=0),"Core ID not found in Soil Data, so the corer diameter cannot be looked up. ","")&amp;IF(ASH_CORRECTED&lt;&gt;"Yes","Root mass is NOT ash-corrected, so it includes adhering mineral soil and is too high. Set ASH_CORRECTED once you have done it. ","")&amp;IF(AND(ASH_CORRECTED="Yes",NOT(ISNUMBER($H649))),"Ash correction is switched on but no ash fraction is given for this row. ","")&amp;IF($I649="","Sieve mesh not recorded — a fine-root figure cannot be interpreted without it. ","")&amp;IF(AND(ISNUMBER($H649),$H649&gt;0.5),"Ash fraction above 0.5 — over half this sample was mineral soil. Re-wash. ","")&amp;IF($F649="Not separated","Live and dead not separated. Fine for a stock, but "&amp;"note it in reporting. ",""))</f>
        <v/>
      </c>
      <c r="P649" s="6" t="n"/>
      <c r="Q649" s="9">
        <f>IF($B649="",0,IF(COUNTIFS($B$5:$B649,$B649)=1,1,0))</f>
        <v/>
      </c>
    </row>
    <row r="650">
      <c r="A650" s="6" t="n"/>
      <c r="B650" s="6" t="n"/>
      <c r="C650" s="6" t="n"/>
      <c r="D650" s="6" t="n"/>
      <c r="E650" s="6" t="n"/>
      <c r="F650" s="6" t="n"/>
      <c r="G650" s="7" t="n"/>
      <c r="H650" s="7" t="n"/>
      <c r="I650" s="6" t="n"/>
      <c r="J650" s="9">
        <f>IF(NOT(ISNUMBER($G650)),"",IF(AND(ASH_CORRECTED="Yes",ISNUMBER($H650)),$G650*(1-$H650),$G650))</f>
        <v/>
      </c>
      <c r="K650" s="9">
        <f>IF($B650="","",IFERROR(AVERAGEIFS('2. Soil Data'!$G$5:$G$604,'2. Soil Data'!$B$5:$B$604,$B650),""))</f>
        <v/>
      </c>
      <c r="L650" s="9">
        <f>IF(NOT(ISNUMBER($K650)),"",PI()*($K650/2)^2)</f>
        <v/>
      </c>
      <c r="M650" s="9">
        <f>IF(OR(NOT(ISNUMBER($J650)),NOT(ISNUMBER($L650)),$L650=0),"",$J650/$L650*10000)</f>
        <v/>
      </c>
      <c r="N650" s="9">
        <f>IF(NOT(ISNUMBER($M650)),"",$M650*CARBON_FRACTION_ROOT/1000)</f>
        <v/>
      </c>
      <c r="O650" s="11">
        <f>IF(AND($A650="",$B650="",$G650=""),"",IF(AND($B650&lt;&gt;"",COUNTIFS('2. Soil Data'!$B$5:$B$604,$B650)=0),"Core ID not found in Soil Data, so the corer diameter cannot be looked up. ","")&amp;IF(ASH_CORRECTED&lt;&gt;"Yes","Root mass is NOT ash-corrected, so it includes adhering mineral soil and is too high. Set ASH_CORRECTED once you have done it. ","")&amp;IF(AND(ASH_CORRECTED="Yes",NOT(ISNUMBER($H650))),"Ash correction is switched on but no ash fraction is given for this row. ","")&amp;IF($I650="","Sieve mesh not recorded — a fine-root figure cannot be interpreted without it. ","")&amp;IF(AND(ISNUMBER($H650),$H650&gt;0.5),"Ash fraction above 0.5 — over half this sample was mineral soil. Re-wash. ","")&amp;IF($F650="Not separated","Live and dead not separated. Fine for a stock, but "&amp;"note it in reporting. ",""))</f>
        <v/>
      </c>
      <c r="P650" s="6" t="n"/>
      <c r="Q650" s="9">
        <f>IF($B650="",0,IF(COUNTIFS($B$5:$B650,$B650)=1,1,0))</f>
        <v/>
      </c>
    </row>
    <row r="651">
      <c r="A651" s="6" t="n"/>
      <c r="B651" s="6" t="n"/>
      <c r="C651" s="6" t="n"/>
      <c r="D651" s="6" t="n"/>
      <c r="E651" s="6" t="n"/>
      <c r="F651" s="6" t="n"/>
      <c r="G651" s="7" t="n"/>
      <c r="H651" s="7" t="n"/>
      <c r="I651" s="6" t="n"/>
      <c r="J651" s="9">
        <f>IF(NOT(ISNUMBER($G651)),"",IF(AND(ASH_CORRECTED="Yes",ISNUMBER($H651)),$G651*(1-$H651),$G651))</f>
        <v/>
      </c>
      <c r="K651" s="9">
        <f>IF($B651="","",IFERROR(AVERAGEIFS('2. Soil Data'!$G$5:$G$604,'2. Soil Data'!$B$5:$B$604,$B651),""))</f>
        <v/>
      </c>
      <c r="L651" s="9">
        <f>IF(NOT(ISNUMBER($K651)),"",PI()*($K651/2)^2)</f>
        <v/>
      </c>
      <c r="M651" s="9">
        <f>IF(OR(NOT(ISNUMBER($J651)),NOT(ISNUMBER($L651)),$L651=0),"",$J651/$L651*10000)</f>
        <v/>
      </c>
      <c r="N651" s="9">
        <f>IF(NOT(ISNUMBER($M651)),"",$M651*CARBON_FRACTION_ROOT/1000)</f>
        <v/>
      </c>
      <c r="O651" s="11">
        <f>IF(AND($A651="",$B651="",$G651=""),"",IF(AND($B651&lt;&gt;"",COUNTIFS('2. Soil Data'!$B$5:$B$604,$B651)=0),"Core ID not found in Soil Data, so the corer diameter cannot be looked up. ","")&amp;IF(ASH_CORRECTED&lt;&gt;"Yes","Root mass is NOT ash-corrected, so it includes adhering mineral soil and is too high. Set ASH_CORRECTED once you have done it. ","")&amp;IF(AND(ASH_CORRECTED="Yes",NOT(ISNUMBER($H651))),"Ash correction is switched on but no ash fraction is given for this row. ","")&amp;IF($I651="","Sieve mesh not recorded — a fine-root figure cannot be interpreted without it. ","")&amp;IF(AND(ISNUMBER($H651),$H651&gt;0.5),"Ash fraction above 0.5 — over half this sample was mineral soil. Re-wash. ","")&amp;IF($F651="Not separated","Live and dead not separated. Fine for a stock, but "&amp;"note it in reporting. ",""))</f>
        <v/>
      </c>
      <c r="P651" s="6" t="n"/>
      <c r="Q651" s="9">
        <f>IF($B651="",0,IF(COUNTIFS($B$5:$B651,$B651)=1,1,0))</f>
        <v/>
      </c>
    </row>
    <row r="652">
      <c r="A652" s="6" t="n"/>
      <c r="B652" s="6" t="n"/>
      <c r="C652" s="6" t="n"/>
      <c r="D652" s="6" t="n"/>
      <c r="E652" s="6" t="n"/>
      <c r="F652" s="6" t="n"/>
      <c r="G652" s="7" t="n"/>
      <c r="H652" s="7" t="n"/>
      <c r="I652" s="6" t="n"/>
      <c r="J652" s="9">
        <f>IF(NOT(ISNUMBER($G652)),"",IF(AND(ASH_CORRECTED="Yes",ISNUMBER($H652)),$G652*(1-$H652),$G652))</f>
        <v/>
      </c>
      <c r="K652" s="9">
        <f>IF($B652="","",IFERROR(AVERAGEIFS('2. Soil Data'!$G$5:$G$604,'2. Soil Data'!$B$5:$B$604,$B652),""))</f>
        <v/>
      </c>
      <c r="L652" s="9">
        <f>IF(NOT(ISNUMBER($K652)),"",PI()*($K652/2)^2)</f>
        <v/>
      </c>
      <c r="M652" s="9">
        <f>IF(OR(NOT(ISNUMBER($J652)),NOT(ISNUMBER($L652)),$L652=0),"",$J652/$L652*10000)</f>
        <v/>
      </c>
      <c r="N652" s="9">
        <f>IF(NOT(ISNUMBER($M652)),"",$M652*CARBON_FRACTION_ROOT/1000)</f>
        <v/>
      </c>
      <c r="O652" s="11">
        <f>IF(AND($A652="",$B652="",$G652=""),"",IF(AND($B652&lt;&gt;"",COUNTIFS('2. Soil Data'!$B$5:$B$604,$B652)=0),"Core ID not found in Soil Data, so the corer diameter cannot be looked up. ","")&amp;IF(ASH_CORRECTED&lt;&gt;"Yes","Root mass is NOT ash-corrected, so it includes adhering mineral soil and is too high. Set ASH_CORRECTED once you have done it. ","")&amp;IF(AND(ASH_CORRECTED="Yes",NOT(ISNUMBER($H652))),"Ash correction is switched on but no ash fraction is given for this row. ","")&amp;IF($I652="","Sieve mesh not recorded — a fine-root figure cannot be interpreted without it. ","")&amp;IF(AND(ISNUMBER($H652),$H652&gt;0.5),"Ash fraction above 0.5 — over half this sample was mineral soil. Re-wash. ","")&amp;IF($F652="Not separated","Live and dead not separated. Fine for a stock, but "&amp;"note it in reporting. ",""))</f>
        <v/>
      </c>
      <c r="P652" s="6" t="n"/>
      <c r="Q652" s="9">
        <f>IF($B652="",0,IF(COUNTIFS($B$5:$B652,$B652)=1,1,0))</f>
        <v/>
      </c>
    </row>
    <row r="653">
      <c r="A653" s="6" t="n"/>
      <c r="B653" s="6" t="n"/>
      <c r="C653" s="6" t="n"/>
      <c r="D653" s="6" t="n"/>
      <c r="E653" s="6" t="n"/>
      <c r="F653" s="6" t="n"/>
      <c r="G653" s="7" t="n"/>
      <c r="H653" s="7" t="n"/>
      <c r="I653" s="6" t="n"/>
      <c r="J653" s="9">
        <f>IF(NOT(ISNUMBER($G653)),"",IF(AND(ASH_CORRECTED="Yes",ISNUMBER($H653)),$G653*(1-$H653),$G653))</f>
        <v/>
      </c>
      <c r="K653" s="9">
        <f>IF($B653="","",IFERROR(AVERAGEIFS('2. Soil Data'!$G$5:$G$604,'2. Soil Data'!$B$5:$B$604,$B653),""))</f>
        <v/>
      </c>
      <c r="L653" s="9">
        <f>IF(NOT(ISNUMBER($K653)),"",PI()*($K653/2)^2)</f>
        <v/>
      </c>
      <c r="M653" s="9">
        <f>IF(OR(NOT(ISNUMBER($J653)),NOT(ISNUMBER($L653)),$L653=0),"",$J653/$L653*10000)</f>
        <v/>
      </c>
      <c r="N653" s="9">
        <f>IF(NOT(ISNUMBER($M653)),"",$M653*CARBON_FRACTION_ROOT/1000)</f>
        <v/>
      </c>
      <c r="O653" s="11">
        <f>IF(AND($A653="",$B653="",$G653=""),"",IF(AND($B653&lt;&gt;"",COUNTIFS('2. Soil Data'!$B$5:$B$604,$B653)=0),"Core ID not found in Soil Data, so the corer diameter cannot be looked up. ","")&amp;IF(ASH_CORRECTED&lt;&gt;"Yes","Root mass is NOT ash-corrected, so it includes adhering mineral soil and is too high. Set ASH_CORRECTED once you have done it. ","")&amp;IF(AND(ASH_CORRECTED="Yes",NOT(ISNUMBER($H653))),"Ash correction is switched on but no ash fraction is given for this row. ","")&amp;IF($I653="","Sieve mesh not recorded — a fine-root figure cannot be interpreted without it. ","")&amp;IF(AND(ISNUMBER($H653),$H653&gt;0.5),"Ash fraction above 0.5 — over half this sample was mineral soil. Re-wash. ","")&amp;IF($F653="Not separated","Live and dead not separated. Fine for a stock, but "&amp;"note it in reporting. ",""))</f>
        <v/>
      </c>
      <c r="P653" s="6" t="n"/>
      <c r="Q653" s="9">
        <f>IF($B653="",0,IF(COUNTIFS($B$5:$B653,$B653)=1,1,0))</f>
        <v/>
      </c>
    </row>
    <row r="654">
      <c r="A654" s="6" t="n"/>
      <c r="B654" s="6" t="n"/>
      <c r="C654" s="6" t="n"/>
      <c r="D654" s="6" t="n"/>
      <c r="E654" s="6" t="n"/>
      <c r="F654" s="6" t="n"/>
      <c r="G654" s="7" t="n"/>
      <c r="H654" s="7" t="n"/>
      <c r="I654" s="6" t="n"/>
      <c r="J654" s="9">
        <f>IF(NOT(ISNUMBER($G654)),"",IF(AND(ASH_CORRECTED="Yes",ISNUMBER($H654)),$G654*(1-$H654),$G654))</f>
        <v/>
      </c>
      <c r="K654" s="9">
        <f>IF($B654="","",IFERROR(AVERAGEIFS('2. Soil Data'!$G$5:$G$604,'2. Soil Data'!$B$5:$B$604,$B654),""))</f>
        <v/>
      </c>
      <c r="L654" s="9">
        <f>IF(NOT(ISNUMBER($K654)),"",PI()*($K654/2)^2)</f>
        <v/>
      </c>
      <c r="M654" s="9">
        <f>IF(OR(NOT(ISNUMBER($J654)),NOT(ISNUMBER($L654)),$L654=0),"",$J654/$L654*10000)</f>
        <v/>
      </c>
      <c r="N654" s="9">
        <f>IF(NOT(ISNUMBER($M654)),"",$M654*CARBON_FRACTION_ROOT/1000)</f>
        <v/>
      </c>
      <c r="O654" s="11">
        <f>IF(AND($A654="",$B654="",$G654=""),"",IF(AND($B654&lt;&gt;"",COUNTIFS('2. Soil Data'!$B$5:$B$604,$B654)=0),"Core ID not found in Soil Data, so the corer diameter cannot be looked up. ","")&amp;IF(ASH_CORRECTED&lt;&gt;"Yes","Root mass is NOT ash-corrected, so it includes adhering mineral soil and is too high. Set ASH_CORRECTED once you have done it. ","")&amp;IF(AND(ASH_CORRECTED="Yes",NOT(ISNUMBER($H654))),"Ash correction is switched on but no ash fraction is given for this row. ","")&amp;IF($I654="","Sieve mesh not recorded — a fine-root figure cannot be interpreted without it. ","")&amp;IF(AND(ISNUMBER($H654),$H654&gt;0.5),"Ash fraction above 0.5 — over half this sample was mineral soil. Re-wash. ","")&amp;IF($F654="Not separated","Live and dead not separated. Fine for a stock, but "&amp;"note it in reporting. ",""))</f>
        <v/>
      </c>
      <c r="P654" s="6" t="n"/>
      <c r="Q654" s="9">
        <f>IF($B654="",0,IF(COUNTIFS($B$5:$B654,$B654)=1,1,0))</f>
        <v/>
      </c>
    </row>
    <row r="655">
      <c r="A655" s="6" t="n"/>
      <c r="B655" s="6" t="n"/>
      <c r="C655" s="6" t="n"/>
      <c r="D655" s="6" t="n"/>
      <c r="E655" s="6" t="n"/>
      <c r="F655" s="6" t="n"/>
      <c r="G655" s="7" t="n"/>
      <c r="H655" s="7" t="n"/>
      <c r="I655" s="6" t="n"/>
      <c r="J655" s="9">
        <f>IF(NOT(ISNUMBER($G655)),"",IF(AND(ASH_CORRECTED="Yes",ISNUMBER($H655)),$G655*(1-$H655),$G655))</f>
        <v/>
      </c>
      <c r="K655" s="9">
        <f>IF($B655="","",IFERROR(AVERAGEIFS('2. Soil Data'!$G$5:$G$604,'2. Soil Data'!$B$5:$B$604,$B655),""))</f>
        <v/>
      </c>
      <c r="L655" s="9">
        <f>IF(NOT(ISNUMBER($K655)),"",PI()*($K655/2)^2)</f>
        <v/>
      </c>
      <c r="M655" s="9">
        <f>IF(OR(NOT(ISNUMBER($J655)),NOT(ISNUMBER($L655)),$L655=0),"",$J655/$L655*10000)</f>
        <v/>
      </c>
      <c r="N655" s="9">
        <f>IF(NOT(ISNUMBER($M655)),"",$M655*CARBON_FRACTION_ROOT/1000)</f>
        <v/>
      </c>
      <c r="O655" s="11">
        <f>IF(AND($A655="",$B655="",$G655=""),"",IF(AND($B655&lt;&gt;"",COUNTIFS('2. Soil Data'!$B$5:$B$604,$B655)=0),"Core ID not found in Soil Data, so the corer diameter cannot be looked up. ","")&amp;IF(ASH_CORRECTED&lt;&gt;"Yes","Root mass is NOT ash-corrected, so it includes adhering mineral soil and is too high. Set ASH_CORRECTED once you have done it. ","")&amp;IF(AND(ASH_CORRECTED="Yes",NOT(ISNUMBER($H655))),"Ash correction is switched on but no ash fraction is given for this row. ","")&amp;IF($I655="","Sieve mesh not recorded — a fine-root figure cannot be interpreted without it. ","")&amp;IF(AND(ISNUMBER($H655),$H655&gt;0.5),"Ash fraction above 0.5 — over half this sample was mineral soil. Re-wash. ","")&amp;IF($F655="Not separated","Live and dead not separated. Fine for a stock, but "&amp;"note it in reporting. ",""))</f>
        <v/>
      </c>
      <c r="P655" s="6" t="n"/>
      <c r="Q655" s="9">
        <f>IF($B655="",0,IF(COUNTIFS($B$5:$B655,$B655)=1,1,0))</f>
        <v/>
      </c>
    </row>
    <row r="656">
      <c r="A656" s="6" t="n"/>
      <c r="B656" s="6" t="n"/>
      <c r="C656" s="6" t="n"/>
      <c r="D656" s="6" t="n"/>
      <c r="E656" s="6" t="n"/>
      <c r="F656" s="6" t="n"/>
      <c r="G656" s="7" t="n"/>
      <c r="H656" s="7" t="n"/>
      <c r="I656" s="6" t="n"/>
      <c r="J656" s="9">
        <f>IF(NOT(ISNUMBER($G656)),"",IF(AND(ASH_CORRECTED="Yes",ISNUMBER($H656)),$G656*(1-$H656),$G656))</f>
        <v/>
      </c>
      <c r="K656" s="9">
        <f>IF($B656="","",IFERROR(AVERAGEIFS('2. Soil Data'!$G$5:$G$604,'2. Soil Data'!$B$5:$B$604,$B656),""))</f>
        <v/>
      </c>
      <c r="L656" s="9">
        <f>IF(NOT(ISNUMBER($K656)),"",PI()*($K656/2)^2)</f>
        <v/>
      </c>
      <c r="M656" s="9">
        <f>IF(OR(NOT(ISNUMBER($J656)),NOT(ISNUMBER($L656)),$L656=0),"",$J656/$L656*10000)</f>
        <v/>
      </c>
      <c r="N656" s="9">
        <f>IF(NOT(ISNUMBER($M656)),"",$M656*CARBON_FRACTION_ROOT/1000)</f>
        <v/>
      </c>
      <c r="O656" s="11">
        <f>IF(AND($A656="",$B656="",$G656=""),"",IF(AND($B656&lt;&gt;"",COUNTIFS('2. Soil Data'!$B$5:$B$604,$B656)=0),"Core ID not found in Soil Data, so the corer diameter cannot be looked up. ","")&amp;IF(ASH_CORRECTED&lt;&gt;"Yes","Root mass is NOT ash-corrected, so it includes adhering mineral soil and is too high. Set ASH_CORRECTED once you have done it. ","")&amp;IF(AND(ASH_CORRECTED="Yes",NOT(ISNUMBER($H656))),"Ash correction is switched on but no ash fraction is given for this row. ","")&amp;IF($I656="","Sieve mesh not recorded — a fine-root figure cannot be interpreted without it. ","")&amp;IF(AND(ISNUMBER($H656),$H656&gt;0.5),"Ash fraction above 0.5 — over half this sample was mineral soil. Re-wash. ","")&amp;IF($F656="Not separated","Live and dead not separated. Fine for a stock, but "&amp;"note it in reporting. ",""))</f>
        <v/>
      </c>
      <c r="P656" s="6" t="n"/>
      <c r="Q656" s="9">
        <f>IF($B656="",0,IF(COUNTIFS($B$5:$B656,$B656)=1,1,0))</f>
        <v/>
      </c>
    </row>
    <row r="657">
      <c r="A657" s="6" t="n"/>
      <c r="B657" s="6" t="n"/>
      <c r="C657" s="6" t="n"/>
      <c r="D657" s="6" t="n"/>
      <c r="E657" s="6" t="n"/>
      <c r="F657" s="6" t="n"/>
      <c r="G657" s="7" t="n"/>
      <c r="H657" s="7" t="n"/>
      <c r="I657" s="6" t="n"/>
      <c r="J657" s="9">
        <f>IF(NOT(ISNUMBER($G657)),"",IF(AND(ASH_CORRECTED="Yes",ISNUMBER($H657)),$G657*(1-$H657),$G657))</f>
        <v/>
      </c>
      <c r="K657" s="9">
        <f>IF($B657="","",IFERROR(AVERAGEIFS('2. Soil Data'!$G$5:$G$604,'2. Soil Data'!$B$5:$B$604,$B657),""))</f>
        <v/>
      </c>
      <c r="L657" s="9">
        <f>IF(NOT(ISNUMBER($K657)),"",PI()*($K657/2)^2)</f>
        <v/>
      </c>
      <c r="M657" s="9">
        <f>IF(OR(NOT(ISNUMBER($J657)),NOT(ISNUMBER($L657)),$L657=0),"",$J657/$L657*10000)</f>
        <v/>
      </c>
      <c r="N657" s="9">
        <f>IF(NOT(ISNUMBER($M657)),"",$M657*CARBON_FRACTION_ROOT/1000)</f>
        <v/>
      </c>
      <c r="O657" s="11">
        <f>IF(AND($A657="",$B657="",$G657=""),"",IF(AND($B657&lt;&gt;"",COUNTIFS('2. Soil Data'!$B$5:$B$604,$B657)=0),"Core ID not found in Soil Data, so the corer diameter cannot be looked up. ","")&amp;IF(ASH_CORRECTED&lt;&gt;"Yes","Root mass is NOT ash-corrected, so it includes adhering mineral soil and is too high. Set ASH_CORRECTED once you have done it. ","")&amp;IF(AND(ASH_CORRECTED="Yes",NOT(ISNUMBER($H657))),"Ash correction is switched on but no ash fraction is given for this row. ","")&amp;IF($I657="","Sieve mesh not recorded — a fine-root figure cannot be interpreted without it. ","")&amp;IF(AND(ISNUMBER($H657),$H657&gt;0.5),"Ash fraction above 0.5 — over half this sample was mineral soil. Re-wash. ","")&amp;IF($F657="Not separated","Live and dead not separated. Fine for a stock, but "&amp;"note it in reporting. ",""))</f>
        <v/>
      </c>
      <c r="P657" s="6" t="n"/>
      <c r="Q657" s="9">
        <f>IF($B657="",0,IF(COUNTIFS($B$5:$B657,$B657)=1,1,0))</f>
        <v/>
      </c>
    </row>
    <row r="658">
      <c r="A658" s="6" t="n"/>
      <c r="B658" s="6" t="n"/>
      <c r="C658" s="6" t="n"/>
      <c r="D658" s="6" t="n"/>
      <c r="E658" s="6" t="n"/>
      <c r="F658" s="6" t="n"/>
      <c r="G658" s="7" t="n"/>
      <c r="H658" s="7" t="n"/>
      <c r="I658" s="6" t="n"/>
      <c r="J658" s="9">
        <f>IF(NOT(ISNUMBER($G658)),"",IF(AND(ASH_CORRECTED="Yes",ISNUMBER($H658)),$G658*(1-$H658),$G658))</f>
        <v/>
      </c>
      <c r="K658" s="9">
        <f>IF($B658="","",IFERROR(AVERAGEIFS('2. Soil Data'!$G$5:$G$604,'2. Soil Data'!$B$5:$B$604,$B658),""))</f>
        <v/>
      </c>
      <c r="L658" s="9">
        <f>IF(NOT(ISNUMBER($K658)),"",PI()*($K658/2)^2)</f>
        <v/>
      </c>
      <c r="M658" s="9">
        <f>IF(OR(NOT(ISNUMBER($J658)),NOT(ISNUMBER($L658)),$L658=0),"",$J658/$L658*10000)</f>
        <v/>
      </c>
      <c r="N658" s="9">
        <f>IF(NOT(ISNUMBER($M658)),"",$M658*CARBON_FRACTION_ROOT/1000)</f>
        <v/>
      </c>
      <c r="O658" s="11">
        <f>IF(AND($A658="",$B658="",$G658=""),"",IF(AND($B658&lt;&gt;"",COUNTIFS('2. Soil Data'!$B$5:$B$604,$B658)=0),"Core ID not found in Soil Data, so the corer diameter cannot be looked up. ","")&amp;IF(ASH_CORRECTED&lt;&gt;"Yes","Root mass is NOT ash-corrected, so it includes adhering mineral soil and is too high. Set ASH_CORRECTED once you have done it. ","")&amp;IF(AND(ASH_CORRECTED="Yes",NOT(ISNUMBER($H658))),"Ash correction is switched on but no ash fraction is given for this row. ","")&amp;IF($I658="","Sieve mesh not recorded — a fine-root figure cannot be interpreted without it. ","")&amp;IF(AND(ISNUMBER($H658),$H658&gt;0.5),"Ash fraction above 0.5 — over half this sample was mineral soil. Re-wash. ","")&amp;IF($F658="Not separated","Live and dead not separated. Fine for a stock, but "&amp;"note it in reporting. ",""))</f>
        <v/>
      </c>
      <c r="P658" s="6" t="n"/>
      <c r="Q658" s="9">
        <f>IF($B658="",0,IF(COUNTIFS($B$5:$B658,$B658)=1,1,0))</f>
        <v/>
      </c>
    </row>
    <row r="659">
      <c r="A659" s="6" t="n"/>
      <c r="B659" s="6" t="n"/>
      <c r="C659" s="6" t="n"/>
      <c r="D659" s="6" t="n"/>
      <c r="E659" s="6" t="n"/>
      <c r="F659" s="6" t="n"/>
      <c r="G659" s="7" t="n"/>
      <c r="H659" s="7" t="n"/>
      <c r="I659" s="6" t="n"/>
      <c r="J659" s="9">
        <f>IF(NOT(ISNUMBER($G659)),"",IF(AND(ASH_CORRECTED="Yes",ISNUMBER($H659)),$G659*(1-$H659),$G659))</f>
        <v/>
      </c>
      <c r="K659" s="9">
        <f>IF($B659="","",IFERROR(AVERAGEIFS('2. Soil Data'!$G$5:$G$604,'2. Soil Data'!$B$5:$B$604,$B659),""))</f>
        <v/>
      </c>
      <c r="L659" s="9">
        <f>IF(NOT(ISNUMBER($K659)),"",PI()*($K659/2)^2)</f>
        <v/>
      </c>
      <c r="M659" s="9">
        <f>IF(OR(NOT(ISNUMBER($J659)),NOT(ISNUMBER($L659)),$L659=0),"",$J659/$L659*10000)</f>
        <v/>
      </c>
      <c r="N659" s="9">
        <f>IF(NOT(ISNUMBER($M659)),"",$M659*CARBON_FRACTION_ROOT/1000)</f>
        <v/>
      </c>
      <c r="O659" s="11">
        <f>IF(AND($A659="",$B659="",$G659=""),"",IF(AND($B659&lt;&gt;"",COUNTIFS('2. Soil Data'!$B$5:$B$604,$B659)=0),"Core ID not found in Soil Data, so the corer diameter cannot be looked up. ","")&amp;IF(ASH_CORRECTED&lt;&gt;"Yes","Root mass is NOT ash-corrected, so it includes adhering mineral soil and is too high. Set ASH_CORRECTED once you have done it. ","")&amp;IF(AND(ASH_CORRECTED="Yes",NOT(ISNUMBER($H659))),"Ash correction is switched on but no ash fraction is given for this row. ","")&amp;IF($I659="","Sieve mesh not recorded — a fine-root figure cannot be interpreted without it. ","")&amp;IF(AND(ISNUMBER($H659),$H659&gt;0.5),"Ash fraction above 0.5 — over half this sample was mineral soil. Re-wash. ","")&amp;IF($F659="Not separated","Live and dead not separated. Fine for a stock, but "&amp;"note it in reporting. ",""))</f>
        <v/>
      </c>
      <c r="P659" s="6" t="n"/>
      <c r="Q659" s="9">
        <f>IF($B659="",0,IF(COUNTIFS($B$5:$B659,$B659)=1,1,0))</f>
        <v/>
      </c>
    </row>
    <row r="660">
      <c r="A660" s="6" t="n"/>
      <c r="B660" s="6" t="n"/>
      <c r="C660" s="6" t="n"/>
      <c r="D660" s="6" t="n"/>
      <c r="E660" s="6" t="n"/>
      <c r="F660" s="6" t="n"/>
      <c r="G660" s="7" t="n"/>
      <c r="H660" s="7" t="n"/>
      <c r="I660" s="6" t="n"/>
      <c r="J660" s="9">
        <f>IF(NOT(ISNUMBER($G660)),"",IF(AND(ASH_CORRECTED="Yes",ISNUMBER($H660)),$G660*(1-$H660),$G660))</f>
        <v/>
      </c>
      <c r="K660" s="9">
        <f>IF($B660="","",IFERROR(AVERAGEIFS('2. Soil Data'!$G$5:$G$604,'2. Soil Data'!$B$5:$B$604,$B660),""))</f>
        <v/>
      </c>
      <c r="L660" s="9">
        <f>IF(NOT(ISNUMBER($K660)),"",PI()*($K660/2)^2)</f>
        <v/>
      </c>
      <c r="M660" s="9">
        <f>IF(OR(NOT(ISNUMBER($J660)),NOT(ISNUMBER($L660)),$L660=0),"",$J660/$L660*10000)</f>
        <v/>
      </c>
      <c r="N660" s="9">
        <f>IF(NOT(ISNUMBER($M660)),"",$M660*CARBON_FRACTION_ROOT/1000)</f>
        <v/>
      </c>
      <c r="O660" s="11">
        <f>IF(AND($A660="",$B660="",$G660=""),"",IF(AND($B660&lt;&gt;"",COUNTIFS('2. Soil Data'!$B$5:$B$604,$B660)=0),"Core ID not found in Soil Data, so the corer diameter cannot be looked up. ","")&amp;IF(ASH_CORRECTED&lt;&gt;"Yes","Root mass is NOT ash-corrected, so it includes adhering mineral soil and is too high. Set ASH_CORRECTED once you have done it. ","")&amp;IF(AND(ASH_CORRECTED="Yes",NOT(ISNUMBER($H660))),"Ash correction is switched on but no ash fraction is given for this row. ","")&amp;IF($I660="","Sieve mesh not recorded — a fine-root figure cannot be interpreted without it. ","")&amp;IF(AND(ISNUMBER($H660),$H660&gt;0.5),"Ash fraction above 0.5 — over half this sample was mineral soil. Re-wash. ","")&amp;IF($F660="Not separated","Live and dead not separated. Fine for a stock, but "&amp;"note it in reporting. ",""))</f>
        <v/>
      </c>
      <c r="P660" s="6" t="n"/>
      <c r="Q660" s="9">
        <f>IF($B660="",0,IF(COUNTIFS($B$5:$B660,$B660)=1,1,0))</f>
        <v/>
      </c>
    </row>
    <row r="661">
      <c r="A661" s="6" t="n"/>
      <c r="B661" s="6" t="n"/>
      <c r="C661" s="6" t="n"/>
      <c r="D661" s="6" t="n"/>
      <c r="E661" s="6" t="n"/>
      <c r="F661" s="6" t="n"/>
      <c r="G661" s="7" t="n"/>
      <c r="H661" s="7" t="n"/>
      <c r="I661" s="6" t="n"/>
      <c r="J661" s="9">
        <f>IF(NOT(ISNUMBER($G661)),"",IF(AND(ASH_CORRECTED="Yes",ISNUMBER($H661)),$G661*(1-$H661),$G661))</f>
        <v/>
      </c>
      <c r="K661" s="9">
        <f>IF($B661="","",IFERROR(AVERAGEIFS('2. Soil Data'!$G$5:$G$604,'2. Soil Data'!$B$5:$B$604,$B661),""))</f>
        <v/>
      </c>
      <c r="L661" s="9">
        <f>IF(NOT(ISNUMBER($K661)),"",PI()*($K661/2)^2)</f>
        <v/>
      </c>
      <c r="M661" s="9">
        <f>IF(OR(NOT(ISNUMBER($J661)),NOT(ISNUMBER($L661)),$L661=0),"",$J661/$L661*10000)</f>
        <v/>
      </c>
      <c r="N661" s="9">
        <f>IF(NOT(ISNUMBER($M661)),"",$M661*CARBON_FRACTION_ROOT/1000)</f>
        <v/>
      </c>
      <c r="O661" s="11">
        <f>IF(AND($A661="",$B661="",$G661=""),"",IF(AND($B661&lt;&gt;"",COUNTIFS('2. Soil Data'!$B$5:$B$604,$B661)=0),"Core ID not found in Soil Data, so the corer diameter cannot be looked up. ","")&amp;IF(ASH_CORRECTED&lt;&gt;"Yes","Root mass is NOT ash-corrected, so it includes adhering mineral soil and is too high. Set ASH_CORRECTED once you have done it. ","")&amp;IF(AND(ASH_CORRECTED="Yes",NOT(ISNUMBER($H661))),"Ash correction is switched on but no ash fraction is given for this row. ","")&amp;IF($I661="","Sieve mesh not recorded — a fine-root figure cannot be interpreted without it. ","")&amp;IF(AND(ISNUMBER($H661),$H661&gt;0.5),"Ash fraction above 0.5 — over half this sample was mineral soil. Re-wash. ","")&amp;IF($F661="Not separated","Live and dead not separated. Fine for a stock, but "&amp;"note it in reporting. ",""))</f>
        <v/>
      </c>
      <c r="P661" s="6" t="n"/>
      <c r="Q661" s="9">
        <f>IF($B661="",0,IF(COUNTIFS($B$5:$B661,$B661)=1,1,0))</f>
        <v/>
      </c>
    </row>
    <row r="662">
      <c r="A662" s="6" t="n"/>
      <c r="B662" s="6" t="n"/>
      <c r="C662" s="6" t="n"/>
      <c r="D662" s="6" t="n"/>
      <c r="E662" s="6" t="n"/>
      <c r="F662" s="6" t="n"/>
      <c r="G662" s="7" t="n"/>
      <c r="H662" s="7" t="n"/>
      <c r="I662" s="6" t="n"/>
      <c r="J662" s="9">
        <f>IF(NOT(ISNUMBER($G662)),"",IF(AND(ASH_CORRECTED="Yes",ISNUMBER($H662)),$G662*(1-$H662),$G662))</f>
        <v/>
      </c>
      <c r="K662" s="9">
        <f>IF($B662="","",IFERROR(AVERAGEIFS('2. Soil Data'!$G$5:$G$604,'2. Soil Data'!$B$5:$B$604,$B662),""))</f>
        <v/>
      </c>
      <c r="L662" s="9">
        <f>IF(NOT(ISNUMBER($K662)),"",PI()*($K662/2)^2)</f>
        <v/>
      </c>
      <c r="M662" s="9">
        <f>IF(OR(NOT(ISNUMBER($J662)),NOT(ISNUMBER($L662)),$L662=0),"",$J662/$L662*10000)</f>
        <v/>
      </c>
      <c r="N662" s="9">
        <f>IF(NOT(ISNUMBER($M662)),"",$M662*CARBON_FRACTION_ROOT/1000)</f>
        <v/>
      </c>
      <c r="O662" s="11">
        <f>IF(AND($A662="",$B662="",$G662=""),"",IF(AND($B662&lt;&gt;"",COUNTIFS('2. Soil Data'!$B$5:$B$604,$B662)=0),"Core ID not found in Soil Data, so the corer diameter cannot be looked up. ","")&amp;IF(ASH_CORRECTED&lt;&gt;"Yes","Root mass is NOT ash-corrected, so it includes adhering mineral soil and is too high. Set ASH_CORRECTED once you have done it. ","")&amp;IF(AND(ASH_CORRECTED="Yes",NOT(ISNUMBER($H662))),"Ash correction is switched on but no ash fraction is given for this row. ","")&amp;IF($I662="","Sieve mesh not recorded — a fine-root figure cannot be interpreted without it. ","")&amp;IF(AND(ISNUMBER($H662),$H662&gt;0.5),"Ash fraction above 0.5 — over half this sample was mineral soil. Re-wash. ","")&amp;IF($F662="Not separated","Live and dead not separated. Fine for a stock, but "&amp;"note it in reporting. ",""))</f>
        <v/>
      </c>
      <c r="P662" s="6" t="n"/>
      <c r="Q662" s="9">
        <f>IF($B662="",0,IF(COUNTIFS($B$5:$B662,$B662)=1,1,0))</f>
        <v/>
      </c>
    </row>
    <row r="663">
      <c r="A663" s="6" t="n"/>
      <c r="B663" s="6" t="n"/>
      <c r="C663" s="6" t="n"/>
      <c r="D663" s="6" t="n"/>
      <c r="E663" s="6" t="n"/>
      <c r="F663" s="6" t="n"/>
      <c r="G663" s="7" t="n"/>
      <c r="H663" s="7" t="n"/>
      <c r="I663" s="6" t="n"/>
      <c r="J663" s="9">
        <f>IF(NOT(ISNUMBER($G663)),"",IF(AND(ASH_CORRECTED="Yes",ISNUMBER($H663)),$G663*(1-$H663),$G663))</f>
        <v/>
      </c>
      <c r="K663" s="9">
        <f>IF($B663="","",IFERROR(AVERAGEIFS('2. Soil Data'!$G$5:$G$604,'2. Soil Data'!$B$5:$B$604,$B663),""))</f>
        <v/>
      </c>
      <c r="L663" s="9">
        <f>IF(NOT(ISNUMBER($K663)),"",PI()*($K663/2)^2)</f>
        <v/>
      </c>
      <c r="M663" s="9">
        <f>IF(OR(NOT(ISNUMBER($J663)),NOT(ISNUMBER($L663)),$L663=0),"",$J663/$L663*10000)</f>
        <v/>
      </c>
      <c r="N663" s="9">
        <f>IF(NOT(ISNUMBER($M663)),"",$M663*CARBON_FRACTION_ROOT/1000)</f>
        <v/>
      </c>
      <c r="O663" s="11">
        <f>IF(AND($A663="",$B663="",$G663=""),"",IF(AND($B663&lt;&gt;"",COUNTIFS('2. Soil Data'!$B$5:$B$604,$B663)=0),"Core ID not found in Soil Data, so the corer diameter cannot be looked up. ","")&amp;IF(ASH_CORRECTED&lt;&gt;"Yes","Root mass is NOT ash-corrected, so it includes adhering mineral soil and is too high. Set ASH_CORRECTED once you have done it. ","")&amp;IF(AND(ASH_CORRECTED="Yes",NOT(ISNUMBER($H663))),"Ash correction is switched on but no ash fraction is given for this row. ","")&amp;IF($I663="","Sieve mesh not recorded — a fine-root figure cannot be interpreted without it. ","")&amp;IF(AND(ISNUMBER($H663),$H663&gt;0.5),"Ash fraction above 0.5 — over half this sample was mineral soil. Re-wash. ","")&amp;IF($F663="Not separated","Live and dead not separated. Fine for a stock, but "&amp;"note it in reporting. ",""))</f>
        <v/>
      </c>
      <c r="P663" s="6" t="n"/>
      <c r="Q663" s="9">
        <f>IF($B663="",0,IF(COUNTIFS($B$5:$B663,$B663)=1,1,0))</f>
        <v/>
      </c>
    </row>
    <row r="664">
      <c r="A664" s="6" t="n"/>
      <c r="B664" s="6" t="n"/>
      <c r="C664" s="6" t="n"/>
      <c r="D664" s="6" t="n"/>
      <c r="E664" s="6" t="n"/>
      <c r="F664" s="6" t="n"/>
      <c r="G664" s="7" t="n"/>
      <c r="H664" s="7" t="n"/>
      <c r="I664" s="6" t="n"/>
      <c r="J664" s="9">
        <f>IF(NOT(ISNUMBER($G664)),"",IF(AND(ASH_CORRECTED="Yes",ISNUMBER($H664)),$G664*(1-$H664),$G664))</f>
        <v/>
      </c>
      <c r="K664" s="9">
        <f>IF($B664="","",IFERROR(AVERAGEIFS('2. Soil Data'!$G$5:$G$604,'2. Soil Data'!$B$5:$B$604,$B664),""))</f>
        <v/>
      </c>
      <c r="L664" s="9">
        <f>IF(NOT(ISNUMBER($K664)),"",PI()*($K664/2)^2)</f>
        <v/>
      </c>
      <c r="M664" s="9">
        <f>IF(OR(NOT(ISNUMBER($J664)),NOT(ISNUMBER($L664)),$L664=0),"",$J664/$L664*10000)</f>
        <v/>
      </c>
      <c r="N664" s="9">
        <f>IF(NOT(ISNUMBER($M664)),"",$M664*CARBON_FRACTION_ROOT/1000)</f>
        <v/>
      </c>
      <c r="O664" s="11">
        <f>IF(AND($A664="",$B664="",$G664=""),"",IF(AND($B664&lt;&gt;"",COUNTIFS('2. Soil Data'!$B$5:$B$604,$B664)=0),"Core ID not found in Soil Data, so the corer diameter cannot be looked up. ","")&amp;IF(ASH_CORRECTED&lt;&gt;"Yes","Root mass is NOT ash-corrected, so it includes adhering mineral soil and is too high. Set ASH_CORRECTED once you have done it. ","")&amp;IF(AND(ASH_CORRECTED="Yes",NOT(ISNUMBER($H664))),"Ash correction is switched on but no ash fraction is given for this row. ","")&amp;IF($I664="","Sieve mesh not recorded — a fine-root figure cannot be interpreted without it. ","")&amp;IF(AND(ISNUMBER($H664),$H664&gt;0.5),"Ash fraction above 0.5 — over half this sample was mineral soil. Re-wash. ","")&amp;IF($F664="Not separated","Live and dead not separated. Fine for a stock, but "&amp;"note it in reporting. ",""))</f>
        <v/>
      </c>
      <c r="P664" s="6" t="n"/>
      <c r="Q664" s="9">
        <f>IF($B664="",0,IF(COUNTIFS($B$5:$B664,$B664)=1,1,0))</f>
        <v/>
      </c>
    </row>
    <row r="665">
      <c r="A665" s="6" t="n"/>
      <c r="B665" s="6" t="n"/>
      <c r="C665" s="6" t="n"/>
      <c r="D665" s="6" t="n"/>
      <c r="E665" s="6" t="n"/>
      <c r="F665" s="6" t="n"/>
      <c r="G665" s="7" t="n"/>
      <c r="H665" s="7" t="n"/>
      <c r="I665" s="6" t="n"/>
      <c r="J665" s="9">
        <f>IF(NOT(ISNUMBER($G665)),"",IF(AND(ASH_CORRECTED="Yes",ISNUMBER($H665)),$G665*(1-$H665),$G665))</f>
        <v/>
      </c>
      <c r="K665" s="9">
        <f>IF($B665="","",IFERROR(AVERAGEIFS('2. Soil Data'!$G$5:$G$604,'2. Soil Data'!$B$5:$B$604,$B665),""))</f>
        <v/>
      </c>
      <c r="L665" s="9">
        <f>IF(NOT(ISNUMBER($K665)),"",PI()*($K665/2)^2)</f>
        <v/>
      </c>
      <c r="M665" s="9">
        <f>IF(OR(NOT(ISNUMBER($J665)),NOT(ISNUMBER($L665)),$L665=0),"",$J665/$L665*10000)</f>
        <v/>
      </c>
      <c r="N665" s="9">
        <f>IF(NOT(ISNUMBER($M665)),"",$M665*CARBON_FRACTION_ROOT/1000)</f>
        <v/>
      </c>
      <c r="O665" s="11">
        <f>IF(AND($A665="",$B665="",$G665=""),"",IF(AND($B665&lt;&gt;"",COUNTIFS('2. Soil Data'!$B$5:$B$604,$B665)=0),"Core ID not found in Soil Data, so the corer diameter cannot be looked up. ","")&amp;IF(ASH_CORRECTED&lt;&gt;"Yes","Root mass is NOT ash-corrected, so it includes adhering mineral soil and is too high. Set ASH_CORRECTED once you have done it. ","")&amp;IF(AND(ASH_CORRECTED="Yes",NOT(ISNUMBER($H665))),"Ash correction is switched on but no ash fraction is given for this row. ","")&amp;IF($I665="","Sieve mesh not recorded — a fine-root figure cannot be interpreted without it. ","")&amp;IF(AND(ISNUMBER($H665),$H665&gt;0.5),"Ash fraction above 0.5 — over half this sample was mineral soil. Re-wash. ","")&amp;IF($F665="Not separated","Live and dead not separated. Fine for a stock, but "&amp;"note it in reporting. ",""))</f>
        <v/>
      </c>
      <c r="P665" s="6" t="n"/>
      <c r="Q665" s="9">
        <f>IF($B665="",0,IF(COUNTIFS($B$5:$B665,$B665)=1,1,0))</f>
        <v/>
      </c>
    </row>
    <row r="666">
      <c r="A666" s="6" t="n"/>
      <c r="B666" s="6" t="n"/>
      <c r="C666" s="6" t="n"/>
      <c r="D666" s="6" t="n"/>
      <c r="E666" s="6" t="n"/>
      <c r="F666" s="6" t="n"/>
      <c r="G666" s="7" t="n"/>
      <c r="H666" s="7" t="n"/>
      <c r="I666" s="6" t="n"/>
      <c r="J666" s="9">
        <f>IF(NOT(ISNUMBER($G666)),"",IF(AND(ASH_CORRECTED="Yes",ISNUMBER($H666)),$G666*(1-$H666),$G666))</f>
        <v/>
      </c>
      <c r="K666" s="9">
        <f>IF($B666="","",IFERROR(AVERAGEIFS('2. Soil Data'!$G$5:$G$604,'2. Soil Data'!$B$5:$B$604,$B666),""))</f>
        <v/>
      </c>
      <c r="L666" s="9">
        <f>IF(NOT(ISNUMBER($K666)),"",PI()*($K666/2)^2)</f>
        <v/>
      </c>
      <c r="M666" s="9">
        <f>IF(OR(NOT(ISNUMBER($J666)),NOT(ISNUMBER($L666)),$L666=0),"",$J666/$L666*10000)</f>
        <v/>
      </c>
      <c r="N666" s="9">
        <f>IF(NOT(ISNUMBER($M666)),"",$M666*CARBON_FRACTION_ROOT/1000)</f>
        <v/>
      </c>
      <c r="O666" s="11">
        <f>IF(AND($A666="",$B666="",$G666=""),"",IF(AND($B666&lt;&gt;"",COUNTIFS('2. Soil Data'!$B$5:$B$604,$B666)=0),"Core ID not found in Soil Data, so the corer diameter cannot be looked up. ","")&amp;IF(ASH_CORRECTED&lt;&gt;"Yes","Root mass is NOT ash-corrected, so it includes adhering mineral soil and is too high. Set ASH_CORRECTED once you have done it. ","")&amp;IF(AND(ASH_CORRECTED="Yes",NOT(ISNUMBER($H666))),"Ash correction is switched on but no ash fraction is given for this row. ","")&amp;IF($I666="","Sieve mesh not recorded — a fine-root figure cannot be interpreted without it. ","")&amp;IF(AND(ISNUMBER($H666),$H666&gt;0.5),"Ash fraction above 0.5 — over half this sample was mineral soil. Re-wash. ","")&amp;IF($F666="Not separated","Live and dead not separated. Fine for a stock, but "&amp;"note it in reporting. ",""))</f>
        <v/>
      </c>
      <c r="P666" s="6" t="n"/>
      <c r="Q666" s="9">
        <f>IF($B666="",0,IF(COUNTIFS($B$5:$B666,$B666)=1,1,0))</f>
        <v/>
      </c>
    </row>
    <row r="667">
      <c r="A667" s="6" t="n"/>
      <c r="B667" s="6" t="n"/>
      <c r="C667" s="6" t="n"/>
      <c r="D667" s="6" t="n"/>
      <c r="E667" s="6" t="n"/>
      <c r="F667" s="6" t="n"/>
      <c r="G667" s="7" t="n"/>
      <c r="H667" s="7" t="n"/>
      <c r="I667" s="6" t="n"/>
      <c r="J667" s="9">
        <f>IF(NOT(ISNUMBER($G667)),"",IF(AND(ASH_CORRECTED="Yes",ISNUMBER($H667)),$G667*(1-$H667),$G667))</f>
        <v/>
      </c>
      <c r="K667" s="9">
        <f>IF($B667="","",IFERROR(AVERAGEIFS('2. Soil Data'!$G$5:$G$604,'2. Soil Data'!$B$5:$B$604,$B667),""))</f>
        <v/>
      </c>
      <c r="L667" s="9">
        <f>IF(NOT(ISNUMBER($K667)),"",PI()*($K667/2)^2)</f>
        <v/>
      </c>
      <c r="M667" s="9">
        <f>IF(OR(NOT(ISNUMBER($J667)),NOT(ISNUMBER($L667)),$L667=0),"",$J667/$L667*10000)</f>
        <v/>
      </c>
      <c r="N667" s="9">
        <f>IF(NOT(ISNUMBER($M667)),"",$M667*CARBON_FRACTION_ROOT/1000)</f>
        <v/>
      </c>
      <c r="O667" s="11">
        <f>IF(AND($A667="",$B667="",$G667=""),"",IF(AND($B667&lt;&gt;"",COUNTIFS('2. Soil Data'!$B$5:$B$604,$B667)=0),"Core ID not found in Soil Data, so the corer diameter cannot be looked up. ","")&amp;IF(ASH_CORRECTED&lt;&gt;"Yes","Root mass is NOT ash-corrected, so it includes adhering mineral soil and is too high. Set ASH_CORRECTED once you have done it. ","")&amp;IF(AND(ASH_CORRECTED="Yes",NOT(ISNUMBER($H667))),"Ash correction is switched on but no ash fraction is given for this row. ","")&amp;IF($I667="","Sieve mesh not recorded — a fine-root figure cannot be interpreted without it. ","")&amp;IF(AND(ISNUMBER($H667),$H667&gt;0.5),"Ash fraction above 0.5 — over half this sample was mineral soil. Re-wash. ","")&amp;IF($F667="Not separated","Live and dead not separated. Fine for a stock, but "&amp;"note it in reporting. ",""))</f>
        <v/>
      </c>
      <c r="P667" s="6" t="n"/>
      <c r="Q667" s="9">
        <f>IF($B667="",0,IF(COUNTIFS($B$5:$B667,$B667)=1,1,0))</f>
        <v/>
      </c>
    </row>
    <row r="668">
      <c r="A668" s="6" t="n"/>
      <c r="B668" s="6" t="n"/>
      <c r="C668" s="6" t="n"/>
      <c r="D668" s="6" t="n"/>
      <c r="E668" s="6" t="n"/>
      <c r="F668" s="6" t="n"/>
      <c r="G668" s="7" t="n"/>
      <c r="H668" s="7" t="n"/>
      <c r="I668" s="6" t="n"/>
      <c r="J668" s="9">
        <f>IF(NOT(ISNUMBER($G668)),"",IF(AND(ASH_CORRECTED="Yes",ISNUMBER($H668)),$G668*(1-$H668),$G668))</f>
        <v/>
      </c>
      <c r="K668" s="9">
        <f>IF($B668="","",IFERROR(AVERAGEIFS('2. Soil Data'!$G$5:$G$604,'2. Soil Data'!$B$5:$B$604,$B668),""))</f>
        <v/>
      </c>
      <c r="L668" s="9">
        <f>IF(NOT(ISNUMBER($K668)),"",PI()*($K668/2)^2)</f>
        <v/>
      </c>
      <c r="M668" s="9">
        <f>IF(OR(NOT(ISNUMBER($J668)),NOT(ISNUMBER($L668)),$L668=0),"",$J668/$L668*10000)</f>
        <v/>
      </c>
      <c r="N668" s="9">
        <f>IF(NOT(ISNUMBER($M668)),"",$M668*CARBON_FRACTION_ROOT/1000)</f>
        <v/>
      </c>
      <c r="O668" s="11">
        <f>IF(AND($A668="",$B668="",$G668=""),"",IF(AND($B668&lt;&gt;"",COUNTIFS('2. Soil Data'!$B$5:$B$604,$B668)=0),"Core ID not found in Soil Data, so the corer diameter cannot be looked up. ","")&amp;IF(ASH_CORRECTED&lt;&gt;"Yes","Root mass is NOT ash-corrected, so it includes adhering mineral soil and is too high. Set ASH_CORRECTED once you have done it. ","")&amp;IF(AND(ASH_CORRECTED="Yes",NOT(ISNUMBER($H668))),"Ash correction is switched on but no ash fraction is given for this row. ","")&amp;IF($I668="","Sieve mesh not recorded — a fine-root figure cannot be interpreted without it. ","")&amp;IF(AND(ISNUMBER($H668),$H668&gt;0.5),"Ash fraction above 0.5 — over half this sample was mineral soil. Re-wash. ","")&amp;IF($F668="Not separated","Live and dead not separated. Fine for a stock, but "&amp;"note it in reporting. ",""))</f>
        <v/>
      </c>
      <c r="P668" s="6" t="n"/>
      <c r="Q668" s="9">
        <f>IF($B668="",0,IF(COUNTIFS($B$5:$B668,$B668)=1,1,0))</f>
        <v/>
      </c>
    </row>
    <row r="669">
      <c r="A669" s="6" t="n"/>
      <c r="B669" s="6" t="n"/>
      <c r="C669" s="6" t="n"/>
      <c r="D669" s="6" t="n"/>
      <c r="E669" s="6" t="n"/>
      <c r="F669" s="6" t="n"/>
      <c r="G669" s="7" t="n"/>
      <c r="H669" s="7" t="n"/>
      <c r="I669" s="6" t="n"/>
      <c r="J669" s="9">
        <f>IF(NOT(ISNUMBER($G669)),"",IF(AND(ASH_CORRECTED="Yes",ISNUMBER($H669)),$G669*(1-$H669),$G669))</f>
        <v/>
      </c>
      <c r="K669" s="9">
        <f>IF($B669="","",IFERROR(AVERAGEIFS('2. Soil Data'!$G$5:$G$604,'2. Soil Data'!$B$5:$B$604,$B669),""))</f>
        <v/>
      </c>
      <c r="L669" s="9">
        <f>IF(NOT(ISNUMBER($K669)),"",PI()*($K669/2)^2)</f>
        <v/>
      </c>
      <c r="M669" s="9">
        <f>IF(OR(NOT(ISNUMBER($J669)),NOT(ISNUMBER($L669)),$L669=0),"",$J669/$L669*10000)</f>
        <v/>
      </c>
      <c r="N669" s="9">
        <f>IF(NOT(ISNUMBER($M669)),"",$M669*CARBON_FRACTION_ROOT/1000)</f>
        <v/>
      </c>
      <c r="O669" s="11">
        <f>IF(AND($A669="",$B669="",$G669=""),"",IF(AND($B669&lt;&gt;"",COUNTIFS('2. Soil Data'!$B$5:$B$604,$B669)=0),"Core ID not found in Soil Data, so the corer diameter cannot be looked up. ","")&amp;IF(ASH_CORRECTED&lt;&gt;"Yes","Root mass is NOT ash-corrected, so it includes adhering mineral soil and is too high. Set ASH_CORRECTED once you have done it. ","")&amp;IF(AND(ASH_CORRECTED="Yes",NOT(ISNUMBER($H669))),"Ash correction is switched on but no ash fraction is given for this row. ","")&amp;IF($I669="","Sieve mesh not recorded — a fine-root figure cannot be interpreted without it. ","")&amp;IF(AND(ISNUMBER($H669),$H669&gt;0.5),"Ash fraction above 0.5 — over half this sample was mineral soil. Re-wash. ","")&amp;IF($F669="Not separated","Live and dead not separated. Fine for a stock, but "&amp;"note it in reporting. ",""))</f>
        <v/>
      </c>
      <c r="P669" s="6" t="n"/>
      <c r="Q669" s="9">
        <f>IF($B669="",0,IF(COUNTIFS($B$5:$B669,$B669)=1,1,0))</f>
        <v/>
      </c>
    </row>
    <row r="670">
      <c r="A670" s="6" t="n"/>
      <c r="B670" s="6" t="n"/>
      <c r="C670" s="6" t="n"/>
      <c r="D670" s="6" t="n"/>
      <c r="E670" s="6" t="n"/>
      <c r="F670" s="6" t="n"/>
      <c r="G670" s="7" t="n"/>
      <c r="H670" s="7" t="n"/>
      <c r="I670" s="6" t="n"/>
      <c r="J670" s="9">
        <f>IF(NOT(ISNUMBER($G670)),"",IF(AND(ASH_CORRECTED="Yes",ISNUMBER($H670)),$G670*(1-$H670),$G670))</f>
        <v/>
      </c>
      <c r="K670" s="9">
        <f>IF($B670="","",IFERROR(AVERAGEIFS('2. Soil Data'!$G$5:$G$604,'2. Soil Data'!$B$5:$B$604,$B670),""))</f>
        <v/>
      </c>
      <c r="L670" s="9">
        <f>IF(NOT(ISNUMBER($K670)),"",PI()*($K670/2)^2)</f>
        <v/>
      </c>
      <c r="M670" s="9">
        <f>IF(OR(NOT(ISNUMBER($J670)),NOT(ISNUMBER($L670)),$L670=0),"",$J670/$L670*10000)</f>
        <v/>
      </c>
      <c r="N670" s="9">
        <f>IF(NOT(ISNUMBER($M670)),"",$M670*CARBON_FRACTION_ROOT/1000)</f>
        <v/>
      </c>
      <c r="O670" s="11">
        <f>IF(AND($A670="",$B670="",$G670=""),"",IF(AND($B670&lt;&gt;"",COUNTIFS('2. Soil Data'!$B$5:$B$604,$B670)=0),"Core ID not found in Soil Data, so the corer diameter cannot be looked up. ","")&amp;IF(ASH_CORRECTED&lt;&gt;"Yes","Root mass is NOT ash-corrected, so it includes adhering mineral soil and is too high. Set ASH_CORRECTED once you have done it. ","")&amp;IF(AND(ASH_CORRECTED="Yes",NOT(ISNUMBER($H670))),"Ash correction is switched on but no ash fraction is given for this row. ","")&amp;IF($I670="","Sieve mesh not recorded — a fine-root figure cannot be interpreted without it. ","")&amp;IF(AND(ISNUMBER($H670),$H670&gt;0.5),"Ash fraction above 0.5 — over half this sample was mineral soil. Re-wash. ","")&amp;IF($F670="Not separated","Live and dead not separated. Fine for a stock, but "&amp;"note it in reporting. ",""))</f>
        <v/>
      </c>
      <c r="P670" s="6" t="n"/>
      <c r="Q670" s="9">
        <f>IF($B670="",0,IF(COUNTIFS($B$5:$B670,$B670)=1,1,0))</f>
        <v/>
      </c>
    </row>
    <row r="671">
      <c r="A671" s="6" t="n"/>
      <c r="B671" s="6" t="n"/>
      <c r="C671" s="6" t="n"/>
      <c r="D671" s="6" t="n"/>
      <c r="E671" s="6" t="n"/>
      <c r="F671" s="6" t="n"/>
      <c r="G671" s="7" t="n"/>
      <c r="H671" s="7" t="n"/>
      <c r="I671" s="6" t="n"/>
      <c r="J671" s="9">
        <f>IF(NOT(ISNUMBER($G671)),"",IF(AND(ASH_CORRECTED="Yes",ISNUMBER($H671)),$G671*(1-$H671),$G671))</f>
        <v/>
      </c>
      <c r="K671" s="9">
        <f>IF($B671="","",IFERROR(AVERAGEIFS('2. Soil Data'!$G$5:$G$604,'2. Soil Data'!$B$5:$B$604,$B671),""))</f>
        <v/>
      </c>
      <c r="L671" s="9">
        <f>IF(NOT(ISNUMBER($K671)),"",PI()*($K671/2)^2)</f>
        <v/>
      </c>
      <c r="M671" s="9">
        <f>IF(OR(NOT(ISNUMBER($J671)),NOT(ISNUMBER($L671)),$L671=0),"",$J671/$L671*10000)</f>
        <v/>
      </c>
      <c r="N671" s="9">
        <f>IF(NOT(ISNUMBER($M671)),"",$M671*CARBON_FRACTION_ROOT/1000)</f>
        <v/>
      </c>
      <c r="O671" s="11">
        <f>IF(AND($A671="",$B671="",$G671=""),"",IF(AND($B671&lt;&gt;"",COUNTIFS('2. Soil Data'!$B$5:$B$604,$B671)=0),"Core ID not found in Soil Data, so the corer diameter cannot be looked up. ","")&amp;IF(ASH_CORRECTED&lt;&gt;"Yes","Root mass is NOT ash-corrected, so it includes adhering mineral soil and is too high. Set ASH_CORRECTED once you have done it. ","")&amp;IF(AND(ASH_CORRECTED="Yes",NOT(ISNUMBER($H671))),"Ash correction is switched on but no ash fraction is given for this row. ","")&amp;IF($I671="","Sieve mesh not recorded — a fine-root figure cannot be interpreted without it. ","")&amp;IF(AND(ISNUMBER($H671),$H671&gt;0.5),"Ash fraction above 0.5 — over half this sample was mineral soil. Re-wash. ","")&amp;IF($F671="Not separated","Live and dead not separated. Fine for a stock, but "&amp;"note it in reporting. ",""))</f>
        <v/>
      </c>
      <c r="P671" s="6" t="n"/>
      <c r="Q671" s="9">
        <f>IF($B671="",0,IF(COUNTIFS($B$5:$B671,$B671)=1,1,0))</f>
        <v/>
      </c>
    </row>
    <row r="672">
      <c r="A672" s="6" t="n"/>
      <c r="B672" s="6" t="n"/>
      <c r="C672" s="6" t="n"/>
      <c r="D672" s="6" t="n"/>
      <c r="E672" s="6" t="n"/>
      <c r="F672" s="6" t="n"/>
      <c r="G672" s="7" t="n"/>
      <c r="H672" s="7" t="n"/>
      <c r="I672" s="6" t="n"/>
      <c r="J672" s="9">
        <f>IF(NOT(ISNUMBER($G672)),"",IF(AND(ASH_CORRECTED="Yes",ISNUMBER($H672)),$G672*(1-$H672),$G672))</f>
        <v/>
      </c>
      <c r="K672" s="9">
        <f>IF($B672="","",IFERROR(AVERAGEIFS('2. Soil Data'!$G$5:$G$604,'2. Soil Data'!$B$5:$B$604,$B672),""))</f>
        <v/>
      </c>
      <c r="L672" s="9">
        <f>IF(NOT(ISNUMBER($K672)),"",PI()*($K672/2)^2)</f>
        <v/>
      </c>
      <c r="M672" s="9">
        <f>IF(OR(NOT(ISNUMBER($J672)),NOT(ISNUMBER($L672)),$L672=0),"",$J672/$L672*10000)</f>
        <v/>
      </c>
      <c r="N672" s="9">
        <f>IF(NOT(ISNUMBER($M672)),"",$M672*CARBON_FRACTION_ROOT/1000)</f>
        <v/>
      </c>
      <c r="O672" s="11">
        <f>IF(AND($A672="",$B672="",$G672=""),"",IF(AND($B672&lt;&gt;"",COUNTIFS('2. Soil Data'!$B$5:$B$604,$B672)=0),"Core ID not found in Soil Data, so the corer diameter cannot be looked up. ","")&amp;IF(ASH_CORRECTED&lt;&gt;"Yes","Root mass is NOT ash-corrected, so it includes adhering mineral soil and is too high. Set ASH_CORRECTED once you have done it. ","")&amp;IF(AND(ASH_CORRECTED="Yes",NOT(ISNUMBER($H672))),"Ash correction is switched on but no ash fraction is given for this row. ","")&amp;IF($I672="","Sieve mesh not recorded — a fine-root figure cannot be interpreted without it. ","")&amp;IF(AND(ISNUMBER($H672),$H672&gt;0.5),"Ash fraction above 0.5 — over half this sample was mineral soil. Re-wash. ","")&amp;IF($F672="Not separated","Live and dead not separated. Fine for a stock, but "&amp;"note it in reporting. ",""))</f>
        <v/>
      </c>
      <c r="P672" s="6" t="n"/>
      <c r="Q672" s="9">
        <f>IF($B672="",0,IF(COUNTIFS($B$5:$B672,$B672)=1,1,0))</f>
        <v/>
      </c>
    </row>
    <row r="673">
      <c r="A673" s="6" t="n"/>
      <c r="B673" s="6" t="n"/>
      <c r="C673" s="6" t="n"/>
      <c r="D673" s="6" t="n"/>
      <c r="E673" s="6" t="n"/>
      <c r="F673" s="6" t="n"/>
      <c r="G673" s="7" t="n"/>
      <c r="H673" s="7" t="n"/>
      <c r="I673" s="6" t="n"/>
      <c r="J673" s="9">
        <f>IF(NOT(ISNUMBER($G673)),"",IF(AND(ASH_CORRECTED="Yes",ISNUMBER($H673)),$G673*(1-$H673),$G673))</f>
        <v/>
      </c>
      <c r="K673" s="9">
        <f>IF($B673="","",IFERROR(AVERAGEIFS('2. Soil Data'!$G$5:$G$604,'2. Soil Data'!$B$5:$B$604,$B673),""))</f>
        <v/>
      </c>
      <c r="L673" s="9">
        <f>IF(NOT(ISNUMBER($K673)),"",PI()*($K673/2)^2)</f>
        <v/>
      </c>
      <c r="M673" s="9">
        <f>IF(OR(NOT(ISNUMBER($J673)),NOT(ISNUMBER($L673)),$L673=0),"",$J673/$L673*10000)</f>
        <v/>
      </c>
      <c r="N673" s="9">
        <f>IF(NOT(ISNUMBER($M673)),"",$M673*CARBON_FRACTION_ROOT/1000)</f>
        <v/>
      </c>
      <c r="O673" s="11">
        <f>IF(AND($A673="",$B673="",$G673=""),"",IF(AND($B673&lt;&gt;"",COUNTIFS('2. Soil Data'!$B$5:$B$604,$B673)=0),"Core ID not found in Soil Data, so the corer diameter cannot be looked up. ","")&amp;IF(ASH_CORRECTED&lt;&gt;"Yes","Root mass is NOT ash-corrected, so it includes adhering mineral soil and is too high. Set ASH_CORRECTED once you have done it. ","")&amp;IF(AND(ASH_CORRECTED="Yes",NOT(ISNUMBER($H673))),"Ash correction is switched on but no ash fraction is given for this row. ","")&amp;IF($I673="","Sieve mesh not recorded — a fine-root figure cannot be interpreted without it. ","")&amp;IF(AND(ISNUMBER($H673),$H673&gt;0.5),"Ash fraction above 0.5 — over half this sample was mineral soil. Re-wash. ","")&amp;IF($F673="Not separated","Live and dead not separated. Fine for a stock, but "&amp;"note it in reporting. ",""))</f>
        <v/>
      </c>
      <c r="P673" s="6" t="n"/>
      <c r="Q673" s="9">
        <f>IF($B673="",0,IF(COUNTIFS($B$5:$B673,$B673)=1,1,0))</f>
        <v/>
      </c>
    </row>
    <row r="674">
      <c r="A674" s="6" t="n"/>
      <c r="B674" s="6" t="n"/>
      <c r="C674" s="6" t="n"/>
      <c r="D674" s="6" t="n"/>
      <c r="E674" s="6" t="n"/>
      <c r="F674" s="6" t="n"/>
      <c r="G674" s="7" t="n"/>
      <c r="H674" s="7" t="n"/>
      <c r="I674" s="6" t="n"/>
      <c r="J674" s="9">
        <f>IF(NOT(ISNUMBER($G674)),"",IF(AND(ASH_CORRECTED="Yes",ISNUMBER($H674)),$G674*(1-$H674),$G674))</f>
        <v/>
      </c>
      <c r="K674" s="9">
        <f>IF($B674="","",IFERROR(AVERAGEIFS('2. Soil Data'!$G$5:$G$604,'2. Soil Data'!$B$5:$B$604,$B674),""))</f>
        <v/>
      </c>
      <c r="L674" s="9">
        <f>IF(NOT(ISNUMBER($K674)),"",PI()*($K674/2)^2)</f>
        <v/>
      </c>
      <c r="M674" s="9">
        <f>IF(OR(NOT(ISNUMBER($J674)),NOT(ISNUMBER($L674)),$L674=0),"",$J674/$L674*10000)</f>
        <v/>
      </c>
      <c r="N674" s="9">
        <f>IF(NOT(ISNUMBER($M674)),"",$M674*CARBON_FRACTION_ROOT/1000)</f>
        <v/>
      </c>
      <c r="O674" s="11">
        <f>IF(AND($A674="",$B674="",$G674=""),"",IF(AND($B674&lt;&gt;"",COUNTIFS('2. Soil Data'!$B$5:$B$604,$B674)=0),"Core ID not found in Soil Data, so the corer diameter cannot be looked up. ","")&amp;IF(ASH_CORRECTED&lt;&gt;"Yes","Root mass is NOT ash-corrected, so it includes adhering mineral soil and is too high. Set ASH_CORRECTED once you have done it. ","")&amp;IF(AND(ASH_CORRECTED="Yes",NOT(ISNUMBER($H674))),"Ash correction is switched on but no ash fraction is given for this row. ","")&amp;IF($I674="","Sieve mesh not recorded — a fine-root figure cannot be interpreted without it. ","")&amp;IF(AND(ISNUMBER($H674),$H674&gt;0.5),"Ash fraction above 0.5 — over half this sample was mineral soil. Re-wash. ","")&amp;IF($F674="Not separated","Live and dead not separated. Fine for a stock, but "&amp;"note it in reporting. ",""))</f>
        <v/>
      </c>
      <c r="P674" s="6" t="n"/>
      <c r="Q674" s="9">
        <f>IF($B674="",0,IF(COUNTIFS($B$5:$B674,$B674)=1,1,0))</f>
        <v/>
      </c>
    </row>
    <row r="675">
      <c r="A675" s="6" t="n"/>
      <c r="B675" s="6" t="n"/>
      <c r="C675" s="6" t="n"/>
      <c r="D675" s="6" t="n"/>
      <c r="E675" s="6" t="n"/>
      <c r="F675" s="6" t="n"/>
      <c r="G675" s="7" t="n"/>
      <c r="H675" s="7" t="n"/>
      <c r="I675" s="6" t="n"/>
      <c r="J675" s="9">
        <f>IF(NOT(ISNUMBER($G675)),"",IF(AND(ASH_CORRECTED="Yes",ISNUMBER($H675)),$G675*(1-$H675),$G675))</f>
        <v/>
      </c>
      <c r="K675" s="9">
        <f>IF($B675="","",IFERROR(AVERAGEIFS('2. Soil Data'!$G$5:$G$604,'2. Soil Data'!$B$5:$B$604,$B675),""))</f>
        <v/>
      </c>
      <c r="L675" s="9">
        <f>IF(NOT(ISNUMBER($K675)),"",PI()*($K675/2)^2)</f>
        <v/>
      </c>
      <c r="M675" s="9">
        <f>IF(OR(NOT(ISNUMBER($J675)),NOT(ISNUMBER($L675)),$L675=0),"",$J675/$L675*10000)</f>
        <v/>
      </c>
      <c r="N675" s="9">
        <f>IF(NOT(ISNUMBER($M675)),"",$M675*CARBON_FRACTION_ROOT/1000)</f>
        <v/>
      </c>
      <c r="O675" s="11">
        <f>IF(AND($A675="",$B675="",$G675=""),"",IF(AND($B675&lt;&gt;"",COUNTIFS('2. Soil Data'!$B$5:$B$604,$B675)=0),"Core ID not found in Soil Data, so the corer diameter cannot be looked up. ","")&amp;IF(ASH_CORRECTED&lt;&gt;"Yes","Root mass is NOT ash-corrected, so it includes adhering mineral soil and is too high. Set ASH_CORRECTED once you have done it. ","")&amp;IF(AND(ASH_CORRECTED="Yes",NOT(ISNUMBER($H675))),"Ash correction is switched on but no ash fraction is given for this row. ","")&amp;IF($I675="","Sieve mesh not recorded — a fine-root figure cannot be interpreted without it. ","")&amp;IF(AND(ISNUMBER($H675),$H675&gt;0.5),"Ash fraction above 0.5 — over half this sample was mineral soil. Re-wash. ","")&amp;IF($F675="Not separated","Live and dead not separated. Fine for a stock, but "&amp;"note it in reporting. ",""))</f>
        <v/>
      </c>
      <c r="P675" s="6" t="n"/>
      <c r="Q675" s="9">
        <f>IF($B675="",0,IF(COUNTIFS($B$5:$B675,$B675)=1,1,0))</f>
        <v/>
      </c>
    </row>
    <row r="676">
      <c r="A676" s="6" t="n"/>
      <c r="B676" s="6" t="n"/>
      <c r="C676" s="6" t="n"/>
      <c r="D676" s="6" t="n"/>
      <c r="E676" s="6" t="n"/>
      <c r="F676" s="6" t="n"/>
      <c r="G676" s="7" t="n"/>
      <c r="H676" s="7" t="n"/>
      <c r="I676" s="6" t="n"/>
      <c r="J676" s="9">
        <f>IF(NOT(ISNUMBER($G676)),"",IF(AND(ASH_CORRECTED="Yes",ISNUMBER($H676)),$G676*(1-$H676),$G676))</f>
        <v/>
      </c>
      <c r="K676" s="9">
        <f>IF($B676="","",IFERROR(AVERAGEIFS('2. Soil Data'!$G$5:$G$604,'2. Soil Data'!$B$5:$B$604,$B676),""))</f>
        <v/>
      </c>
      <c r="L676" s="9">
        <f>IF(NOT(ISNUMBER($K676)),"",PI()*($K676/2)^2)</f>
        <v/>
      </c>
      <c r="M676" s="9">
        <f>IF(OR(NOT(ISNUMBER($J676)),NOT(ISNUMBER($L676)),$L676=0),"",$J676/$L676*10000)</f>
        <v/>
      </c>
      <c r="N676" s="9">
        <f>IF(NOT(ISNUMBER($M676)),"",$M676*CARBON_FRACTION_ROOT/1000)</f>
        <v/>
      </c>
      <c r="O676" s="11">
        <f>IF(AND($A676="",$B676="",$G676=""),"",IF(AND($B676&lt;&gt;"",COUNTIFS('2. Soil Data'!$B$5:$B$604,$B676)=0),"Core ID not found in Soil Data, so the corer diameter cannot be looked up. ","")&amp;IF(ASH_CORRECTED&lt;&gt;"Yes","Root mass is NOT ash-corrected, so it includes adhering mineral soil and is too high. Set ASH_CORRECTED once you have done it. ","")&amp;IF(AND(ASH_CORRECTED="Yes",NOT(ISNUMBER($H676))),"Ash correction is switched on but no ash fraction is given for this row. ","")&amp;IF($I676="","Sieve mesh not recorded — a fine-root figure cannot be interpreted without it. ","")&amp;IF(AND(ISNUMBER($H676),$H676&gt;0.5),"Ash fraction above 0.5 — over half this sample was mineral soil. Re-wash. ","")&amp;IF($F676="Not separated","Live and dead not separated. Fine for a stock, but "&amp;"note it in reporting. ",""))</f>
        <v/>
      </c>
      <c r="P676" s="6" t="n"/>
      <c r="Q676" s="9">
        <f>IF($B676="",0,IF(COUNTIFS($B$5:$B676,$B676)=1,1,0))</f>
        <v/>
      </c>
    </row>
    <row r="677">
      <c r="A677" s="6" t="n"/>
      <c r="B677" s="6" t="n"/>
      <c r="C677" s="6" t="n"/>
      <c r="D677" s="6" t="n"/>
      <c r="E677" s="6" t="n"/>
      <c r="F677" s="6" t="n"/>
      <c r="G677" s="7" t="n"/>
      <c r="H677" s="7" t="n"/>
      <c r="I677" s="6" t="n"/>
      <c r="J677" s="9">
        <f>IF(NOT(ISNUMBER($G677)),"",IF(AND(ASH_CORRECTED="Yes",ISNUMBER($H677)),$G677*(1-$H677),$G677))</f>
        <v/>
      </c>
      <c r="K677" s="9">
        <f>IF($B677="","",IFERROR(AVERAGEIFS('2. Soil Data'!$G$5:$G$604,'2. Soil Data'!$B$5:$B$604,$B677),""))</f>
        <v/>
      </c>
      <c r="L677" s="9">
        <f>IF(NOT(ISNUMBER($K677)),"",PI()*($K677/2)^2)</f>
        <v/>
      </c>
      <c r="M677" s="9">
        <f>IF(OR(NOT(ISNUMBER($J677)),NOT(ISNUMBER($L677)),$L677=0),"",$J677/$L677*10000)</f>
        <v/>
      </c>
      <c r="N677" s="9">
        <f>IF(NOT(ISNUMBER($M677)),"",$M677*CARBON_FRACTION_ROOT/1000)</f>
        <v/>
      </c>
      <c r="O677" s="11">
        <f>IF(AND($A677="",$B677="",$G677=""),"",IF(AND($B677&lt;&gt;"",COUNTIFS('2. Soil Data'!$B$5:$B$604,$B677)=0),"Core ID not found in Soil Data, so the corer diameter cannot be looked up. ","")&amp;IF(ASH_CORRECTED&lt;&gt;"Yes","Root mass is NOT ash-corrected, so it includes adhering mineral soil and is too high. Set ASH_CORRECTED once you have done it. ","")&amp;IF(AND(ASH_CORRECTED="Yes",NOT(ISNUMBER($H677))),"Ash correction is switched on but no ash fraction is given for this row. ","")&amp;IF($I677="","Sieve mesh not recorded — a fine-root figure cannot be interpreted without it. ","")&amp;IF(AND(ISNUMBER($H677),$H677&gt;0.5),"Ash fraction above 0.5 — over half this sample was mineral soil. Re-wash. ","")&amp;IF($F677="Not separated","Live and dead not separated. Fine for a stock, but "&amp;"note it in reporting. ",""))</f>
        <v/>
      </c>
      <c r="P677" s="6" t="n"/>
      <c r="Q677" s="9">
        <f>IF($B677="",0,IF(COUNTIFS($B$5:$B677,$B677)=1,1,0))</f>
        <v/>
      </c>
    </row>
    <row r="678">
      <c r="A678" s="6" t="n"/>
      <c r="B678" s="6" t="n"/>
      <c r="C678" s="6" t="n"/>
      <c r="D678" s="6" t="n"/>
      <c r="E678" s="6" t="n"/>
      <c r="F678" s="6" t="n"/>
      <c r="G678" s="7" t="n"/>
      <c r="H678" s="7" t="n"/>
      <c r="I678" s="6" t="n"/>
      <c r="J678" s="9">
        <f>IF(NOT(ISNUMBER($G678)),"",IF(AND(ASH_CORRECTED="Yes",ISNUMBER($H678)),$G678*(1-$H678),$G678))</f>
        <v/>
      </c>
      <c r="K678" s="9">
        <f>IF($B678="","",IFERROR(AVERAGEIFS('2. Soil Data'!$G$5:$G$604,'2. Soil Data'!$B$5:$B$604,$B678),""))</f>
        <v/>
      </c>
      <c r="L678" s="9">
        <f>IF(NOT(ISNUMBER($K678)),"",PI()*($K678/2)^2)</f>
        <v/>
      </c>
      <c r="M678" s="9">
        <f>IF(OR(NOT(ISNUMBER($J678)),NOT(ISNUMBER($L678)),$L678=0),"",$J678/$L678*10000)</f>
        <v/>
      </c>
      <c r="N678" s="9">
        <f>IF(NOT(ISNUMBER($M678)),"",$M678*CARBON_FRACTION_ROOT/1000)</f>
        <v/>
      </c>
      <c r="O678" s="11">
        <f>IF(AND($A678="",$B678="",$G678=""),"",IF(AND($B678&lt;&gt;"",COUNTIFS('2. Soil Data'!$B$5:$B$604,$B678)=0),"Core ID not found in Soil Data, so the corer diameter cannot be looked up. ","")&amp;IF(ASH_CORRECTED&lt;&gt;"Yes","Root mass is NOT ash-corrected, so it includes adhering mineral soil and is too high. Set ASH_CORRECTED once you have done it. ","")&amp;IF(AND(ASH_CORRECTED="Yes",NOT(ISNUMBER($H678))),"Ash correction is switched on but no ash fraction is given for this row. ","")&amp;IF($I678="","Sieve mesh not recorded — a fine-root figure cannot be interpreted without it. ","")&amp;IF(AND(ISNUMBER($H678),$H678&gt;0.5),"Ash fraction above 0.5 — over half this sample was mineral soil. Re-wash. ","")&amp;IF($F678="Not separated","Live and dead not separated. Fine for a stock, but "&amp;"note it in reporting. ",""))</f>
        <v/>
      </c>
      <c r="P678" s="6" t="n"/>
      <c r="Q678" s="9">
        <f>IF($B678="",0,IF(COUNTIFS($B$5:$B678,$B678)=1,1,0))</f>
        <v/>
      </c>
    </row>
    <row r="679">
      <c r="A679" s="6" t="n"/>
      <c r="B679" s="6" t="n"/>
      <c r="C679" s="6" t="n"/>
      <c r="D679" s="6" t="n"/>
      <c r="E679" s="6" t="n"/>
      <c r="F679" s="6" t="n"/>
      <c r="G679" s="7" t="n"/>
      <c r="H679" s="7" t="n"/>
      <c r="I679" s="6" t="n"/>
      <c r="J679" s="9">
        <f>IF(NOT(ISNUMBER($G679)),"",IF(AND(ASH_CORRECTED="Yes",ISNUMBER($H679)),$G679*(1-$H679),$G679))</f>
        <v/>
      </c>
      <c r="K679" s="9">
        <f>IF($B679="","",IFERROR(AVERAGEIFS('2. Soil Data'!$G$5:$G$604,'2. Soil Data'!$B$5:$B$604,$B679),""))</f>
        <v/>
      </c>
      <c r="L679" s="9">
        <f>IF(NOT(ISNUMBER($K679)),"",PI()*($K679/2)^2)</f>
        <v/>
      </c>
      <c r="M679" s="9">
        <f>IF(OR(NOT(ISNUMBER($J679)),NOT(ISNUMBER($L679)),$L679=0),"",$J679/$L679*10000)</f>
        <v/>
      </c>
      <c r="N679" s="9">
        <f>IF(NOT(ISNUMBER($M679)),"",$M679*CARBON_FRACTION_ROOT/1000)</f>
        <v/>
      </c>
      <c r="O679" s="11">
        <f>IF(AND($A679="",$B679="",$G679=""),"",IF(AND($B679&lt;&gt;"",COUNTIFS('2. Soil Data'!$B$5:$B$604,$B679)=0),"Core ID not found in Soil Data, so the corer diameter cannot be looked up. ","")&amp;IF(ASH_CORRECTED&lt;&gt;"Yes","Root mass is NOT ash-corrected, so it includes adhering mineral soil and is too high. Set ASH_CORRECTED once you have done it. ","")&amp;IF(AND(ASH_CORRECTED="Yes",NOT(ISNUMBER($H679))),"Ash correction is switched on but no ash fraction is given for this row. ","")&amp;IF($I679="","Sieve mesh not recorded — a fine-root figure cannot be interpreted without it. ","")&amp;IF(AND(ISNUMBER($H679),$H679&gt;0.5),"Ash fraction above 0.5 — over half this sample was mineral soil. Re-wash. ","")&amp;IF($F679="Not separated","Live and dead not separated. Fine for a stock, but "&amp;"note it in reporting. ",""))</f>
        <v/>
      </c>
      <c r="P679" s="6" t="n"/>
      <c r="Q679" s="9">
        <f>IF($B679="",0,IF(COUNTIFS($B$5:$B679,$B679)=1,1,0))</f>
        <v/>
      </c>
    </row>
    <row r="680">
      <c r="A680" s="6" t="n"/>
      <c r="B680" s="6" t="n"/>
      <c r="C680" s="6" t="n"/>
      <c r="D680" s="6" t="n"/>
      <c r="E680" s="6" t="n"/>
      <c r="F680" s="6" t="n"/>
      <c r="G680" s="7" t="n"/>
      <c r="H680" s="7" t="n"/>
      <c r="I680" s="6" t="n"/>
      <c r="J680" s="9">
        <f>IF(NOT(ISNUMBER($G680)),"",IF(AND(ASH_CORRECTED="Yes",ISNUMBER($H680)),$G680*(1-$H680),$G680))</f>
        <v/>
      </c>
      <c r="K680" s="9">
        <f>IF($B680="","",IFERROR(AVERAGEIFS('2. Soil Data'!$G$5:$G$604,'2. Soil Data'!$B$5:$B$604,$B680),""))</f>
        <v/>
      </c>
      <c r="L680" s="9">
        <f>IF(NOT(ISNUMBER($K680)),"",PI()*($K680/2)^2)</f>
        <v/>
      </c>
      <c r="M680" s="9">
        <f>IF(OR(NOT(ISNUMBER($J680)),NOT(ISNUMBER($L680)),$L680=0),"",$J680/$L680*10000)</f>
        <v/>
      </c>
      <c r="N680" s="9">
        <f>IF(NOT(ISNUMBER($M680)),"",$M680*CARBON_FRACTION_ROOT/1000)</f>
        <v/>
      </c>
      <c r="O680" s="11">
        <f>IF(AND($A680="",$B680="",$G680=""),"",IF(AND($B680&lt;&gt;"",COUNTIFS('2. Soil Data'!$B$5:$B$604,$B680)=0),"Core ID not found in Soil Data, so the corer diameter cannot be looked up. ","")&amp;IF(ASH_CORRECTED&lt;&gt;"Yes","Root mass is NOT ash-corrected, so it includes adhering mineral soil and is too high. Set ASH_CORRECTED once you have done it. ","")&amp;IF(AND(ASH_CORRECTED="Yes",NOT(ISNUMBER($H680))),"Ash correction is switched on but no ash fraction is given for this row. ","")&amp;IF($I680="","Sieve mesh not recorded — a fine-root figure cannot be interpreted without it. ","")&amp;IF(AND(ISNUMBER($H680),$H680&gt;0.5),"Ash fraction above 0.5 — over half this sample was mineral soil. Re-wash. ","")&amp;IF($F680="Not separated","Live and dead not separated. Fine for a stock, but "&amp;"note it in reporting. ",""))</f>
        <v/>
      </c>
      <c r="P680" s="6" t="n"/>
      <c r="Q680" s="9">
        <f>IF($B680="",0,IF(COUNTIFS($B$5:$B680,$B680)=1,1,0))</f>
        <v/>
      </c>
    </row>
    <row r="681">
      <c r="A681" s="6" t="n"/>
      <c r="B681" s="6" t="n"/>
      <c r="C681" s="6" t="n"/>
      <c r="D681" s="6" t="n"/>
      <c r="E681" s="6" t="n"/>
      <c r="F681" s="6" t="n"/>
      <c r="G681" s="7" t="n"/>
      <c r="H681" s="7" t="n"/>
      <c r="I681" s="6" t="n"/>
      <c r="J681" s="9">
        <f>IF(NOT(ISNUMBER($G681)),"",IF(AND(ASH_CORRECTED="Yes",ISNUMBER($H681)),$G681*(1-$H681),$G681))</f>
        <v/>
      </c>
      <c r="K681" s="9">
        <f>IF($B681="","",IFERROR(AVERAGEIFS('2. Soil Data'!$G$5:$G$604,'2. Soil Data'!$B$5:$B$604,$B681),""))</f>
        <v/>
      </c>
      <c r="L681" s="9">
        <f>IF(NOT(ISNUMBER($K681)),"",PI()*($K681/2)^2)</f>
        <v/>
      </c>
      <c r="M681" s="9">
        <f>IF(OR(NOT(ISNUMBER($J681)),NOT(ISNUMBER($L681)),$L681=0),"",$J681/$L681*10000)</f>
        <v/>
      </c>
      <c r="N681" s="9">
        <f>IF(NOT(ISNUMBER($M681)),"",$M681*CARBON_FRACTION_ROOT/1000)</f>
        <v/>
      </c>
      <c r="O681" s="11">
        <f>IF(AND($A681="",$B681="",$G681=""),"",IF(AND($B681&lt;&gt;"",COUNTIFS('2. Soil Data'!$B$5:$B$604,$B681)=0),"Core ID not found in Soil Data, so the corer diameter cannot be looked up. ","")&amp;IF(ASH_CORRECTED&lt;&gt;"Yes","Root mass is NOT ash-corrected, so it includes adhering mineral soil and is too high. Set ASH_CORRECTED once you have done it. ","")&amp;IF(AND(ASH_CORRECTED="Yes",NOT(ISNUMBER($H681))),"Ash correction is switched on but no ash fraction is given for this row. ","")&amp;IF($I681="","Sieve mesh not recorded — a fine-root figure cannot be interpreted without it. ","")&amp;IF(AND(ISNUMBER($H681),$H681&gt;0.5),"Ash fraction above 0.5 — over half this sample was mineral soil. Re-wash. ","")&amp;IF($F681="Not separated","Live and dead not separated. Fine for a stock, but "&amp;"note it in reporting. ",""))</f>
        <v/>
      </c>
      <c r="P681" s="6" t="n"/>
      <c r="Q681" s="9">
        <f>IF($B681="",0,IF(COUNTIFS($B$5:$B681,$B681)=1,1,0))</f>
        <v/>
      </c>
    </row>
    <row r="682">
      <c r="A682" s="6" t="n"/>
      <c r="B682" s="6" t="n"/>
      <c r="C682" s="6" t="n"/>
      <c r="D682" s="6" t="n"/>
      <c r="E682" s="6" t="n"/>
      <c r="F682" s="6" t="n"/>
      <c r="G682" s="7" t="n"/>
      <c r="H682" s="7" t="n"/>
      <c r="I682" s="6" t="n"/>
      <c r="J682" s="9">
        <f>IF(NOT(ISNUMBER($G682)),"",IF(AND(ASH_CORRECTED="Yes",ISNUMBER($H682)),$G682*(1-$H682),$G682))</f>
        <v/>
      </c>
      <c r="K682" s="9">
        <f>IF($B682="","",IFERROR(AVERAGEIFS('2. Soil Data'!$G$5:$G$604,'2. Soil Data'!$B$5:$B$604,$B682),""))</f>
        <v/>
      </c>
      <c r="L682" s="9">
        <f>IF(NOT(ISNUMBER($K682)),"",PI()*($K682/2)^2)</f>
        <v/>
      </c>
      <c r="M682" s="9">
        <f>IF(OR(NOT(ISNUMBER($J682)),NOT(ISNUMBER($L682)),$L682=0),"",$J682/$L682*10000)</f>
        <v/>
      </c>
      <c r="N682" s="9">
        <f>IF(NOT(ISNUMBER($M682)),"",$M682*CARBON_FRACTION_ROOT/1000)</f>
        <v/>
      </c>
      <c r="O682" s="11">
        <f>IF(AND($A682="",$B682="",$G682=""),"",IF(AND($B682&lt;&gt;"",COUNTIFS('2. Soil Data'!$B$5:$B$604,$B682)=0),"Core ID not found in Soil Data, so the corer diameter cannot be looked up. ","")&amp;IF(ASH_CORRECTED&lt;&gt;"Yes","Root mass is NOT ash-corrected, so it includes adhering mineral soil and is too high. Set ASH_CORRECTED once you have done it. ","")&amp;IF(AND(ASH_CORRECTED="Yes",NOT(ISNUMBER($H682))),"Ash correction is switched on but no ash fraction is given for this row. ","")&amp;IF($I682="","Sieve mesh not recorded — a fine-root figure cannot be interpreted without it. ","")&amp;IF(AND(ISNUMBER($H682),$H682&gt;0.5),"Ash fraction above 0.5 — over half this sample was mineral soil. Re-wash. ","")&amp;IF($F682="Not separated","Live and dead not separated. Fine for a stock, but "&amp;"note it in reporting. ",""))</f>
        <v/>
      </c>
      <c r="P682" s="6" t="n"/>
      <c r="Q682" s="9">
        <f>IF($B682="",0,IF(COUNTIFS($B$5:$B682,$B682)=1,1,0))</f>
        <v/>
      </c>
    </row>
    <row r="683">
      <c r="A683" s="6" t="n"/>
      <c r="B683" s="6" t="n"/>
      <c r="C683" s="6" t="n"/>
      <c r="D683" s="6" t="n"/>
      <c r="E683" s="6" t="n"/>
      <c r="F683" s="6" t="n"/>
      <c r="G683" s="7" t="n"/>
      <c r="H683" s="7" t="n"/>
      <c r="I683" s="6" t="n"/>
      <c r="J683" s="9">
        <f>IF(NOT(ISNUMBER($G683)),"",IF(AND(ASH_CORRECTED="Yes",ISNUMBER($H683)),$G683*(1-$H683),$G683))</f>
        <v/>
      </c>
      <c r="K683" s="9">
        <f>IF($B683="","",IFERROR(AVERAGEIFS('2. Soil Data'!$G$5:$G$604,'2. Soil Data'!$B$5:$B$604,$B683),""))</f>
        <v/>
      </c>
      <c r="L683" s="9">
        <f>IF(NOT(ISNUMBER($K683)),"",PI()*($K683/2)^2)</f>
        <v/>
      </c>
      <c r="M683" s="9">
        <f>IF(OR(NOT(ISNUMBER($J683)),NOT(ISNUMBER($L683)),$L683=0),"",$J683/$L683*10000)</f>
        <v/>
      </c>
      <c r="N683" s="9">
        <f>IF(NOT(ISNUMBER($M683)),"",$M683*CARBON_FRACTION_ROOT/1000)</f>
        <v/>
      </c>
      <c r="O683" s="11">
        <f>IF(AND($A683="",$B683="",$G683=""),"",IF(AND($B683&lt;&gt;"",COUNTIFS('2. Soil Data'!$B$5:$B$604,$B683)=0),"Core ID not found in Soil Data, so the corer diameter cannot be looked up. ","")&amp;IF(ASH_CORRECTED&lt;&gt;"Yes","Root mass is NOT ash-corrected, so it includes adhering mineral soil and is too high. Set ASH_CORRECTED once you have done it. ","")&amp;IF(AND(ASH_CORRECTED="Yes",NOT(ISNUMBER($H683))),"Ash correction is switched on but no ash fraction is given for this row. ","")&amp;IF($I683="","Sieve mesh not recorded — a fine-root figure cannot be interpreted without it. ","")&amp;IF(AND(ISNUMBER($H683),$H683&gt;0.5),"Ash fraction above 0.5 — over half this sample was mineral soil. Re-wash. ","")&amp;IF($F683="Not separated","Live and dead not separated. Fine for a stock, but "&amp;"note it in reporting. ",""))</f>
        <v/>
      </c>
      <c r="P683" s="6" t="n"/>
      <c r="Q683" s="9">
        <f>IF($B683="",0,IF(COUNTIFS($B$5:$B683,$B683)=1,1,0))</f>
        <v/>
      </c>
    </row>
    <row r="684">
      <c r="A684" s="6" t="n"/>
      <c r="B684" s="6" t="n"/>
      <c r="C684" s="6" t="n"/>
      <c r="D684" s="6" t="n"/>
      <c r="E684" s="6" t="n"/>
      <c r="F684" s="6" t="n"/>
      <c r="G684" s="7" t="n"/>
      <c r="H684" s="7" t="n"/>
      <c r="I684" s="6" t="n"/>
      <c r="J684" s="9">
        <f>IF(NOT(ISNUMBER($G684)),"",IF(AND(ASH_CORRECTED="Yes",ISNUMBER($H684)),$G684*(1-$H684),$G684))</f>
        <v/>
      </c>
      <c r="K684" s="9">
        <f>IF($B684="","",IFERROR(AVERAGEIFS('2. Soil Data'!$G$5:$G$604,'2. Soil Data'!$B$5:$B$604,$B684),""))</f>
        <v/>
      </c>
      <c r="L684" s="9">
        <f>IF(NOT(ISNUMBER($K684)),"",PI()*($K684/2)^2)</f>
        <v/>
      </c>
      <c r="M684" s="9">
        <f>IF(OR(NOT(ISNUMBER($J684)),NOT(ISNUMBER($L684)),$L684=0),"",$J684/$L684*10000)</f>
        <v/>
      </c>
      <c r="N684" s="9">
        <f>IF(NOT(ISNUMBER($M684)),"",$M684*CARBON_FRACTION_ROOT/1000)</f>
        <v/>
      </c>
      <c r="O684" s="11">
        <f>IF(AND($A684="",$B684="",$G684=""),"",IF(AND($B684&lt;&gt;"",COUNTIFS('2. Soil Data'!$B$5:$B$604,$B684)=0),"Core ID not found in Soil Data, so the corer diameter cannot be looked up. ","")&amp;IF(ASH_CORRECTED&lt;&gt;"Yes","Root mass is NOT ash-corrected, so it includes adhering mineral soil and is too high. Set ASH_CORRECTED once you have done it. ","")&amp;IF(AND(ASH_CORRECTED="Yes",NOT(ISNUMBER($H684))),"Ash correction is switched on but no ash fraction is given for this row. ","")&amp;IF($I684="","Sieve mesh not recorded — a fine-root figure cannot be interpreted without it. ","")&amp;IF(AND(ISNUMBER($H684),$H684&gt;0.5),"Ash fraction above 0.5 — over half this sample was mineral soil. Re-wash. ","")&amp;IF($F684="Not separated","Live and dead not separated. Fine for a stock, but "&amp;"note it in reporting. ",""))</f>
        <v/>
      </c>
      <c r="P684" s="6" t="n"/>
      <c r="Q684" s="9">
        <f>IF($B684="",0,IF(COUNTIFS($B$5:$B684,$B684)=1,1,0))</f>
        <v/>
      </c>
    </row>
    <row r="685">
      <c r="A685" s="6" t="n"/>
      <c r="B685" s="6" t="n"/>
      <c r="C685" s="6" t="n"/>
      <c r="D685" s="6" t="n"/>
      <c r="E685" s="6" t="n"/>
      <c r="F685" s="6" t="n"/>
      <c r="G685" s="7" t="n"/>
      <c r="H685" s="7" t="n"/>
      <c r="I685" s="6" t="n"/>
      <c r="J685" s="9">
        <f>IF(NOT(ISNUMBER($G685)),"",IF(AND(ASH_CORRECTED="Yes",ISNUMBER($H685)),$G685*(1-$H685),$G685))</f>
        <v/>
      </c>
      <c r="K685" s="9">
        <f>IF($B685="","",IFERROR(AVERAGEIFS('2. Soil Data'!$G$5:$G$604,'2. Soil Data'!$B$5:$B$604,$B685),""))</f>
        <v/>
      </c>
      <c r="L685" s="9">
        <f>IF(NOT(ISNUMBER($K685)),"",PI()*($K685/2)^2)</f>
        <v/>
      </c>
      <c r="M685" s="9">
        <f>IF(OR(NOT(ISNUMBER($J685)),NOT(ISNUMBER($L685)),$L685=0),"",$J685/$L685*10000)</f>
        <v/>
      </c>
      <c r="N685" s="9">
        <f>IF(NOT(ISNUMBER($M685)),"",$M685*CARBON_FRACTION_ROOT/1000)</f>
        <v/>
      </c>
      <c r="O685" s="11">
        <f>IF(AND($A685="",$B685="",$G685=""),"",IF(AND($B685&lt;&gt;"",COUNTIFS('2. Soil Data'!$B$5:$B$604,$B685)=0),"Core ID not found in Soil Data, so the corer diameter cannot be looked up. ","")&amp;IF(ASH_CORRECTED&lt;&gt;"Yes","Root mass is NOT ash-corrected, so it includes adhering mineral soil and is too high. Set ASH_CORRECTED once you have done it. ","")&amp;IF(AND(ASH_CORRECTED="Yes",NOT(ISNUMBER($H685))),"Ash correction is switched on but no ash fraction is given for this row. ","")&amp;IF($I685="","Sieve mesh not recorded — a fine-root figure cannot be interpreted without it. ","")&amp;IF(AND(ISNUMBER($H685),$H685&gt;0.5),"Ash fraction above 0.5 — over half this sample was mineral soil. Re-wash. ","")&amp;IF($F685="Not separated","Live and dead not separated. Fine for a stock, but "&amp;"note it in reporting. ",""))</f>
        <v/>
      </c>
      <c r="P685" s="6" t="n"/>
      <c r="Q685" s="9">
        <f>IF($B685="",0,IF(COUNTIFS($B$5:$B685,$B685)=1,1,0))</f>
        <v/>
      </c>
    </row>
    <row r="686">
      <c r="A686" s="6" t="n"/>
      <c r="B686" s="6" t="n"/>
      <c r="C686" s="6" t="n"/>
      <c r="D686" s="6" t="n"/>
      <c r="E686" s="6" t="n"/>
      <c r="F686" s="6" t="n"/>
      <c r="G686" s="7" t="n"/>
      <c r="H686" s="7" t="n"/>
      <c r="I686" s="6" t="n"/>
      <c r="J686" s="9">
        <f>IF(NOT(ISNUMBER($G686)),"",IF(AND(ASH_CORRECTED="Yes",ISNUMBER($H686)),$G686*(1-$H686),$G686))</f>
        <v/>
      </c>
      <c r="K686" s="9">
        <f>IF($B686="","",IFERROR(AVERAGEIFS('2. Soil Data'!$G$5:$G$604,'2. Soil Data'!$B$5:$B$604,$B686),""))</f>
        <v/>
      </c>
      <c r="L686" s="9">
        <f>IF(NOT(ISNUMBER($K686)),"",PI()*($K686/2)^2)</f>
        <v/>
      </c>
      <c r="M686" s="9">
        <f>IF(OR(NOT(ISNUMBER($J686)),NOT(ISNUMBER($L686)),$L686=0),"",$J686/$L686*10000)</f>
        <v/>
      </c>
      <c r="N686" s="9">
        <f>IF(NOT(ISNUMBER($M686)),"",$M686*CARBON_FRACTION_ROOT/1000)</f>
        <v/>
      </c>
      <c r="O686" s="11">
        <f>IF(AND($A686="",$B686="",$G686=""),"",IF(AND($B686&lt;&gt;"",COUNTIFS('2. Soil Data'!$B$5:$B$604,$B686)=0),"Core ID not found in Soil Data, so the corer diameter cannot be looked up. ","")&amp;IF(ASH_CORRECTED&lt;&gt;"Yes","Root mass is NOT ash-corrected, so it includes adhering mineral soil and is too high. Set ASH_CORRECTED once you have done it. ","")&amp;IF(AND(ASH_CORRECTED="Yes",NOT(ISNUMBER($H686))),"Ash correction is switched on but no ash fraction is given for this row. ","")&amp;IF($I686="","Sieve mesh not recorded — a fine-root figure cannot be interpreted without it. ","")&amp;IF(AND(ISNUMBER($H686),$H686&gt;0.5),"Ash fraction above 0.5 — over half this sample was mineral soil. Re-wash. ","")&amp;IF($F686="Not separated","Live and dead not separated. Fine for a stock, but "&amp;"note it in reporting. ",""))</f>
        <v/>
      </c>
      <c r="P686" s="6" t="n"/>
      <c r="Q686" s="9">
        <f>IF($B686="",0,IF(COUNTIFS($B$5:$B686,$B686)=1,1,0))</f>
        <v/>
      </c>
    </row>
    <row r="687">
      <c r="A687" s="6" t="n"/>
      <c r="B687" s="6" t="n"/>
      <c r="C687" s="6" t="n"/>
      <c r="D687" s="6" t="n"/>
      <c r="E687" s="6" t="n"/>
      <c r="F687" s="6" t="n"/>
      <c r="G687" s="7" t="n"/>
      <c r="H687" s="7" t="n"/>
      <c r="I687" s="6" t="n"/>
      <c r="J687" s="9">
        <f>IF(NOT(ISNUMBER($G687)),"",IF(AND(ASH_CORRECTED="Yes",ISNUMBER($H687)),$G687*(1-$H687),$G687))</f>
        <v/>
      </c>
      <c r="K687" s="9">
        <f>IF($B687="","",IFERROR(AVERAGEIFS('2. Soil Data'!$G$5:$G$604,'2. Soil Data'!$B$5:$B$604,$B687),""))</f>
        <v/>
      </c>
      <c r="L687" s="9">
        <f>IF(NOT(ISNUMBER($K687)),"",PI()*($K687/2)^2)</f>
        <v/>
      </c>
      <c r="M687" s="9">
        <f>IF(OR(NOT(ISNUMBER($J687)),NOT(ISNUMBER($L687)),$L687=0),"",$J687/$L687*10000)</f>
        <v/>
      </c>
      <c r="N687" s="9">
        <f>IF(NOT(ISNUMBER($M687)),"",$M687*CARBON_FRACTION_ROOT/1000)</f>
        <v/>
      </c>
      <c r="O687" s="11">
        <f>IF(AND($A687="",$B687="",$G687=""),"",IF(AND($B687&lt;&gt;"",COUNTIFS('2. Soil Data'!$B$5:$B$604,$B687)=0),"Core ID not found in Soil Data, so the corer diameter cannot be looked up. ","")&amp;IF(ASH_CORRECTED&lt;&gt;"Yes","Root mass is NOT ash-corrected, so it includes adhering mineral soil and is too high. Set ASH_CORRECTED once you have done it. ","")&amp;IF(AND(ASH_CORRECTED="Yes",NOT(ISNUMBER($H687))),"Ash correction is switched on but no ash fraction is given for this row. ","")&amp;IF($I687="","Sieve mesh not recorded — a fine-root figure cannot be interpreted without it. ","")&amp;IF(AND(ISNUMBER($H687),$H687&gt;0.5),"Ash fraction above 0.5 — over half this sample was mineral soil. Re-wash. ","")&amp;IF($F687="Not separated","Live and dead not separated. Fine for a stock, but "&amp;"note it in reporting. ",""))</f>
        <v/>
      </c>
      <c r="P687" s="6" t="n"/>
      <c r="Q687" s="9">
        <f>IF($B687="",0,IF(COUNTIFS($B$5:$B687,$B687)=1,1,0))</f>
        <v/>
      </c>
    </row>
    <row r="688">
      <c r="A688" s="6" t="n"/>
      <c r="B688" s="6" t="n"/>
      <c r="C688" s="6" t="n"/>
      <c r="D688" s="6" t="n"/>
      <c r="E688" s="6" t="n"/>
      <c r="F688" s="6" t="n"/>
      <c r="G688" s="7" t="n"/>
      <c r="H688" s="7" t="n"/>
      <c r="I688" s="6" t="n"/>
      <c r="J688" s="9">
        <f>IF(NOT(ISNUMBER($G688)),"",IF(AND(ASH_CORRECTED="Yes",ISNUMBER($H688)),$G688*(1-$H688),$G688))</f>
        <v/>
      </c>
      <c r="K688" s="9">
        <f>IF($B688="","",IFERROR(AVERAGEIFS('2. Soil Data'!$G$5:$G$604,'2. Soil Data'!$B$5:$B$604,$B688),""))</f>
        <v/>
      </c>
      <c r="L688" s="9">
        <f>IF(NOT(ISNUMBER($K688)),"",PI()*($K688/2)^2)</f>
        <v/>
      </c>
      <c r="M688" s="9">
        <f>IF(OR(NOT(ISNUMBER($J688)),NOT(ISNUMBER($L688)),$L688=0),"",$J688/$L688*10000)</f>
        <v/>
      </c>
      <c r="N688" s="9">
        <f>IF(NOT(ISNUMBER($M688)),"",$M688*CARBON_FRACTION_ROOT/1000)</f>
        <v/>
      </c>
      <c r="O688" s="11">
        <f>IF(AND($A688="",$B688="",$G688=""),"",IF(AND($B688&lt;&gt;"",COUNTIFS('2. Soil Data'!$B$5:$B$604,$B688)=0),"Core ID not found in Soil Data, so the corer diameter cannot be looked up. ","")&amp;IF(ASH_CORRECTED&lt;&gt;"Yes","Root mass is NOT ash-corrected, so it includes adhering mineral soil and is too high. Set ASH_CORRECTED once you have done it. ","")&amp;IF(AND(ASH_CORRECTED="Yes",NOT(ISNUMBER($H688))),"Ash correction is switched on but no ash fraction is given for this row. ","")&amp;IF($I688="","Sieve mesh not recorded — a fine-root figure cannot be interpreted without it. ","")&amp;IF(AND(ISNUMBER($H688),$H688&gt;0.5),"Ash fraction above 0.5 — over half this sample was mineral soil. Re-wash. ","")&amp;IF($F688="Not separated","Live and dead not separated. Fine for a stock, but "&amp;"note it in reporting. ",""))</f>
        <v/>
      </c>
      <c r="P688" s="6" t="n"/>
      <c r="Q688" s="9">
        <f>IF($B688="",0,IF(COUNTIFS($B$5:$B688,$B688)=1,1,0))</f>
        <v/>
      </c>
    </row>
    <row r="689">
      <c r="A689" s="6" t="n"/>
      <c r="B689" s="6" t="n"/>
      <c r="C689" s="6" t="n"/>
      <c r="D689" s="6" t="n"/>
      <c r="E689" s="6" t="n"/>
      <c r="F689" s="6" t="n"/>
      <c r="G689" s="7" t="n"/>
      <c r="H689" s="7" t="n"/>
      <c r="I689" s="6" t="n"/>
      <c r="J689" s="9">
        <f>IF(NOT(ISNUMBER($G689)),"",IF(AND(ASH_CORRECTED="Yes",ISNUMBER($H689)),$G689*(1-$H689),$G689))</f>
        <v/>
      </c>
      <c r="K689" s="9">
        <f>IF($B689="","",IFERROR(AVERAGEIFS('2. Soil Data'!$G$5:$G$604,'2. Soil Data'!$B$5:$B$604,$B689),""))</f>
        <v/>
      </c>
      <c r="L689" s="9">
        <f>IF(NOT(ISNUMBER($K689)),"",PI()*($K689/2)^2)</f>
        <v/>
      </c>
      <c r="M689" s="9">
        <f>IF(OR(NOT(ISNUMBER($J689)),NOT(ISNUMBER($L689)),$L689=0),"",$J689/$L689*10000)</f>
        <v/>
      </c>
      <c r="N689" s="9">
        <f>IF(NOT(ISNUMBER($M689)),"",$M689*CARBON_FRACTION_ROOT/1000)</f>
        <v/>
      </c>
      <c r="O689" s="11">
        <f>IF(AND($A689="",$B689="",$G689=""),"",IF(AND($B689&lt;&gt;"",COUNTIFS('2. Soil Data'!$B$5:$B$604,$B689)=0),"Core ID not found in Soil Data, so the corer diameter cannot be looked up. ","")&amp;IF(ASH_CORRECTED&lt;&gt;"Yes","Root mass is NOT ash-corrected, so it includes adhering mineral soil and is too high. Set ASH_CORRECTED once you have done it. ","")&amp;IF(AND(ASH_CORRECTED="Yes",NOT(ISNUMBER($H689))),"Ash correction is switched on but no ash fraction is given for this row. ","")&amp;IF($I689="","Sieve mesh not recorded — a fine-root figure cannot be interpreted without it. ","")&amp;IF(AND(ISNUMBER($H689),$H689&gt;0.5),"Ash fraction above 0.5 — over half this sample was mineral soil. Re-wash. ","")&amp;IF($F689="Not separated","Live and dead not separated. Fine for a stock, but "&amp;"note it in reporting. ",""))</f>
        <v/>
      </c>
      <c r="P689" s="6" t="n"/>
      <c r="Q689" s="9">
        <f>IF($B689="",0,IF(COUNTIFS($B$5:$B689,$B689)=1,1,0))</f>
        <v/>
      </c>
    </row>
    <row r="690">
      <c r="A690" s="6" t="n"/>
      <c r="B690" s="6" t="n"/>
      <c r="C690" s="6" t="n"/>
      <c r="D690" s="6" t="n"/>
      <c r="E690" s="6" t="n"/>
      <c r="F690" s="6" t="n"/>
      <c r="G690" s="7" t="n"/>
      <c r="H690" s="7" t="n"/>
      <c r="I690" s="6" t="n"/>
      <c r="J690" s="9">
        <f>IF(NOT(ISNUMBER($G690)),"",IF(AND(ASH_CORRECTED="Yes",ISNUMBER($H690)),$G690*(1-$H690),$G690))</f>
        <v/>
      </c>
      <c r="K690" s="9">
        <f>IF($B690="","",IFERROR(AVERAGEIFS('2. Soil Data'!$G$5:$G$604,'2. Soil Data'!$B$5:$B$604,$B690),""))</f>
        <v/>
      </c>
      <c r="L690" s="9">
        <f>IF(NOT(ISNUMBER($K690)),"",PI()*($K690/2)^2)</f>
        <v/>
      </c>
      <c r="M690" s="9">
        <f>IF(OR(NOT(ISNUMBER($J690)),NOT(ISNUMBER($L690)),$L690=0),"",$J690/$L690*10000)</f>
        <v/>
      </c>
      <c r="N690" s="9">
        <f>IF(NOT(ISNUMBER($M690)),"",$M690*CARBON_FRACTION_ROOT/1000)</f>
        <v/>
      </c>
      <c r="O690" s="11">
        <f>IF(AND($A690="",$B690="",$G690=""),"",IF(AND($B690&lt;&gt;"",COUNTIFS('2. Soil Data'!$B$5:$B$604,$B690)=0),"Core ID not found in Soil Data, so the corer diameter cannot be looked up. ","")&amp;IF(ASH_CORRECTED&lt;&gt;"Yes","Root mass is NOT ash-corrected, so it includes adhering mineral soil and is too high. Set ASH_CORRECTED once you have done it. ","")&amp;IF(AND(ASH_CORRECTED="Yes",NOT(ISNUMBER($H690))),"Ash correction is switched on but no ash fraction is given for this row. ","")&amp;IF($I690="","Sieve mesh not recorded — a fine-root figure cannot be interpreted without it. ","")&amp;IF(AND(ISNUMBER($H690),$H690&gt;0.5),"Ash fraction above 0.5 — over half this sample was mineral soil. Re-wash. ","")&amp;IF($F690="Not separated","Live and dead not separated. Fine for a stock, but "&amp;"note it in reporting. ",""))</f>
        <v/>
      </c>
      <c r="P690" s="6" t="n"/>
      <c r="Q690" s="9">
        <f>IF($B690="",0,IF(COUNTIFS($B$5:$B690,$B690)=1,1,0))</f>
        <v/>
      </c>
    </row>
    <row r="691">
      <c r="A691" s="6" t="n"/>
      <c r="B691" s="6" t="n"/>
      <c r="C691" s="6" t="n"/>
      <c r="D691" s="6" t="n"/>
      <c r="E691" s="6" t="n"/>
      <c r="F691" s="6" t="n"/>
      <c r="G691" s="7" t="n"/>
      <c r="H691" s="7" t="n"/>
      <c r="I691" s="6" t="n"/>
      <c r="J691" s="9">
        <f>IF(NOT(ISNUMBER($G691)),"",IF(AND(ASH_CORRECTED="Yes",ISNUMBER($H691)),$G691*(1-$H691),$G691))</f>
        <v/>
      </c>
      <c r="K691" s="9">
        <f>IF($B691="","",IFERROR(AVERAGEIFS('2. Soil Data'!$G$5:$G$604,'2. Soil Data'!$B$5:$B$604,$B691),""))</f>
        <v/>
      </c>
      <c r="L691" s="9">
        <f>IF(NOT(ISNUMBER($K691)),"",PI()*($K691/2)^2)</f>
        <v/>
      </c>
      <c r="M691" s="9">
        <f>IF(OR(NOT(ISNUMBER($J691)),NOT(ISNUMBER($L691)),$L691=0),"",$J691/$L691*10000)</f>
        <v/>
      </c>
      <c r="N691" s="9">
        <f>IF(NOT(ISNUMBER($M691)),"",$M691*CARBON_FRACTION_ROOT/1000)</f>
        <v/>
      </c>
      <c r="O691" s="11">
        <f>IF(AND($A691="",$B691="",$G691=""),"",IF(AND($B691&lt;&gt;"",COUNTIFS('2. Soil Data'!$B$5:$B$604,$B691)=0),"Core ID not found in Soil Data, so the corer diameter cannot be looked up. ","")&amp;IF(ASH_CORRECTED&lt;&gt;"Yes","Root mass is NOT ash-corrected, so it includes adhering mineral soil and is too high. Set ASH_CORRECTED once you have done it. ","")&amp;IF(AND(ASH_CORRECTED="Yes",NOT(ISNUMBER($H691))),"Ash correction is switched on but no ash fraction is given for this row. ","")&amp;IF($I691="","Sieve mesh not recorded — a fine-root figure cannot be interpreted without it. ","")&amp;IF(AND(ISNUMBER($H691),$H691&gt;0.5),"Ash fraction above 0.5 — over half this sample was mineral soil. Re-wash. ","")&amp;IF($F691="Not separated","Live and dead not separated. Fine for a stock, but "&amp;"note it in reporting. ",""))</f>
        <v/>
      </c>
      <c r="P691" s="6" t="n"/>
      <c r="Q691" s="9">
        <f>IF($B691="",0,IF(COUNTIFS($B$5:$B691,$B691)=1,1,0))</f>
        <v/>
      </c>
    </row>
    <row r="692">
      <c r="A692" s="6" t="n"/>
      <c r="B692" s="6" t="n"/>
      <c r="C692" s="6" t="n"/>
      <c r="D692" s="6" t="n"/>
      <c r="E692" s="6" t="n"/>
      <c r="F692" s="6" t="n"/>
      <c r="G692" s="7" t="n"/>
      <c r="H692" s="7" t="n"/>
      <c r="I692" s="6" t="n"/>
      <c r="J692" s="9">
        <f>IF(NOT(ISNUMBER($G692)),"",IF(AND(ASH_CORRECTED="Yes",ISNUMBER($H692)),$G692*(1-$H692),$G692))</f>
        <v/>
      </c>
      <c r="K692" s="9">
        <f>IF($B692="","",IFERROR(AVERAGEIFS('2. Soil Data'!$G$5:$G$604,'2. Soil Data'!$B$5:$B$604,$B692),""))</f>
        <v/>
      </c>
      <c r="L692" s="9">
        <f>IF(NOT(ISNUMBER($K692)),"",PI()*($K692/2)^2)</f>
        <v/>
      </c>
      <c r="M692" s="9">
        <f>IF(OR(NOT(ISNUMBER($J692)),NOT(ISNUMBER($L692)),$L692=0),"",$J692/$L692*10000)</f>
        <v/>
      </c>
      <c r="N692" s="9">
        <f>IF(NOT(ISNUMBER($M692)),"",$M692*CARBON_FRACTION_ROOT/1000)</f>
        <v/>
      </c>
      <c r="O692" s="11">
        <f>IF(AND($A692="",$B692="",$G692=""),"",IF(AND($B692&lt;&gt;"",COUNTIFS('2. Soil Data'!$B$5:$B$604,$B692)=0),"Core ID not found in Soil Data, so the corer diameter cannot be looked up. ","")&amp;IF(ASH_CORRECTED&lt;&gt;"Yes","Root mass is NOT ash-corrected, so it includes adhering mineral soil and is too high. Set ASH_CORRECTED once you have done it. ","")&amp;IF(AND(ASH_CORRECTED="Yes",NOT(ISNUMBER($H692))),"Ash correction is switched on but no ash fraction is given for this row. ","")&amp;IF($I692="","Sieve mesh not recorded — a fine-root figure cannot be interpreted without it. ","")&amp;IF(AND(ISNUMBER($H692),$H692&gt;0.5),"Ash fraction above 0.5 — over half this sample was mineral soil. Re-wash. ","")&amp;IF($F692="Not separated","Live and dead not separated. Fine for a stock, but "&amp;"note it in reporting. ",""))</f>
        <v/>
      </c>
      <c r="P692" s="6" t="n"/>
      <c r="Q692" s="9">
        <f>IF($B692="",0,IF(COUNTIFS($B$5:$B692,$B692)=1,1,0))</f>
        <v/>
      </c>
    </row>
    <row r="693">
      <c r="A693" s="6" t="n"/>
      <c r="B693" s="6" t="n"/>
      <c r="C693" s="6" t="n"/>
      <c r="D693" s="6" t="n"/>
      <c r="E693" s="6" t="n"/>
      <c r="F693" s="6" t="n"/>
      <c r="G693" s="7" t="n"/>
      <c r="H693" s="7" t="n"/>
      <c r="I693" s="6" t="n"/>
      <c r="J693" s="9">
        <f>IF(NOT(ISNUMBER($G693)),"",IF(AND(ASH_CORRECTED="Yes",ISNUMBER($H693)),$G693*(1-$H693),$G693))</f>
        <v/>
      </c>
      <c r="K693" s="9">
        <f>IF($B693="","",IFERROR(AVERAGEIFS('2. Soil Data'!$G$5:$G$604,'2. Soil Data'!$B$5:$B$604,$B693),""))</f>
        <v/>
      </c>
      <c r="L693" s="9">
        <f>IF(NOT(ISNUMBER($K693)),"",PI()*($K693/2)^2)</f>
        <v/>
      </c>
      <c r="M693" s="9">
        <f>IF(OR(NOT(ISNUMBER($J693)),NOT(ISNUMBER($L693)),$L693=0),"",$J693/$L693*10000)</f>
        <v/>
      </c>
      <c r="N693" s="9">
        <f>IF(NOT(ISNUMBER($M693)),"",$M693*CARBON_FRACTION_ROOT/1000)</f>
        <v/>
      </c>
      <c r="O693" s="11">
        <f>IF(AND($A693="",$B693="",$G693=""),"",IF(AND($B693&lt;&gt;"",COUNTIFS('2. Soil Data'!$B$5:$B$604,$B693)=0),"Core ID not found in Soil Data, so the corer diameter cannot be looked up. ","")&amp;IF(ASH_CORRECTED&lt;&gt;"Yes","Root mass is NOT ash-corrected, so it includes adhering mineral soil and is too high. Set ASH_CORRECTED once you have done it. ","")&amp;IF(AND(ASH_CORRECTED="Yes",NOT(ISNUMBER($H693))),"Ash correction is switched on but no ash fraction is given for this row. ","")&amp;IF($I693="","Sieve mesh not recorded — a fine-root figure cannot be interpreted without it. ","")&amp;IF(AND(ISNUMBER($H693),$H693&gt;0.5),"Ash fraction above 0.5 — over half this sample was mineral soil. Re-wash. ","")&amp;IF($F693="Not separated","Live and dead not separated. Fine for a stock, but "&amp;"note it in reporting. ",""))</f>
        <v/>
      </c>
      <c r="P693" s="6" t="n"/>
      <c r="Q693" s="9">
        <f>IF($B693="",0,IF(COUNTIFS($B$5:$B693,$B693)=1,1,0))</f>
        <v/>
      </c>
    </row>
    <row r="694">
      <c r="A694" s="6" t="n"/>
      <c r="B694" s="6" t="n"/>
      <c r="C694" s="6" t="n"/>
      <c r="D694" s="6" t="n"/>
      <c r="E694" s="6" t="n"/>
      <c r="F694" s="6" t="n"/>
      <c r="G694" s="7" t="n"/>
      <c r="H694" s="7" t="n"/>
      <c r="I694" s="6" t="n"/>
      <c r="J694" s="9">
        <f>IF(NOT(ISNUMBER($G694)),"",IF(AND(ASH_CORRECTED="Yes",ISNUMBER($H694)),$G694*(1-$H694),$G694))</f>
        <v/>
      </c>
      <c r="K694" s="9">
        <f>IF($B694="","",IFERROR(AVERAGEIFS('2. Soil Data'!$G$5:$G$604,'2. Soil Data'!$B$5:$B$604,$B694),""))</f>
        <v/>
      </c>
      <c r="L694" s="9">
        <f>IF(NOT(ISNUMBER($K694)),"",PI()*($K694/2)^2)</f>
        <v/>
      </c>
      <c r="M694" s="9">
        <f>IF(OR(NOT(ISNUMBER($J694)),NOT(ISNUMBER($L694)),$L694=0),"",$J694/$L694*10000)</f>
        <v/>
      </c>
      <c r="N694" s="9">
        <f>IF(NOT(ISNUMBER($M694)),"",$M694*CARBON_FRACTION_ROOT/1000)</f>
        <v/>
      </c>
      <c r="O694" s="11">
        <f>IF(AND($A694="",$B694="",$G694=""),"",IF(AND($B694&lt;&gt;"",COUNTIFS('2. Soil Data'!$B$5:$B$604,$B694)=0),"Core ID not found in Soil Data, so the corer diameter cannot be looked up. ","")&amp;IF(ASH_CORRECTED&lt;&gt;"Yes","Root mass is NOT ash-corrected, so it includes adhering mineral soil and is too high. Set ASH_CORRECTED once you have done it. ","")&amp;IF(AND(ASH_CORRECTED="Yes",NOT(ISNUMBER($H694))),"Ash correction is switched on but no ash fraction is given for this row. ","")&amp;IF($I694="","Sieve mesh not recorded — a fine-root figure cannot be interpreted without it. ","")&amp;IF(AND(ISNUMBER($H694),$H694&gt;0.5),"Ash fraction above 0.5 — over half this sample was mineral soil. Re-wash. ","")&amp;IF($F694="Not separated","Live and dead not separated. Fine for a stock, but "&amp;"note it in reporting. ",""))</f>
        <v/>
      </c>
      <c r="P694" s="6" t="n"/>
      <c r="Q694" s="9">
        <f>IF($B694="",0,IF(COUNTIFS($B$5:$B694,$B694)=1,1,0))</f>
        <v/>
      </c>
    </row>
    <row r="695">
      <c r="A695" s="6" t="n"/>
      <c r="B695" s="6" t="n"/>
      <c r="C695" s="6" t="n"/>
      <c r="D695" s="6" t="n"/>
      <c r="E695" s="6" t="n"/>
      <c r="F695" s="6" t="n"/>
      <c r="G695" s="7" t="n"/>
      <c r="H695" s="7" t="n"/>
      <c r="I695" s="6" t="n"/>
      <c r="J695" s="9">
        <f>IF(NOT(ISNUMBER($G695)),"",IF(AND(ASH_CORRECTED="Yes",ISNUMBER($H695)),$G695*(1-$H695),$G695))</f>
        <v/>
      </c>
      <c r="K695" s="9">
        <f>IF($B695="","",IFERROR(AVERAGEIFS('2. Soil Data'!$G$5:$G$604,'2. Soil Data'!$B$5:$B$604,$B695),""))</f>
        <v/>
      </c>
      <c r="L695" s="9">
        <f>IF(NOT(ISNUMBER($K695)),"",PI()*($K695/2)^2)</f>
        <v/>
      </c>
      <c r="M695" s="9">
        <f>IF(OR(NOT(ISNUMBER($J695)),NOT(ISNUMBER($L695)),$L695=0),"",$J695/$L695*10000)</f>
        <v/>
      </c>
      <c r="N695" s="9">
        <f>IF(NOT(ISNUMBER($M695)),"",$M695*CARBON_FRACTION_ROOT/1000)</f>
        <v/>
      </c>
      <c r="O695" s="11">
        <f>IF(AND($A695="",$B695="",$G695=""),"",IF(AND($B695&lt;&gt;"",COUNTIFS('2. Soil Data'!$B$5:$B$604,$B695)=0),"Core ID not found in Soil Data, so the corer diameter cannot be looked up. ","")&amp;IF(ASH_CORRECTED&lt;&gt;"Yes","Root mass is NOT ash-corrected, so it includes adhering mineral soil and is too high. Set ASH_CORRECTED once you have done it. ","")&amp;IF(AND(ASH_CORRECTED="Yes",NOT(ISNUMBER($H695))),"Ash correction is switched on but no ash fraction is given for this row. ","")&amp;IF($I695="","Sieve mesh not recorded — a fine-root figure cannot be interpreted without it. ","")&amp;IF(AND(ISNUMBER($H695),$H695&gt;0.5),"Ash fraction above 0.5 — over half this sample was mineral soil. Re-wash. ","")&amp;IF($F695="Not separated","Live and dead not separated. Fine for a stock, but "&amp;"note it in reporting. ",""))</f>
        <v/>
      </c>
      <c r="P695" s="6" t="n"/>
      <c r="Q695" s="9">
        <f>IF($B695="",0,IF(COUNTIFS($B$5:$B695,$B695)=1,1,0))</f>
        <v/>
      </c>
    </row>
    <row r="696">
      <c r="A696" s="6" t="n"/>
      <c r="B696" s="6" t="n"/>
      <c r="C696" s="6" t="n"/>
      <c r="D696" s="6" t="n"/>
      <c r="E696" s="6" t="n"/>
      <c r="F696" s="6" t="n"/>
      <c r="G696" s="7" t="n"/>
      <c r="H696" s="7" t="n"/>
      <c r="I696" s="6" t="n"/>
      <c r="J696" s="9">
        <f>IF(NOT(ISNUMBER($G696)),"",IF(AND(ASH_CORRECTED="Yes",ISNUMBER($H696)),$G696*(1-$H696),$G696))</f>
        <v/>
      </c>
      <c r="K696" s="9">
        <f>IF($B696="","",IFERROR(AVERAGEIFS('2. Soil Data'!$G$5:$G$604,'2. Soil Data'!$B$5:$B$604,$B696),""))</f>
        <v/>
      </c>
      <c r="L696" s="9">
        <f>IF(NOT(ISNUMBER($K696)),"",PI()*($K696/2)^2)</f>
        <v/>
      </c>
      <c r="M696" s="9">
        <f>IF(OR(NOT(ISNUMBER($J696)),NOT(ISNUMBER($L696)),$L696=0),"",$J696/$L696*10000)</f>
        <v/>
      </c>
      <c r="N696" s="9">
        <f>IF(NOT(ISNUMBER($M696)),"",$M696*CARBON_FRACTION_ROOT/1000)</f>
        <v/>
      </c>
      <c r="O696" s="11">
        <f>IF(AND($A696="",$B696="",$G696=""),"",IF(AND($B696&lt;&gt;"",COUNTIFS('2. Soil Data'!$B$5:$B$604,$B696)=0),"Core ID not found in Soil Data, so the corer diameter cannot be looked up. ","")&amp;IF(ASH_CORRECTED&lt;&gt;"Yes","Root mass is NOT ash-corrected, so it includes adhering mineral soil and is too high. Set ASH_CORRECTED once you have done it. ","")&amp;IF(AND(ASH_CORRECTED="Yes",NOT(ISNUMBER($H696))),"Ash correction is switched on but no ash fraction is given for this row. ","")&amp;IF($I696="","Sieve mesh not recorded — a fine-root figure cannot be interpreted without it. ","")&amp;IF(AND(ISNUMBER($H696),$H696&gt;0.5),"Ash fraction above 0.5 — over half this sample was mineral soil. Re-wash. ","")&amp;IF($F696="Not separated","Live and dead not separated. Fine for a stock, but "&amp;"note it in reporting. ",""))</f>
        <v/>
      </c>
      <c r="P696" s="6" t="n"/>
      <c r="Q696" s="9">
        <f>IF($B696="",0,IF(COUNTIFS($B$5:$B696,$B696)=1,1,0))</f>
        <v/>
      </c>
    </row>
    <row r="697">
      <c r="A697" s="6" t="n"/>
      <c r="B697" s="6" t="n"/>
      <c r="C697" s="6" t="n"/>
      <c r="D697" s="6" t="n"/>
      <c r="E697" s="6" t="n"/>
      <c r="F697" s="6" t="n"/>
      <c r="G697" s="7" t="n"/>
      <c r="H697" s="7" t="n"/>
      <c r="I697" s="6" t="n"/>
      <c r="J697" s="9">
        <f>IF(NOT(ISNUMBER($G697)),"",IF(AND(ASH_CORRECTED="Yes",ISNUMBER($H697)),$G697*(1-$H697),$G697))</f>
        <v/>
      </c>
      <c r="K697" s="9">
        <f>IF($B697="","",IFERROR(AVERAGEIFS('2. Soil Data'!$G$5:$G$604,'2. Soil Data'!$B$5:$B$604,$B697),""))</f>
        <v/>
      </c>
      <c r="L697" s="9">
        <f>IF(NOT(ISNUMBER($K697)),"",PI()*($K697/2)^2)</f>
        <v/>
      </c>
      <c r="M697" s="9">
        <f>IF(OR(NOT(ISNUMBER($J697)),NOT(ISNUMBER($L697)),$L697=0),"",$J697/$L697*10000)</f>
        <v/>
      </c>
      <c r="N697" s="9">
        <f>IF(NOT(ISNUMBER($M697)),"",$M697*CARBON_FRACTION_ROOT/1000)</f>
        <v/>
      </c>
      <c r="O697" s="11">
        <f>IF(AND($A697="",$B697="",$G697=""),"",IF(AND($B697&lt;&gt;"",COUNTIFS('2. Soil Data'!$B$5:$B$604,$B697)=0),"Core ID not found in Soil Data, so the corer diameter cannot be looked up. ","")&amp;IF(ASH_CORRECTED&lt;&gt;"Yes","Root mass is NOT ash-corrected, so it includes adhering mineral soil and is too high. Set ASH_CORRECTED once you have done it. ","")&amp;IF(AND(ASH_CORRECTED="Yes",NOT(ISNUMBER($H697))),"Ash correction is switched on but no ash fraction is given for this row. ","")&amp;IF($I697="","Sieve mesh not recorded — a fine-root figure cannot be interpreted without it. ","")&amp;IF(AND(ISNUMBER($H697),$H697&gt;0.5),"Ash fraction above 0.5 — over half this sample was mineral soil. Re-wash. ","")&amp;IF($F697="Not separated","Live and dead not separated. Fine for a stock, but "&amp;"note it in reporting. ",""))</f>
        <v/>
      </c>
      <c r="P697" s="6" t="n"/>
      <c r="Q697" s="9">
        <f>IF($B697="",0,IF(COUNTIFS($B$5:$B697,$B697)=1,1,0))</f>
        <v/>
      </c>
    </row>
    <row r="698">
      <c r="A698" s="6" t="n"/>
      <c r="B698" s="6" t="n"/>
      <c r="C698" s="6" t="n"/>
      <c r="D698" s="6" t="n"/>
      <c r="E698" s="6" t="n"/>
      <c r="F698" s="6" t="n"/>
      <c r="G698" s="7" t="n"/>
      <c r="H698" s="7" t="n"/>
      <c r="I698" s="6" t="n"/>
      <c r="J698" s="9">
        <f>IF(NOT(ISNUMBER($G698)),"",IF(AND(ASH_CORRECTED="Yes",ISNUMBER($H698)),$G698*(1-$H698),$G698))</f>
        <v/>
      </c>
      <c r="K698" s="9">
        <f>IF($B698="","",IFERROR(AVERAGEIFS('2. Soil Data'!$G$5:$G$604,'2. Soil Data'!$B$5:$B$604,$B698),""))</f>
        <v/>
      </c>
      <c r="L698" s="9">
        <f>IF(NOT(ISNUMBER($K698)),"",PI()*($K698/2)^2)</f>
        <v/>
      </c>
      <c r="M698" s="9">
        <f>IF(OR(NOT(ISNUMBER($J698)),NOT(ISNUMBER($L698)),$L698=0),"",$J698/$L698*10000)</f>
        <v/>
      </c>
      <c r="N698" s="9">
        <f>IF(NOT(ISNUMBER($M698)),"",$M698*CARBON_FRACTION_ROOT/1000)</f>
        <v/>
      </c>
      <c r="O698" s="11">
        <f>IF(AND($A698="",$B698="",$G698=""),"",IF(AND($B698&lt;&gt;"",COUNTIFS('2. Soil Data'!$B$5:$B$604,$B698)=0),"Core ID not found in Soil Data, so the corer diameter cannot be looked up. ","")&amp;IF(ASH_CORRECTED&lt;&gt;"Yes","Root mass is NOT ash-corrected, so it includes adhering mineral soil and is too high. Set ASH_CORRECTED once you have done it. ","")&amp;IF(AND(ASH_CORRECTED="Yes",NOT(ISNUMBER($H698))),"Ash correction is switched on but no ash fraction is given for this row. ","")&amp;IF($I698="","Sieve mesh not recorded — a fine-root figure cannot be interpreted without it. ","")&amp;IF(AND(ISNUMBER($H698),$H698&gt;0.5),"Ash fraction above 0.5 — over half this sample was mineral soil. Re-wash. ","")&amp;IF($F698="Not separated","Live and dead not separated. Fine for a stock, but "&amp;"note it in reporting. ",""))</f>
        <v/>
      </c>
      <c r="P698" s="6" t="n"/>
      <c r="Q698" s="9">
        <f>IF($B698="",0,IF(COUNTIFS($B$5:$B698,$B698)=1,1,0))</f>
        <v/>
      </c>
    </row>
    <row r="699">
      <c r="A699" s="6" t="n"/>
      <c r="B699" s="6" t="n"/>
      <c r="C699" s="6" t="n"/>
      <c r="D699" s="6" t="n"/>
      <c r="E699" s="6" t="n"/>
      <c r="F699" s="6" t="n"/>
      <c r="G699" s="7" t="n"/>
      <c r="H699" s="7" t="n"/>
      <c r="I699" s="6" t="n"/>
      <c r="J699" s="9">
        <f>IF(NOT(ISNUMBER($G699)),"",IF(AND(ASH_CORRECTED="Yes",ISNUMBER($H699)),$G699*(1-$H699),$G699))</f>
        <v/>
      </c>
      <c r="K699" s="9">
        <f>IF($B699="","",IFERROR(AVERAGEIFS('2. Soil Data'!$G$5:$G$604,'2. Soil Data'!$B$5:$B$604,$B699),""))</f>
        <v/>
      </c>
      <c r="L699" s="9">
        <f>IF(NOT(ISNUMBER($K699)),"",PI()*($K699/2)^2)</f>
        <v/>
      </c>
      <c r="M699" s="9">
        <f>IF(OR(NOT(ISNUMBER($J699)),NOT(ISNUMBER($L699)),$L699=0),"",$J699/$L699*10000)</f>
        <v/>
      </c>
      <c r="N699" s="9">
        <f>IF(NOT(ISNUMBER($M699)),"",$M699*CARBON_FRACTION_ROOT/1000)</f>
        <v/>
      </c>
      <c r="O699" s="11">
        <f>IF(AND($A699="",$B699="",$G699=""),"",IF(AND($B699&lt;&gt;"",COUNTIFS('2. Soil Data'!$B$5:$B$604,$B699)=0),"Core ID not found in Soil Data, so the corer diameter cannot be looked up. ","")&amp;IF(ASH_CORRECTED&lt;&gt;"Yes","Root mass is NOT ash-corrected, so it includes adhering mineral soil and is too high. Set ASH_CORRECTED once you have done it. ","")&amp;IF(AND(ASH_CORRECTED="Yes",NOT(ISNUMBER($H699))),"Ash correction is switched on but no ash fraction is given for this row. ","")&amp;IF($I699="","Sieve mesh not recorded — a fine-root figure cannot be interpreted without it. ","")&amp;IF(AND(ISNUMBER($H699),$H699&gt;0.5),"Ash fraction above 0.5 — over half this sample was mineral soil. Re-wash. ","")&amp;IF($F699="Not separated","Live and dead not separated. Fine for a stock, but "&amp;"note it in reporting. ",""))</f>
        <v/>
      </c>
      <c r="P699" s="6" t="n"/>
      <c r="Q699" s="9">
        <f>IF($B699="",0,IF(COUNTIFS($B$5:$B699,$B699)=1,1,0))</f>
        <v/>
      </c>
    </row>
    <row r="700">
      <c r="A700" s="6" t="n"/>
      <c r="B700" s="6" t="n"/>
      <c r="C700" s="6" t="n"/>
      <c r="D700" s="6" t="n"/>
      <c r="E700" s="6" t="n"/>
      <c r="F700" s="6" t="n"/>
      <c r="G700" s="7" t="n"/>
      <c r="H700" s="7" t="n"/>
      <c r="I700" s="6" t="n"/>
      <c r="J700" s="9">
        <f>IF(NOT(ISNUMBER($G700)),"",IF(AND(ASH_CORRECTED="Yes",ISNUMBER($H700)),$G700*(1-$H700),$G700))</f>
        <v/>
      </c>
      <c r="K700" s="9">
        <f>IF($B700="","",IFERROR(AVERAGEIFS('2. Soil Data'!$G$5:$G$604,'2. Soil Data'!$B$5:$B$604,$B700),""))</f>
        <v/>
      </c>
      <c r="L700" s="9">
        <f>IF(NOT(ISNUMBER($K700)),"",PI()*($K700/2)^2)</f>
        <v/>
      </c>
      <c r="M700" s="9">
        <f>IF(OR(NOT(ISNUMBER($J700)),NOT(ISNUMBER($L700)),$L700=0),"",$J700/$L700*10000)</f>
        <v/>
      </c>
      <c r="N700" s="9">
        <f>IF(NOT(ISNUMBER($M700)),"",$M700*CARBON_FRACTION_ROOT/1000)</f>
        <v/>
      </c>
      <c r="O700" s="11">
        <f>IF(AND($A700="",$B700="",$G700=""),"",IF(AND($B700&lt;&gt;"",COUNTIFS('2. Soil Data'!$B$5:$B$604,$B700)=0),"Core ID not found in Soil Data, so the corer diameter cannot be looked up. ","")&amp;IF(ASH_CORRECTED&lt;&gt;"Yes","Root mass is NOT ash-corrected, so it includes adhering mineral soil and is too high. Set ASH_CORRECTED once you have done it. ","")&amp;IF(AND(ASH_CORRECTED="Yes",NOT(ISNUMBER($H700))),"Ash correction is switched on but no ash fraction is given for this row. ","")&amp;IF($I700="","Sieve mesh not recorded — a fine-root figure cannot be interpreted without it. ","")&amp;IF(AND(ISNUMBER($H700),$H700&gt;0.5),"Ash fraction above 0.5 — over half this sample was mineral soil. Re-wash. ","")&amp;IF($F700="Not separated","Live and dead not separated. Fine for a stock, but "&amp;"note it in reporting. ",""))</f>
        <v/>
      </c>
      <c r="P700" s="6" t="n"/>
      <c r="Q700" s="9">
        <f>IF($B700="",0,IF(COUNTIFS($B$5:$B700,$B700)=1,1,0))</f>
        <v/>
      </c>
    </row>
    <row r="701">
      <c r="A701" s="6" t="n"/>
      <c r="B701" s="6" t="n"/>
      <c r="C701" s="6" t="n"/>
      <c r="D701" s="6" t="n"/>
      <c r="E701" s="6" t="n"/>
      <c r="F701" s="6" t="n"/>
      <c r="G701" s="7" t="n"/>
      <c r="H701" s="7" t="n"/>
      <c r="I701" s="6" t="n"/>
      <c r="J701" s="9">
        <f>IF(NOT(ISNUMBER($G701)),"",IF(AND(ASH_CORRECTED="Yes",ISNUMBER($H701)),$G701*(1-$H701),$G701))</f>
        <v/>
      </c>
      <c r="K701" s="9">
        <f>IF($B701="","",IFERROR(AVERAGEIFS('2. Soil Data'!$G$5:$G$604,'2. Soil Data'!$B$5:$B$604,$B701),""))</f>
        <v/>
      </c>
      <c r="L701" s="9">
        <f>IF(NOT(ISNUMBER($K701)),"",PI()*($K701/2)^2)</f>
        <v/>
      </c>
      <c r="M701" s="9">
        <f>IF(OR(NOT(ISNUMBER($J701)),NOT(ISNUMBER($L701)),$L701=0),"",$J701/$L701*10000)</f>
        <v/>
      </c>
      <c r="N701" s="9">
        <f>IF(NOT(ISNUMBER($M701)),"",$M701*CARBON_FRACTION_ROOT/1000)</f>
        <v/>
      </c>
      <c r="O701" s="11">
        <f>IF(AND($A701="",$B701="",$G701=""),"",IF(AND($B701&lt;&gt;"",COUNTIFS('2. Soil Data'!$B$5:$B$604,$B701)=0),"Core ID not found in Soil Data, so the corer diameter cannot be looked up. ","")&amp;IF(ASH_CORRECTED&lt;&gt;"Yes","Root mass is NOT ash-corrected, so it includes adhering mineral soil and is too high. Set ASH_CORRECTED once you have done it. ","")&amp;IF(AND(ASH_CORRECTED="Yes",NOT(ISNUMBER($H701))),"Ash correction is switched on but no ash fraction is given for this row. ","")&amp;IF($I701="","Sieve mesh not recorded — a fine-root figure cannot be interpreted without it. ","")&amp;IF(AND(ISNUMBER($H701),$H701&gt;0.5),"Ash fraction above 0.5 — over half this sample was mineral soil. Re-wash. ","")&amp;IF($F701="Not separated","Live and dead not separated. Fine for a stock, but "&amp;"note it in reporting. ",""))</f>
        <v/>
      </c>
      <c r="P701" s="6" t="n"/>
      <c r="Q701" s="9">
        <f>IF($B701="",0,IF(COUNTIFS($B$5:$B701,$B701)=1,1,0))</f>
        <v/>
      </c>
    </row>
    <row r="702">
      <c r="A702" s="6" t="n"/>
      <c r="B702" s="6" t="n"/>
      <c r="C702" s="6" t="n"/>
      <c r="D702" s="6" t="n"/>
      <c r="E702" s="6" t="n"/>
      <c r="F702" s="6" t="n"/>
      <c r="G702" s="7" t="n"/>
      <c r="H702" s="7" t="n"/>
      <c r="I702" s="6" t="n"/>
      <c r="J702" s="9">
        <f>IF(NOT(ISNUMBER($G702)),"",IF(AND(ASH_CORRECTED="Yes",ISNUMBER($H702)),$G702*(1-$H702),$G702))</f>
        <v/>
      </c>
      <c r="K702" s="9">
        <f>IF($B702="","",IFERROR(AVERAGEIFS('2. Soil Data'!$G$5:$G$604,'2. Soil Data'!$B$5:$B$604,$B702),""))</f>
        <v/>
      </c>
      <c r="L702" s="9">
        <f>IF(NOT(ISNUMBER($K702)),"",PI()*($K702/2)^2)</f>
        <v/>
      </c>
      <c r="M702" s="9">
        <f>IF(OR(NOT(ISNUMBER($J702)),NOT(ISNUMBER($L702)),$L702=0),"",$J702/$L702*10000)</f>
        <v/>
      </c>
      <c r="N702" s="9">
        <f>IF(NOT(ISNUMBER($M702)),"",$M702*CARBON_FRACTION_ROOT/1000)</f>
        <v/>
      </c>
      <c r="O702" s="11">
        <f>IF(AND($A702="",$B702="",$G702=""),"",IF(AND($B702&lt;&gt;"",COUNTIFS('2. Soil Data'!$B$5:$B$604,$B702)=0),"Core ID not found in Soil Data, so the corer diameter cannot be looked up. ","")&amp;IF(ASH_CORRECTED&lt;&gt;"Yes","Root mass is NOT ash-corrected, so it includes adhering mineral soil and is too high. Set ASH_CORRECTED once you have done it. ","")&amp;IF(AND(ASH_CORRECTED="Yes",NOT(ISNUMBER($H702))),"Ash correction is switched on but no ash fraction is given for this row. ","")&amp;IF($I702="","Sieve mesh not recorded — a fine-root figure cannot be interpreted without it. ","")&amp;IF(AND(ISNUMBER($H702),$H702&gt;0.5),"Ash fraction above 0.5 — over half this sample was mineral soil. Re-wash. ","")&amp;IF($F702="Not separated","Live and dead not separated. Fine for a stock, but "&amp;"note it in reporting. ",""))</f>
        <v/>
      </c>
      <c r="P702" s="6" t="n"/>
      <c r="Q702" s="9">
        <f>IF($B702="",0,IF(COUNTIFS($B$5:$B702,$B702)=1,1,0))</f>
        <v/>
      </c>
    </row>
    <row r="703">
      <c r="A703" s="6" t="n"/>
      <c r="B703" s="6" t="n"/>
      <c r="C703" s="6" t="n"/>
      <c r="D703" s="6" t="n"/>
      <c r="E703" s="6" t="n"/>
      <c r="F703" s="6" t="n"/>
      <c r="G703" s="7" t="n"/>
      <c r="H703" s="7" t="n"/>
      <c r="I703" s="6" t="n"/>
      <c r="J703" s="9">
        <f>IF(NOT(ISNUMBER($G703)),"",IF(AND(ASH_CORRECTED="Yes",ISNUMBER($H703)),$G703*(1-$H703),$G703))</f>
        <v/>
      </c>
      <c r="K703" s="9">
        <f>IF($B703="","",IFERROR(AVERAGEIFS('2. Soil Data'!$G$5:$G$604,'2. Soil Data'!$B$5:$B$604,$B703),""))</f>
        <v/>
      </c>
      <c r="L703" s="9">
        <f>IF(NOT(ISNUMBER($K703)),"",PI()*($K703/2)^2)</f>
        <v/>
      </c>
      <c r="M703" s="9">
        <f>IF(OR(NOT(ISNUMBER($J703)),NOT(ISNUMBER($L703)),$L703=0),"",$J703/$L703*10000)</f>
        <v/>
      </c>
      <c r="N703" s="9">
        <f>IF(NOT(ISNUMBER($M703)),"",$M703*CARBON_FRACTION_ROOT/1000)</f>
        <v/>
      </c>
      <c r="O703" s="11">
        <f>IF(AND($A703="",$B703="",$G703=""),"",IF(AND($B703&lt;&gt;"",COUNTIFS('2. Soil Data'!$B$5:$B$604,$B703)=0),"Core ID not found in Soil Data, so the corer diameter cannot be looked up. ","")&amp;IF(ASH_CORRECTED&lt;&gt;"Yes","Root mass is NOT ash-corrected, so it includes adhering mineral soil and is too high. Set ASH_CORRECTED once you have done it. ","")&amp;IF(AND(ASH_CORRECTED="Yes",NOT(ISNUMBER($H703))),"Ash correction is switched on but no ash fraction is given for this row. ","")&amp;IF($I703="","Sieve mesh not recorded — a fine-root figure cannot be interpreted without it. ","")&amp;IF(AND(ISNUMBER($H703),$H703&gt;0.5),"Ash fraction above 0.5 — over half this sample was mineral soil. Re-wash. ","")&amp;IF($F703="Not separated","Live and dead not separated. Fine for a stock, but "&amp;"note it in reporting. ",""))</f>
        <v/>
      </c>
      <c r="P703" s="6" t="n"/>
      <c r="Q703" s="9">
        <f>IF($B703="",0,IF(COUNTIFS($B$5:$B703,$B703)=1,1,0))</f>
        <v/>
      </c>
    </row>
    <row r="704">
      <c r="A704" s="6" t="n"/>
      <c r="B704" s="6" t="n"/>
      <c r="C704" s="6" t="n"/>
      <c r="D704" s="6" t="n"/>
      <c r="E704" s="6" t="n"/>
      <c r="F704" s="6" t="n"/>
      <c r="G704" s="7" t="n"/>
      <c r="H704" s="7" t="n"/>
      <c r="I704" s="6" t="n"/>
      <c r="J704" s="9">
        <f>IF(NOT(ISNUMBER($G704)),"",IF(AND(ASH_CORRECTED="Yes",ISNUMBER($H704)),$G704*(1-$H704),$G704))</f>
        <v/>
      </c>
      <c r="K704" s="9">
        <f>IF($B704="","",IFERROR(AVERAGEIFS('2. Soil Data'!$G$5:$G$604,'2. Soil Data'!$B$5:$B$604,$B704),""))</f>
        <v/>
      </c>
      <c r="L704" s="9">
        <f>IF(NOT(ISNUMBER($K704)),"",PI()*($K704/2)^2)</f>
        <v/>
      </c>
      <c r="M704" s="9">
        <f>IF(OR(NOT(ISNUMBER($J704)),NOT(ISNUMBER($L704)),$L704=0),"",$J704/$L704*10000)</f>
        <v/>
      </c>
      <c r="N704" s="9">
        <f>IF(NOT(ISNUMBER($M704)),"",$M704*CARBON_FRACTION_ROOT/1000)</f>
        <v/>
      </c>
      <c r="O704" s="11">
        <f>IF(AND($A704="",$B704="",$G704=""),"",IF(AND($B704&lt;&gt;"",COUNTIFS('2. Soil Data'!$B$5:$B$604,$B704)=0),"Core ID not found in Soil Data, so the corer diameter cannot be looked up. ","")&amp;IF(ASH_CORRECTED&lt;&gt;"Yes","Root mass is NOT ash-corrected, so it includes adhering mineral soil and is too high. Set ASH_CORRECTED once you have done it. ","")&amp;IF(AND(ASH_CORRECTED="Yes",NOT(ISNUMBER($H704))),"Ash correction is switched on but no ash fraction is given for this row. ","")&amp;IF($I704="","Sieve mesh not recorded — a fine-root figure cannot be interpreted without it. ","")&amp;IF(AND(ISNUMBER($H704),$H704&gt;0.5),"Ash fraction above 0.5 — over half this sample was mineral soil. Re-wash. ","")&amp;IF($F704="Not separated","Live and dead not separated. Fine for a stock, but "&amp;"note it in reporting. ",""))</f>
        <v/>
      </c>
      <c r="P704" s="6" t="n"/>
      <c r="Q704" s="9">
        <f>IF($B704="",0,IF(COUNTIFS($B$5:$B704,$B704)=1,1,0))</f>
        <v/>
      </c>
    </row>
    <row r="705">
      <c r="A705" s="6" t="n"/>
      <c r="B705" s="6" t="n"/>
      <c r="C705" s="6" t="n"/>
      <c r="D705" s="6" t="n"/>
      <c r="E705" s="6" t="n"/>
      <c r="F705" s="6" t="n"/>
      <c r="G705" s="7" t="n"/>
      <c r="H705" s="7" t="n"/>
      <c r="I705" s="6" t="n"/>
      <c r="J705" s="9">
        <f>IF(NOT(ISNUMBER($G705)),"",IF(AND(ASH_CORRECTED="Yes",ISNUMBER($H705)),$G705*(1-$H705),$G705))</f>
        <v/>
      </c>
      <c r="K705" s="9">
        <f>IF($B705="","",IFERROR(AVERAGEIFS('2. Soil Data'!$G$5:$G$604,'2. Soil Data'!$B$5:$B$604,$B705),""))</f>
        <v/>
      </c>
      <c r="L705" s="9">
        <f>IF(NOT(ISNUMBER($K705)),"",PI()*($K705/2)^2)</f>
        <v/>
      </c>
      <c r="M705" s="9">
        <f>IF(OR(NOT(ISNUMBER($J705)),NOT(ISNUMBER($L705)),$L705=0),"",$J705/$L705*10000)</f>
        <v/>
      </c>
      <c r="N705" s="9">
        <f>IF(NOT(ISNUMBER($M705)),"",$M705*CARBON_FRACTION_ROOT/1000)</f>
        <v/>
      </c>
      <c r="O705" s="11">
        <f>IF(AND($A705="",$B705="",$G705=""),"",IF(AND($B705&lt;&gt;"",COUNTIFS('2. Soil Data'!$B$5:$B$604,$B705)=0),"Core ID not found in Soil Data, so the corer diameter cannot be looked up. ","")&amp;IF(ASH_CORRECTED&lt;&gt;"Yes","Root mass is NOT ash-corrected, so it includes adhering mineral soil and is too high. Set ASH_CORRECTED once you have done it. ","")&amp;IF(AND(ASH_CORRECTED="Yes",NOT(ISNUMBER($H705))),"Ash correction is switched on but no ash fraction is given for this row. ","")&amp;IF($I705="","Sieve mesh not recorded — a fine-root figure cannot be interpreted without it. ","")&amp;IF(AND(ISNUMBER($H705),$H705&gt;0.5),"Ash fraction above 0.5 — over half this sample was mineral soil. Re-wash. ","")&amp;IF($F705="Not separated","Live and dead not separated. Fine for a stock, but "&amp;"note it in reporting. ",""))</f>
        <v/>
      </c>
      <c r="P705" s="6" t="n"/>
      <c r="Q705" s="9">
        <f>IF($B705="",0,IF(COUNTIFS($B$5:$B705,$B705)=1,1,0))</f>
        <v/>
      </c>
    </row>
    <row r="706">
      <c r="A706" s="6" t="n"/>
      <c r="B706" s="6" t="n"/>
      <c r="C706" s="6" t="n"/>
      <c r="D706" s="6" t="n"/>
      <c r="E706" s="6" t="n"/>
      <c r="F706" s="6" t="n"/>
      <c r="G706" s="7" t="n"/>
      <c r="H706" s="7" t="n"/>
      <c r="I706" s="6" t="n"/>
      <c r="J706" s="9">
        <f>IF(NOT(ISNUMBER($G706)),"",IF(AND(ASH_CORRECTED="Yes",ISNUMBER($H706)),$G706*(1-$H706),$G706))</f>
        <v/>
      </c>
      <c r="K706" s="9">
        <f>IF($B706="","",IFERROR(AVERAGEIFS('2. Soil Data'!$G$5:$G$604,'2. Soil Data'!$B$5:$B$604,$B706),""))</f>
        <v/>
      </c>
      <c r="L706" s="9">
        <f>IF(NOT(ISNUMBER($K706)),"",PI()*($K706/2)^2)</f>
        <v/>
      </c>
      <c r="M706" s="9">
        <f>IF(OR(NOT(ISNUMBER($J706)),NOT(ISNUMBER($L706)),$L706=0),"",$J706/$L706*10000)</f>
        <v/>
      </c>
      <c r="N706" s="9">
        <f>IF(NOT(ISNUMBER($M706)),"",$M706*CARBON_FRACTION_ROOT/1000)</f>
        <v/>
      </c>
      <c r="O706" s="11">
        <f>IF(AND($A706="",$B706="",$G706=""),"",IF(AND($B706&lt;&gt;"",COUNTIFS('2. Soil Data'!$B$5:$B$604,$B706)=0),"Core ID not found in Soil Data, so the corer diameter cannot be looked up. ","")&amp;IF(ASH_CORRECTED&lt;&gt;"Yes","Root mass is NOT ash-corrected, so it includes adhering mineral soil and is too high. Set ASH_CORRECTED once you have done it. ","")&amp;IF(AND(ASH_CORRECTED="Yes",NOT(ISNUMBER($H706))),"Ash correction is switched on but no ash fraction is given for this row. ","")&amp;IF($I706="","Sieve mesh not recorded — a fine-root figure cannot be interpreted without it. ","")&amp;IF(AND(ISNUMBER($H706),$H706&gt;0.5),"Ash fraction above 0.5 — over half this sample was mineral soil. Re-wash. ","")&amp;IF($F706="Not separated","Live and dead not separated. Fine for a stock, but "&amp;"note it in reporting. ",""))</f>
        <v/>
      </c>
      <c r="P706" s="6" t="n"/>
      <c r="Q706" s="9">
        <f>IF($B706="",0,IF(COUNTIFS($B$5:$B706,$B706)=1,1,0))</f>
        <v/>
      </c>
    </row>
    <row r="707">
      <c r="A707" s="6" t="n"/>
      <c r="B707" s="6" t="n"/>
      <c r="C707" s="6" t="n"/>
      <c r="D707" s="6" t="n"/>
      <c r="E707" s="6" t="n"/>
      <c r="F707" s="6" t="n"/>
      <c r="G707" s="7" t="n"/>
      <c r="H707" s="7" t="n"/>
      <c r="I707" s="6" t="n"/>
      <c r="J707" s="9">
        <f>IF(NOT(ISNUMBER($G707)),"",IF(AND(ASH_CORRECTED="Yes",ISNUMBER($H707)),$G707*(1-$H707),$G707))</f>
        <v/>
      </c>
      <c r="K707" s="9">
        <f>IF($B707="","",IFERROR(AVERAGEIFS('2. Soil Data'!$G$5:$G$604,'2. Soil Data'!$B$5:$B$604,$B707),""))</f>
        <v/>
      </c>
      <c r="L707" s="9">
        <f>IF(NOT(ISNUMBER($K707)),"",PI()*($K707/2)^2)</f>
        <v/>
      </c>
      <c r="M707" s="9">
        <f>IF(OR(NOT(ISNUMBER($J707)),NOT(ISNUMBER($L707)),$L707=0),"",$J707/$L707*10000)</f>
        <v/>
      </c>
      <c r="N707" s="9">
        <f>IF(NOT(ISNUMBER($M707)),"",$M707*CARBON_FRACTION_ROOT/1000)</f>
        <v/>
      </c>
      <c r="O707" s="11">
        <f>IF(AND($A707="",$B707="",$G707=""),"",IF(AND($B707&lt;&gt;"",COUNTIFS('2. Soil Data'!$B$5:$B$604,$B707)=0),"Core ID not found in Soil Data, so the corer diameter cannot be looked up. ","")&amp;IF(ASH_CORRECTED&lt;&gt;"Yes","Root mass is NOT ash-corrected, so it includes adhering mineral soil and is too high. Set ASH_CORRECTED once you have done it. ","")&amp;IF(AND(ASH_CORRECTED="Yes",NOT(ISNUMBER($H707))),"Ash correction is switched on but no ash fraction is given for this row. ","")&amp;IF($I707="","Sieve mesh not recorded — a fine-root figure cannot be interpreted without it. ","")&amp;IF(AND(ISNUMBER($H707),$H707&gt;0.5),"Ash fraction above 0.5 — over half this sample was mineral soil. Re-wash. ","")&amp;IF($F707="Not separated","Live and dead not separated. Fine for a stock, but "&amp;"note it in reporting. ",""))</f>
        <v/>
      </c>
      <c r="P707" s="6" t="n"/>
      <c r="Q707" s="9">
        <f>IF($B707="",0,IF(COUNTIFS($B$5:$B707,$B707)=1,1,0))</f>
        <v/>
      </c>
    </row>
    <row r="708">
      <c r="A708" s="6" t="n"/>
      <c r="B708" s="6" t="n"/>
      <c r="C708" s="6" t="n"/>
      <c r="D708" s="6" t="n"/>
      <c r="E708" s="6" t="n"/>
      <c r="F708" s="6" t="n"/>
      <c r="G708" s="7" t="n"/>
      <c r="H708" s="7" t="n"/>
      <c r="I708" s="6" t="n"/>
      <c r="J708" s="9">
        <f>IF(NOT(ISNUMBER($G708)),"",IF(AND(ASH_CORRECTED="Yes",ISNUMBER($H708)),$G708*(1-$H708),$G708))</f>
        <v/>
      </c>
      <c r="K708" s="9">
        <f>IF($B708="","",IFERROR(AVERAGEIFS('2. Soil Data'!$G$5:$G$604,'2. Soil Data'!$B$5:$B$604,$B708),""))</f>
        <v/>
      </c>
      <c r="L708" s="9">
        <f>IF(NOT(ISNUMBER($K708)),"",PI()*($K708/2)^2)</f>
        <v/>
      </c>
      <c r="M708" s="9">
        <f>IF(OR(NOT(ISNUMBER($J708)),NOT(ISNUMBER($L708)),$L708=0),"",$J708/$L708*10000)</f>
        <v/>
      </c>
      <c r="N708" s="9">
        <f>IF(NOT(ISNUMBER($M708)),"",$M708*CARBON_FRACTION_ROOT/1000)</f>
        <v/>
      </c>
      <c r="O708" s="11">
        <f>IF(AND($A708="",$B708="",$G708=""),"",IF(AND($B708&lt;&gt;"",COUNTIFS('2. Soil Data'!$B$5:$B$604,$B708)=0),"Core ID not found in Soil Data, so the corer diameter cannot be looked up. ","")&amp;IF(ASH_CORRECTED&lt;&gt;"Yes","Root mass is NOT ash-corrected, so it includes adhering mineral soil and is too high. Set ASH_CORRECTED once you have done it. ","")&amp;IF(AND(ASH_CORRECTED="Yes",NOT(ISNUMBER($H708))),"Ash correction is switched on but no ash fraction is given for this row. ","")&amp;IF($I708="","Sieve mesh not recorded — a fine-root figure cannot be interpreted without it. ","")&amp;IF(AND(ISNUMBER($H708),$H708&gt;0.5),"Ash fraction above 0.5 — over half this sample was mineral soil. Re-wash. ","")&amp;IF($F708="Not separated","Live and dead not separated. Fine for a stock, but "&amp;"note it in reporting. ",""))</f>
        <v/>
      </c>
      <c r="P708" s="6" t="n"/>
      <c r="Q708" s="9">
        <f>IF($B708="",0,IF(COUNTIFS($B$5:$B708,$B708)=1,1,0))</f>
        <v/>
      </c>
    </row>
    <row r="709">
      <c r="A709" s="6" t="n"/>
      <c r="B709" s="6" t="n"/>
      <c r="C709" s="6" t="n"/>
      <c r="D709" s="6" t="n"/>
      <c r="E709" s="6" t="n"/>
      <c r="F709" s="6" t="n"/>
      <c r="G709" s="7" t="n"/>
      <c r="H709" s="7" t="n"/>
      <c r="I709" s="6" t="n"/>
      <c r="J709" s="9">
        <f>IF(NOT(ISNUMBER($G709)),"",IF(AND(ASH_CORRECTED="Yes",ISNUMBER($H709)),$G709*(1-$H709),$G709))</f>
        <v/>
      </c>
      <c r="K709" s="9">
        <f>IF($B709="","",IFERROR(AVERAGEIFS('2. Soil Data'!$G$5:$G$604,'2. Soil Data'!$B$5:$B$604,$B709),""))</f>
        <v/>
      </c>
      <c r="L709" s="9">
        <f>IF(NOT(ISNUMBER($K709)),"",PI()*($K709/2)^2)</f>
        <v/>
      </c>
      <c r="M709" s="9">
        <f>IF(OR(NOT(ISNUMBER($J709)),NOT(ISNUMBER($L709)),$L709=0),"",$J709/$L709*10000)</f>
        <v/>
      </c>
      <c r="N709" s="9">
        <f>IF(NOT(ISNUMBER($M709)),"",$M709*CARBON_FRACTION_ROOT/1000)</f>
        <v/>
      </c>
      <c r="O709" s="11">
        <f>IF(AND($A709="",$B709="",$G709=""),"",IF(AND($B709&lt;&gt;"",COUNTIFS('2. Soil Data'!$B$5:$B$604,$B709)=0),"Core ID not found in Soil Data, so the corer diameter cannot be looked up. ","")&amp;IF(ASH_CORRECTED&lt;&gt;"Yes","Root mass is NOT ash-corrected, so it includes adhering mineral soil and is too high. Set ASH_CORRECTED once you have done it. ","")&amp;IF(AND(ASH_CORRECTED="Yes",NOT(ISNUMBER($H709))),"Ash correction is switched on but no ash fraction is given for this row. ","")&amp;IF($I709="","Sieve mesh not recorded — a fine-root figure cannot be interpreted without it. ","")&amp;IF(AND(ISNUMBER($H709),$H709&gt;0.5),"Ash fraction above 0.5 — over half this sample was mineral soil. Re-wash. ","")&amp;IF($F709="Not separated","Live and dead not separated. Fine for a stock, but "&amp;"note it in reporting. ",""))</f>
        <v/>
      </c>
      <c r="P709" s="6" t="n"/>
      <c r="Q709" s="9">
        <f>IF($B709="",0,IF(COUNTIFS($B$5:$B709,$B709)=1,1,0))</f>
        <v/>
      </c>
    </row>
    <row r="710">
      <c r="A710" s="6" t="n"/>
      <c r="B710" s="6" t="n"/>
      <c r="C710" s="6" t="n"/>
      <c r="D710" s="6" t="n"/>
      <c r="E710" s="6" t="n"/>
      <c r="F710" s="6" t="n"/>
      <c r="G710" s="7" t="n"/>
      <c r="H710" s="7" t="n"/>
      <c r="I710" s="6" t="n"/>
      <c r="J710" s="9">
        <f>IF(NOT(ISNUMBER($G710)),"",IF(AND(ASH_CORRECTED="Yes",ISNUMBER($H710)),$G710*(1-$H710),$G710))</f>
        <v/>
      </c>
      <c r="K710" s="9">
        <f>IF($B710="","",IFERROR(AVERAGEIFS('2. Soil Data'!$G$5:$G$604,'2. Soil Data'!$B$5:$B$604,$B710),""))</f>
        <v/>
      </c>
      <c r="L710" s="9">
        <f>IF(NOT(ISNUMBER($K710)),"",PI()*($K710/2)^2)</f>
        <v/>
      </c>
      <c r="M710" s="9">
        <f>IF(OR(NOT(ISNUMBER($J710)),NOT(ISNUMBER($L710)),$L710=0),"",$J710/$L710*10000)</f>
        <v/>
      </c>
      <c r="N710" s="9">
        <f>IF(NOT(ISNUMBER($M710)),"",$M710*CARBON_FRACTION_ROOT/1000)</f>
        <v/>
      </c>
      <c r="O710" s="11">
        <f>IF(AND($A710="",$B710="",$G710=""),"",IF(AND($B710&lt;&gt;"",COUNTIFS('2. Soil Data'!$B$5:$B$604,$B710)=0),"Core ID not found in Soil Data, so the corer diameter cannot be looked up. ","")&amp;IF(ASH_CORRECTED&lt;&gt;"Yes","Root mass is NOT ash-corrected, so it includes adhering mineral soil and is too high. Set ASH_CORRECTED once you have done it. ","")&amp;IF(AND(ASH_CORRECTED="Yes",NOT(ISNUMBER($H710))),"Ash correction is switched on but no ash fraction is given for this row. ","")&amp;IF($I710="","Sieve mesh not recorded — a fine-root figure cannot be interpreted without it. ","")&amp;IF(AND(ISNUMBER($H710),$H710&gt;0.5),"Ash fraction above 0.5 — over half this sample was mineral soil. Re-wash. ","")&amp;IF($F710="Not separated","Live and dead not separated. Fine for a stock, but "&amp;"note it in reporting. ",""))</f>
        <v/>
      </c>
      <c r="P710" s="6" t="n"/>
      <c r="Q710" s="9">
        <f>IF($B710="",0,IF(COUNTIFS($B$5:$B710,$B710)=1,1,0))</f>
        <v/>
      </c>
    </row>
    <row r="711">
      <c r="A711" s="6" t="n"/>
      <c r="B711" s="6" t="n"/>
      <c r="C711" s="6" t="n"/>
      <c r="D711" s="6" t="n"/>
      <c r="E711" s="6" t="n"/>
      <c r="F711" s="6" t="n"/>
      <c r="G711" s="7" t="n"/>
      <c r="H711" s="7" t="n"/>
      <c r="I711" s="6" t="n"/>
      <c r="J711" s="9">
        <f>IF(NOT(ISNUMBER($G711)),"",IF(AND(ASH_CORRECTED="Yes",ISNUMBER($H711)),$G711*(1-$H711),$G711))</f>
        <v/>
      </c>
      <c r="K711" s="9">
        <f>IF($B711="","",IFERROR(AVERAGEIFS('2. Soil Data'!$G$5:$G$604,'2. Soil Data'!$B$5:$B$604,$B711),""))</f>
        <v/>
      </c>
      <c r="L711" s="9">
        <f>IF(NOT(ISNUMBER($K711)),"",PI()*($K711/2)^2)</f>
        <v/>
      </c>
      <c r="M711" s="9">
        <f>IF(OR(NOT(ISNUMBER($J711)),NOT(ISNUMBER($L711)),$L711=0),"",$J711/$L711*10000)</f>
        <v/>
      </c>
      <c r="N711" s="9">
        <f>IF(NOT(ISNUMBER($M711)),"",$M711*CARBON_FRACTION_ROOT/1000)</f>
        <v/>
      </c>
      <c r="O711" s="11">
        <f>IF(AND($A711="",$B711="",$G711=""),"",IF(AND($B711&lt;&gt;"",COUNTIFS('2. Soil Data'!$B$5:$B$604,$B711)=0),"Core ID not found in Soil Data, so the corer diameter cannot be looked up. ","")&amp;IF(ASH_CORRECTED&lt;&gt;"Yes","Root mass is NOT ash-corrected, so it includes adhering mineral soil and is too high. Set ASH_CORRECTED once you have done it. ","")&amp;IF(AND(ASH_CORRECTED="Yes",NOT(ISNUMBER($H711))),"Ash correction is switched on but no ash fraction is given for this row. ","")&amp;IF($I711="","Sieve mesh not recorded — a fine-root figure cannot be interpreted without it. ","")&amp;IF(AND(ISNUMBER($H711),$H711&gt;0.5),"Ash fraction above 0.5 — over half this sample was mineral soil. Re-wash. ","")&amp;IF($F711="Not separated","Live and dead not separated. Fine for a stock, but "&amp;"note it in reporting. ",""))</f>
        <v/>
      </c>
      <c r="P711" s="6" t="n"/>
      <c r="Q711" s="9">
        <f>IF($B711="",0,IF(COUNTIFS($B$5:$B711,$B711)=1,1,0))</f>
        <v/>
      </c>
    </row>
    <row r="712">
      <c r="A712" s="6" t="n"/>
      <c r="B712" s="6" t="n"/>
      <c r="C712" s="6" t="n"/>
      <c r="D712" s="6" t="n"/>
      <c r="E712" s="6" t="n"/>
      <c r="F712" s="6" t="n"/>
      <c r="G712" s="7" t="n"/>
      <c r="H712" s="7" t="n"/>
      <c r="I712" s="6" t="n"/>
      <c r="J712" s="9">
        <f>IF(NOT(ISNUMBER($G712)),"",IF(AND(ASH_CORRECTED="Yes",ISNUMBER($H712)),$G712*(1-$H712),$G712))</f>
        <v/>
      </c>
      <c r="K712" s="9">
        <f>IF($B712="","",IFERROR(AVERAGEIFS('2. Soil Data'!$G$5:$G$604,'2. Soil Data'!$B$5:$B$604,$B712),""))</f>
        <v/>
      </c>
      <c r="L712" s="9">
        <f>IF(NOT(ISNUMBER($K712)),"",PI()*($K712/2)^2)</f>
        <v/>
      </c>
      <c r="M712" s="9">
        <f>IF(OR(NOT(ISNUMBER($J712)),NOT(ISNUMBER($L712)),$L712=0),"",$J712/$L712*10000)</f>
        <v/>
      </c>
      <c r="N712" s="9">
        <f>IF(NOT(ISNUMBER($M712)),"",$M712*CARBON_FRACTION_ROOT/1000)</f>
        <v/>
      </c>
      <c r="O712" s="11">
        <f>IF(AND($A712="",$B712="",$G712=""),"",IF(AND($B712&lt;&gt;"",COUNTIFS('2. Soil Data'!$B$5:$B$604,$B712)=0),"Core ID not found in Soil Data, so the corer diameter cannot be looked up. ","")&amp;IF(ASH_CORRECTED&lt;&gt;"Yes","Root mass is NOT ash-corrected, so it includes adhering mineral soil and is too high. Set ASH_CORRECTED once you have done it. ","")&amp;IF(AND(ASH_CORRECTED="Yes",NOT(ISNUMBER($H712))),"Ash correction is switched on but no ash fraction is given for this row. ","")&amp;IF($I712="","Sieve mesh not recorded — a fine-root figure cannot be interpreted without it. ","")&amp;IF(AND(ISNUMBER($H712),$H712&gt;0.5),"Ash fraction above 0.5 — over half this sample was mineral soil. Re-wash. ","")&amp;IF($F712="Not separated","Live and dead not separated. Fine for a stock, but "&amp;"note it in reporting. ",""))</f>
        <v/>
      </c>
      <c r="P712" s="6" t="n"/>
      <c r="Q712" s="9">
        <f>IF($B712="",0,IF(COUNTIFS($B$5:$B712,$B712)=1,1,0))</f>
        <v/>
      </c>
    </row>
    <row r="713">
      <c r="A713" s="6" t="n"/>
      <c r="B713" s="6" t="n"/>
      <c r="C713" s="6" t="n"/>
      <c r="D713" s="6" t="n"/>
      <c r="E713" s="6" t="n"/>
      <c r="F713" s="6" t="n"/>
      <c r="G713" s="7" t="n"/>
      <c r="H713" s="7" t="n"/>
      <c r="I713" s="6" t="n"/>
      <c r="J713" s="9">
        <f>IF(NOT(ISNUMBER($G713)),"",IF(AND(ASH_CORRECTED="Yes",ISNUMBER($H713)),$G713*(1-$H713),$G713))</f>
        <v/>
      </c>
      <c r="K713" s="9">
        <f>IF($B713="","",IFERROR(AVERAGEIFS('2. Soil Data'!$G$5:$G$604,'2. Soil Data'!$B$5:$B$604,$B713),""))</f>
        <v/>
      </c>
      <c r="L713" s="9">
        <f>IF(NOT(ISNUMBER($K713)),"",PI()*($K713/2)^2)</f>
        <v/>
      </c>
      <c r="M713" s="9">
        <f>IF(OR(NOT(ISNUMBER($J713)),NOT(ISNUMBER($L713)),$L713=0),"",$J713/$L713*10000)</f>
        <v/>
      </c>
      <c r="N713" s="9">
        <f>IF(NOT(ISNUMBER($M713)),"",$M713*CARBON_FRACTION_ROOT/1000)</f>
        <v/>
      </c>
      <c r="O713" s="11">
        <f>IF(AND($A713="",$B713="",$G713=""),"",IF(AND($B713&lt;&gt;"",COUNTIFS('2. Soil Data'!$B$5:$B$604,$B713)=0),"Core ID not found in Soil Data, so the corer diameter cannot be looked up. ","")&amp;IF(ASH_CORRECTED&lt;&gt;"Yes","Root mass is NOT ash-corrected, so it includes adhering mineral soil and is too high. Set ASH_CORRECTED once you have done it. ","")&amp;IF(AND(ASH_CORRECTED="Yes",NOT(ISNUMBER($H713))),"Ash correction is switched on but no ash fraction is given for this row. ","")&amp;IF($I713="","Sieve mesh not recorded — a fine-root figure cannot be interpreted without it. ","")&amp;IF(AND(ISNUMBER($H713),$H713&gt;0.5),"Ash fraction above 0.5 — over half this sample was mineral soil. Re-wash. ","")&amp;IF($F713="Not separated","Live and dead not separated. Fine for a stock, but "&amp;"note it in reporting. ",""))</f>
        <v/>
      </c>
      <c r="P713" s="6" t="n"/>
      <c r="Q713" s="9">
        <f>IF($B713="",0,IF(COUNTIFS($B$5:$B713,$B713)=1,1,0))</f>
        <v/>
      </c>
    </row>
    <row r="714">
      <c r="A714" s="6" t="n"/>
      <c r="B714" s="6" t="n"/>
      <c r="C714" s="6" t="n"/>
      <c r="D714" s="6" t="n"/>
      <c r="E714" s="6" t="n"/>
      <c r="F714" s="6" t="n"/>
      <c r="G714" s="7" t="n"/>
      <c r="H714" s="7" t="n"/>
      <c r="I714" s="6" t="n"/>
      <c r="J714" s="9">
        <f>IF(NOT(ISNUMBER($G714)),"",IF(AND(ASH_CORRECTED="Yes",ISNUMBER($H714)),$G714*(1-$H714),$G714))</f>
        <v/>
      </c>
      <c r="K714" s="9">
        <f>IF($B714="","",IFERROR(AVERAGEIFS('2. Soil Data'!$G$5:$G$604,'2. Soil Data'!$B$5:$B$604,$B714),""))</f>
        <v/>
      </c>
      <c r="L714" s="9">
        <f>IF(NOT(ISNUMBER($K714)),"",PI()*($K714/2)^2)</f>
        <v/>
      </c>
      <c r="M714" s="9">
        <f>IF(OR(NOT(ISNUMBER($J714)),NOT(ISNUMBER($L714)),$L714=0),"",$J714/$L714*10000)</f>
        <v/>
      </c>
      <c r="N714" s="9">
        <f>IF(NOT(ISNUMBER($M714)),"",$M714*CARBON_FRACTION_ROOT/1000)</f>
        <v/>
      </c>
      <c r="O714" s="11">
        <f>IF(AND($A714="",$B714="",$G714=""),"",IF(AND($B714&lt;&gt;"",COUNTIFS('2. Soil Data'!$B$5:$B$604,$B714)=0),"Core ID not found in Soil Data, so the corer diameter cannot be looked up. ","")&amp;IF(ASH_CORRECTED&lt;&gt;"Yes","Root mass is NOT ash-corrected, so it includes adhering mineral soil and is too high. Set ASH_CORRECTED once you have done it. ","")&amp;IF(AND(ASH_CORRECTED="Yes",NOT(ISNUMBER($H714))),"Ash correction is switched on but no ash fraction is given for this row. ","")&amp;IF($I714="","Sieve mesh not recorded — a fine-root figure cannot be interpreted without it. ","")&amp;IF(AND(ISNUMBER($H714),$H714&gt;0.5),"Ash fraction above 0.5 — over half this sample was mineral soil. Re-wash. ","")&amp;IF($F714="Not separated","Live and dead not separated. Fine for a stock, but "&amp;"note it in reporting. ",""))</f>
        <v/>
      </c>
      <c r="P714" s="6" t="n"/>
      <c r="Q714" s="9">
        <f>IF($B714="",0,IF(COUNTIFS($B$5:$B714,$B714)=1,1,0))</f>
        <v/>
      </c>
    </row>
    <row r="715">
      <c r="A715" s="6" t="n"/>
      <c r="B715" s="6" t="n"/>
      <c r="C715" s="6" t="n"/>
      <c r="D715" s="6" t="n"/>
      <c r="E715" s="6" t="n"/>
      <c r="F715" s="6" t="n"/>
      <c r="G715" s="7" t="n"/>
      <c r="H715" s="7" t="n"/>
      <c r="I715" s="6" t="n"/>
      <c r="J715" s="9">
        <f>IF(NOT(ISNUMBER($G715)),"",IF(AND(ASH_CORRECTED="Yes",ISNUMBER($H715)),$G715*(1-$H715),$G715))</f>
        <v/>
      </c>
      <c r="K715" s="9">
        <f>IF($B715="","",IFERROR(AVERAGEIFS('2. Soil Data'!$G$5:$G$604,'2. Soil Data'!$B$5:$B$604,$B715),""))</f>
        <v/>
      </c>
      <c r="L715" s="9">
        <f>IF(NOT(ISNUMBER($K715)),"",PI()*($K715/2)^2)</f>
        <v/>
      </c>
      <c r="M715" s="9">
        <f>IF(OR(NOT(ISNUMBER($J715)),NOT(ISNUMBER($L715)),$L715=0),"",$J715/$L715*10000)</f>
        <v/>
      </c>
      <c r="N715" s="9">
        <f>IF(NOT(ISNUMBER($M715)),"",$M715*CARBON_FRACTION_ROOT/1000)</f>
        <v/>
      </c>
      <c r="O715" s="11">
        <f>IF(AND($A715="",$B715="",$G715=""),"",IF(AND($B715&lt;&gt;"",COUNTIFS('2. Soil Data'!$B$5:$B$604,$B715)=0),"Core ID not found in Soil Data, so the corer diameter cannot be looked up. ","")&amp;IF(ASH_CORRECTED&lt;&gt;"Yes","Root mass is NOT ash-corrected, so it includes adhering mineral soil and is too high. Set ASH_CORRECTED once you have done it. ","")&amp;IF(AND(ASH_CORRECTED="Yes",NOT(ISNUMBER($H715))),"Ash correction is switched on but no ash fraction is given for this row. ","")&amp;IF($I715="","Sieve mesh not recorded — a fine-root figure cannot be interpreted without it. ","")&amp;IF(AND(ISNUMBER($H715),$H715&gt;0.5),"Ash fraction above 0.5 — over half this sample was mineral soil. Re-wash. ","")&amp;IF($F715="Not separated","Live and dead not separated. Fine for a stock, but "&amp;"note it in reporting. ",""))</f>
        <v/>
      </c>
      <c r="P715" s="6" t="n"/>
      <c r="Q715" s="9">
        <f>IF($B715="",0,IF(COUNTIFS($B$5:$B715,$B715)=1,1,0))</f>
        <v/>
      </c>
    </row>
    <row r="716">
      <c r="A716" s="6" t="n"/>
      <c r="B716" s="6" t="n"/>
      <c r="C716" s="6" t="n"/>
      <c r="D716" s="6" t="n"/>
      <c r="E716" s="6" t="n"/>
      <c r="F716" s="6" t="n"/>
      <c r="G716" s="7" t="n"/>
      <c r="H716" s="7" t="n"/>
      <c r="I716" s="6" t="n"/>
      <c r="J716" s="9">
        <f>IF(NOT(ISNUMBER($G716)),"",IF(AND(ASH_CORRECTED="Yes",ISNUMBER($H716)),$G716*(1-$H716),$G716))</f>
        <v/>
      </c>
      <c r="K716" s="9">
        <f>IF($B716="","",IFERROR(AVERAGEIFS('2. Soil Data'!$G$5:$G$604,'2. Soil Data'!$B$5:$B$604,$B716),""))</f>
        <v/>
      </c>
      <c r="L716" s="9">
        <f>IF(NOT(ISNUMBER($K716)),"",PI()*($K716/2)^2)</f>
        <v/>
      </c>
      <c r="M716" s="9">
        <f>IF(OR(NOT(ISNUMBER($J716)),NOT(ISNUMBER($L716)),$L716=0),"",$J716/$L716*10000)</f>
        <v/>
      </c>
      <c r="N716" s="9">
        <f>IF(NOT(ISNUMBER($M716)),"",$M716*CARBON_FRACTION_ROOT/1000)</f>
        <v/>
      </c>
      <c r="O716" s="11">
        <f>IF(AND($A716="",$B716="",$G716=""),"",IF(AND($B716&lt;&gt;"",COUNTIFS('2. Soil Data'!$B$5:$B$604,$B716)=0),"Core ID not found in Soil Data, so the corer diameter cannot be looked up. ","")&amp;IF(ASH_CORRECTED&lt;&gt;"Yes","Root mass is NOT ash-corrected, so it includes adhering mineral soil and is too high. Set ASH_CORRECTED once you have done it. ","")&amp;IF(AND(ASH_CORRECTED="Yes",NOT(ISNUMBER($H716))),"Ash correction is switched on but no ash fraction is given for this row. ","")&amp;IF($I716="","Sieve mesh not recorded — a fine-root figure cannot be interpreted without it. ","")&amp;IF(AND(ISNUMBER($H716),$H716&gt;0.5),"Ash fraction above 0.5 — over half this sample was mineral soil. Re-wash. ","")&amp;IF($F716="Not separated","Live and dead not separated. Fine for a stock, but "&amp;"note it in reporting. ",""))</f>
        <v/>
      </c>
      <c r="P716" s="6" t="n"/>
      <c r="Q716" s="9">
        <f>IF($B716="",0,IF(COUNTIFS($B$5:$B716,$B716)=1,1,0))</f>
        <v/>
      </c>
    </row>
    <row r="717">
      <c r="A717" s="6" t="n"/>
      <c r="B717" s="6" t="n"/>
      <c r="C717" s="6" t="n"/>
      <c r="D717" s="6" t="n"/>
      <c r="E717" s="6" t="n"/>
      <c r="F717" s="6" t="n"/>
      <c r="G717" s="7" t="n"/>
      <c r="H717" s="7" t="n"/>
      <c r="I717" s="6" t="n"/>
      <c r="J717" s="9">
        <f>IF(NOT(ISNUMBER($G717)),"",IF(AND(ASH_CORRECTED="Yes",ISNUMBER($H717)),$G717*(1-$H717),$G717))</f>
        <v/>
      </c>
      <c r="K717" s="9">
        <f>IF($B717="","",IFERROR(AVERAGEIFS('2. Soil Data'!$G$5:$G$604,'2. Soil Data'!$B$5:$B$604,$B717),""))</f>
        <v/>
      </c>
      <c r="L717" s="9">
        <f>IF(NOT(ISNUMBER($K717)),"",PI()*($K717/2)^2)</f>
        <v/>
      </c>
      <c r="M717" s="9">
        <f>IF(OR(NOT(ISNUMBER($J717)),NOT(ISNUMBER($L717)),$L717=0),"",$J717/$L717*10000)</f>
        <v/>
      </c>
      <c r="N717" s="9">
        <f>IF(NOT(ISNUMBER($M717)),"",$M717*CARBON_FRACTION_ROOT/1000)</f>
        <v/>
      </c>
      <c r="O717" s="11">
        <f>IF(AND($A717="",$B717="",$G717=""),"",IF(AND($B717&lt;&gt;"",COUNTIFS('2. Soil Data'!$B$5:$B$604,$B717)=0),"Core ID not found in Soil Data, so the corer diameter cannot be looked up. ","")&amp;IF(ASH_CORRECTED&lt;&gt;"Yes","Root mass is NOT ash-corrected, so it includes adhering mineral soil and is too high. Set ASH_CORRECTED once you have done it. ","")&amp;IF(AND(ASH_CORRECTED="Yes",NOT(ISNUMBER($H717))),"Ash correction is switched on but no ash fraction is given for this row. ","")&amp;IF($I717="","Sieve mesh not recorded — a fine-root figure cannot be interpreted without it. ","")&amp;IF(AND(ISNUMBER($H717),$H717&gt;0.5),"Ash fraction above 0.5 — over half this sample was mineral soil. Re-wash. ","")&amp;IF($F717="Not separated","Live and dead not separated. Fine for a stock, but "&amp;"note it in reporting. ",""))</f>
        <v/>
      </c>
      <c r="P717" s="6" t="n"/>
      <c r="Q717" s="9">
        <f>IF($B717="",0,IF(COUNTIFS($B$5:$B717,$B717)=1,1,0))</f>
        <v/>
      </c>
    </row>
    <row r="718">
      <c r="A718" s="6" t="n"/>
      <c r="B718" s="6" t="n"/>
      <c r="C718" s="6" t="n"/>
      <c r="D718" s="6" t="n"/>
      <c r="E718" s="6" t="n"/>
      <c r="F718" s="6" t="n"/>
      <c r="G718" s="7" t="n"/>
      <c r="H718" s="7" t="n"/>
      <c r="I718" s="6" t="n"/>
      <c r="J718" s="9">
        <f>IF(NOT(ISNUMBER($G718)),"",IF(AND(ASH_CORRECTED="Yes",ISNUMBER($H718)),$G718*(1-$H718),$G718))</f>
        <v/>
      </c>
      <c r="K718" s="9">
        <f>IF($B718="","",IFERROR(AVERAGEIFS('2. Soil Data'!$G$5:$G$604,'2. Soil Data'!$B$5:$B$604,$B718),""))</f>
        <v/>
      </c>
      <c r="L718" s="9">
        <f>IF(NOT(ISNUMBER($K718)),"",PI()*($K718/2)^2)</f>
        <v/>
      </c>
      <c r="M718" s="9">
        <f>IF(OR(NOT(ISNUMBER($J718)),NOT(ISNUMBER($L718)),$L718=0),"",$J718/$L718*10000)</f>
        <v/>
      </c>
      <c r="N718" s="9">
        <f>IF(NOT(ISNUMBER($M718)),"",$M718*CARBON_FRACTION_ROOT/1000)</f>
        <v/>
      </c>
      <c r="O718" s="11">
        <f>IF(AND($A718="",$B718="",$G718=""),"",IF(AND($B718&lt;&gt;"",COUNTIFS('2. Soil Data'!$B$5:$B$604,$B718)=0),"Core ID not found in Soil Data, so the corer diameter cannot be looked up. ","")&amp;IF(ASH_CORRECTED&lt;&gt;"Yes","Root mass is NOT ash-corrected, so it includes adhering mineral soil and is too high. Set ASH_CORRECTED once you have done it. ","")&amp;IF(AND(ASH_CORRECTED="Yes",NOT(ISNUMBER($H718))),"Ash correction is switched on but no ash fraction is given for this row. ","")&amp;IF($I718="","Sieve mesh not recorded — a fine-root figure cannot be interpreted without it. ","")&amp;IF(AND(ISNUMBER($H718),$H718&gt;0.5),"Ash fraction above 0.5 — over half this sample was mineral soil. Re-wash. ","")&amp;IF($F718="Not separated","Live and dead not separated. Fine for a stock, but "&amp;"note it in reporting. ",""))</f>
        <v/>
      </c>
      <c r="P718" s="6" t="n"/>
      <c r="Q718" s="9">
        <f>IF($B718="",0,IF(COUNTIFS($B$5:$B718,$B718)=1,1,0))</f>
        <v/>
      </c>
    </row>
    <row r="719">
      <c r="A719" s="6" t="n"/>
      <c r="B719" s="6" t="n"/>
      <c r="C719" s="6" t="n"/>
      <c r="D719" s="6" t="n"/>
      <c r="E719" s="6" t="n"/>
      <c r="F719" s="6" t="n"/>
      <c r="G719" s="7" t="n"/>
      <c r="H719" s="7" t="n"/>
      <c r="I719" s="6" t="n"/>
      <c r="J719" s="9">
        <f>IF(NOT(ISNUMBER($G719)),"",IF(AND(ASH_CORRECTED="Yes",ISNUMBER($H719)),$G719*(1-$H719),$G719))</f>
        <v/>
      </c>
      <c r="K719" s="9">
        <f>IF($B719="","",IFERROR(AVERAGEIFS('2. Soil Data'!$G$5:$G$604,'2. Soil Data'!$B$5:$B$604,$B719),""))</f>
        <v/>
      </c>
      <c r="L719" s="9">
        <f>IF(NOT(ISNUMBER($K719)),"",PI()*($K719/2)^2)</f>
        <v/>
      </c>
      <c r="M719" s="9">
        <f>IF(OR(NOT(ISNUMBER($J719)),NOT(ISNUMBER($L719)),$L719=0),"",$J719/$L719*10000)</f>
        <v/>
      </c>
      <c r="N719" s="9">
        <f>IF(NOT(ISNUMBER($M719)),"",$M719*CARBON_FRACTION_ROOT/1000)</f>
        <v/>
      </c>
      <c r="O719" s="11">
        <f>IF(AND($A719="",$B719="",$G719=""),"",IF(AND($B719&lt;&gt;"",COUNTIFS('2. Soil Data'!$B$5:$B$604,$B719)=0),"Core ID not found in Soil Data, so the corer diameter cannot be looked up. ","")&amp;IF(ASH_CORRECTED&lt;&gt;"Yes","Root mass is NOT ash-corrected, so it includes adhering mineral soil and is too high. Set ASH_CORRECTED once you have done it. ","")&amp;IF(AND(ASH_CORRECTED="Yes",NOT(ISNUMBER($H719))),"Ash correction is switched on but no ash fraction is given for this row. ","")&amp;IF($I719="","Sieve mesh not recorded — a fine-root figure cannot be interpreted without it. ","")&amp;IF(AND(ISNUMBER($H719),$H719&gt;0.5),"Ash fraction above 0.5 — over half this sample was mineral soil. Re-wash. ","")&amp;IF($F719="Not separated","Live and dead not separated. Fine for a stock, but "&amp;"note it in reporting. ",""))</f>
        <v/>
      </c>
      <c r="P719" s="6" t="n"/>
      <c r="Q719" s="9">
        <f>IF($B719="",0,IF(COUNTIFS($B$5:$B719,$B719)=1,1,0))</f>
        <v/>
      </c>
    </row>
    <row r="720">
      <c r="A720" s="6" t="n"/>
      <c r="B720" s="6" t="n"/>
      <c r="C720" s="6" t="n"/>
      <c r="D720" s="6" t="n"/>
      <c r="E720" s="6" t="n"/>
      <c r="F720" s="6" t="n"/>
      <c r="G720" s="7" t="n"/>
      <c r="H720" s="7" t="n"/>
      <c r="I720" s="6" t="n"/>
      <c r="J720" s="9">
        <f>IF(NOT(ISNUMBER($G720)),"",IF(AND(ASH_CORRECTED="Yes",ISNUMBER($H720)),$G720*(1-$H720),$G720))</f>
        <v/>
      </c>
      <c r="K720" s="9">
        <f>IF($B720="","",IFERROR(AVERAGEIFS('2. Soil Data'!$G$5:$G$604,'2. Soil Data'!$B$5:$B$604,$B720),""))</f>
        <v/>
      </c>
      <c r="L720" s="9">
        <f>IF(NOT(ISNUMBER($K720)),"",PI()*($K720/2)^2)</f>
        <v/>
      </c>
      <c r="M720" s="9">
        <f>IF(OR(NOT(ISNUMBER($J720)),NOT(ISNUMBER($L720)),$L720=0),"",$J720/$L720*10000)</f>
        <v/>
      </c>
      <c r="N720" s="9">
        <f>IF(NOT(ISNUMBER($M720)),"",$M720*CARBON_FRACTION_ROOT/1000)</f>
        <v/>
      </c>
      <c r="O720" s="11">
        <f>IF(AND($A720="",$B720="",$G720=""),"",IF(AND($B720&lt;&gt;"",COUNTIFS('2. Soil Data'!$B$5:$B$604,$B720)=0),"Core ID not found in Soil Data, so the corer diameter cannot be looked up. ","")&amp;IF(ASH_CORRECTED&lt;&gt;"Yes","Root mass is NOT ash-corrected, so it includes adhering mineral soil and is too high. Set ASH_CORRECTED once you have done it. ","")&amp;IF(AND(ASH_CORRECTED="Yes",NOT(ISNUMBER($H720))),"Ash correction is switched on but no ash fraction is given for this row. ","")&amp;IF($I720="","Sieve mesh not recorded — a fine-root figure cannot be interpreted without it. ","")&amp;IF(AND(ISNUMBER($H720),$H720&gt;0.5),"Ash fraction above 0.5 — over half this sample was mineral soil. Re-wash. ","")&amp;IF($F720="Not separated","Live and dead not separated. Fine for a stock, but "&amp;"note it in reporting. ",""))</f>
        <v/>
      </c>
      <c r="P720" s="6" t="n"/>
      <c r="Q720" s="9">
        <f>IF($B720="",0,IF(COUNTIFS($B$5:$B720,$B720)=1,1,0))</f>
        <v/>
      </c>
    </row>
    <row r="721">
      <c r="A721" s="6" t="n"/>
      <c r="B721" s="6" t="n"/>
      <c r="C721" s="6" t="n"/>
      <c r="D721" s="6" t="n"/>
      <c r="E721" s="6" t="n"/>
      <c r="F721" s="6" t="n"/>
      <c r="G721" s="7" t="n"/>
      <c r="H721" s="7" t="n"/>
      <c r="I721" s="6" t="n"/>
      <c r="J721" s="9">
        <f>IF(NOT(ISNUMBER($G721)),"",IF(AND(ASH_CORRECTED="Yes",ISNUMBER($H721)),$G721*(1-$H721),$G721))</f>
        <v/>
      </c>
      <c r="K721" s="9">
        <f>IF($B721="","",IFERROR(AVERAGEIFS('2. Soil Data'!$G$5:$G$604,'2. Soil Data'!$B$5:$B$604,$B721),""))</f>
        <v/>
      </c>
      <c r="L721" s="9">
        <f>IF(NOT(ISNUMBER($K721)),"",PI()*($K721/2)^2)</f>
        <v/>
      </c>
      <c r="M721" s="9">
        <f>IF(OR(NOT(ISNUMBER($J721)),NOT(ISNUMBER($L721)),$L721=0),"",$J721/$L721*10000)</f>
        <v/>
      </c>
      <c r="N721" s="9">
        <f>IF(NOT(ISNUMBER($M721)),"",$M721*CARBON_FRACTION_ROOT/1000)</f>
        <v/>
      </c>
      <c r="O721" s="11">
        <f>IF(AND($A721="",$B721="",$G721=""),"",IF(AND($B721&lt;&gt;"",COUNTIFS('2. Soil Data'!$B$5:$B$604,$B721)=0),"Core ID not found in Soil Data, so the corer diameter cannot be looked up. ","")&amp;IF(ASH_CORRECTED&lt;&gt;"Yes","Root mass is NOT ash-corrected, so it includes adhering mineral soil and is too high. Set ASH_CORRECTED once you have done it. ","")&amp;IF(AND(ASH_CORRECTED="Yes",NOT(ISNUMBER($H721))),"Ash correction is switched on but no ash fraction is given for this row. ","")&amp;IF($I721="","Sieve mesh not recorded — a fine-root figure cannot be interpreted without it. ","")&amp;IF(AND(ISNUMBER($H721),$H721&gt;0.5),"Ash fraction above 0.5 — over half this sample was mineral soil. Re-wash. ","")&amp;IF($F721="Not separated","Live and dead not separated. Fine for a stock, but "&amp;"note it in reporting. ",""))</f>
        <v/>
      </c>
      <c r="P721" s="6" t="n"/>
      <c r="Q721" s="9">
        <f>IF($B721="",0,IF(COUNTIFS($B$5:$B721,$B721)=1,1,0))</f>
        <v/>
      </c>
    </row>
    <row r="722">
      <c r="A722" s="6" t="n"/>
      <c r="B722" s="6" t="n"/>
      <c r="C722" s="6" t="n"/>
      <c r="D722" s="6" t="n"/>
      <c r="E722" s="6" t="n"/>
      <c r="F722" s="6" t="n"/>
      <c r="G722" s="7" t="n"/>
      <c r="H722" s="7" t="n"/>
      <c r="I722" s="6" t="n"/>
      <c r="J722" s="9">
        <f>IF(NOT(ISNUMBER($G722)),"",IF(AND(ASH_CORRECTED="Yes",ISNUMBER($H722)),$G722*(1-$H722),$G722))</f>
        <v/>
      </c>
      <c r="K722" s="9">
        <f>IF($B722="","",IFERROR(AVERAGEIFS('2. Soil Data'!$G$5:$G$604,'2. Soil Data'!$B$5:$B$604,$B722),""))</f>
        <v/>
      </c>
      <c r="L722" s="9">
        <f>IF(NOT(ISNUMBER($K722)),"",PI()*($K722/2)^2)</f>
        <v/>
      </c>
      <c r="M722" s="9">
        <f>IF(OR(NOT(ISNUMBER($J722)),NOT(ISNUMBER($L722)),$L722=0),"",$J722/$L722*10000)</f>
        <v/>
      </c>
      <c r="N722" s="9">
        <f>IF(NOT(ISNUMBER($M722)),"",$M722*CARBON_FRACTION_ROOT/1000)</f>
        <v/>
      </c>
      <c r="O722" s="11">
        <f>IF(AND($A722="",$B722="",$G722=""),"",IF(AND($B722&lt;&gt;"",COUNTIFS('2. Soil Data'!$B$5:$B$604,$B722)=0),"Core ID not found in Soil Data, so the corer diameter cannot be looked up. ","")&amp;IF(ASH_CORRECTED&lt;&gt;"Yes","Root mass is NOT ash-corrected, so it includes adhering mineral soil and is too high. Set ASH_CORRECTED once you have done it. ","")&amp;IF(AND(ASH_CORRECTED="Yes",NOT(ISNUMBER($H722))),"Ash correction is switched on but no ash fraction is given for this row. ","")&amp;IF($I722="","Sieve mesh not recorded — a fine-root figure cannot be interpreted without it. ","")&amp;IF(AND(ISNUMBER($H722),$H722&gt;0.5),"Ash fraction above 0.5 — over half this sample was mineral soil. Re-wash. ","")&amp;IF($F722="Not separated","Live and dead not separated. Fine for a stock, but "&amp;"note it in reporting. ",""))</f>
        <v/>
      </c>
      <c r="P722" s="6" t="n"/>
      <c r="Q722" s="9">
        <f>IF($B722="",0,IF(COUNTIFS($B$5:$B722,$B722)=1,1,0))</f>
        <v/>
      </c>
    </row>
    <row r="723">
      <c r="A723" s="6" t="n"/>
      <c r="B723" s="6" t="n"/>
      <c r="C723" s="6" t="n"/>
      <c r="D723" s="6" t="n"/>
      <c r="E723" s="6" t="n"/>
      <c r="F723" s="6" t="n"/>
      <c r="G723" s="7" t="n"/>
      <c r="H723" s="7" t="n"/>
      <c r="I723" s="6" t="n"/>
      <c r="J723" s="9">
        <f>IF(NOT(ISNUMBER($G723)),"",IF(AND(ASH_CORRECTED="Yes",ISNUMBER($H723)),$G723*(1-$H723),$G723))</f>
        <v/>
      </c>
      <c r="K723" s="9">
        <f>IF($B723="","",IFERROR(AVERAGEIFS('2. Soil Data'!$G$5:$G$604,'2. Soil Data'!$B$5:$B$604,$B723),""))</f>
        <v/>
      </c>
      <c r="L723" s="9">
        <f>IF(NOT(ISNUMBER($K723)),"",PI()*($K723/2)^2)</f>
        <v/>
      </c>
      <c r="M723" s="9">
        <f>IF(OR(NOT(ISNUMBER($J723)),NOT(ISNUMBER($L723)),$L723=0),"",$J723/$L723*10000)</f>
        <v/>
      </c>
      <c r="N723" s="9">
        <f>IF(NOT(ISNUMBER($M723)),"",$M723*CARBON_FRACTION_ROOT/1000)</f>
        <v/>
      </c>
      <c r="O723" s="11">
        <f>IF(AND($A723="",$B723="",$G723=""),"",IF(AND($B723&lt;&gt;"",COUNTIFS('2. Soil Data'!$B$5:$B$604,$B723)=0),"Core ID not found in Soil Data, so the corer diameter cannot be looked up. ","")&amp;IF(ASH_CORRECTED&lt;&gt;"Yes","Root mass is NOT ash-corrected, so it includes adhering mineral soil and is too high. Set ASH_CORRECTED once you have done it. ","")&amp;IF(AND(ASH_CORRECTED="Yes",NOT(ISNUMBER($H723))),"Ash correction is switched on but no ash fraction is given for this row. ","")&amp;IF($I723="","Sieve mesh not recorded — a fine-root figure cannot be interpreted without it. ","")&amp;IF(AND(ISNUMBER($H723),$H723&gt;0.5),"Ash fraction above 0.5 — over half this sample was mineral soil. Re-wash. ","")&amp;IF($F723="Not separated","Live and dead not separated. Fine for a stock, but "&amp;"note it in reporting. ",""))</f>
        <v/>
      </c>
      <c r="P723" s="6" t="n"/>
      <c r="Q723" s="9">
        <f>IF($B723="",0,IF(COUNTIFS($B$5:$B723,$B723)=1,1,0))</f>
        <v/>
      </c>
    </row>
    <row r="724">
      <c r="A724" s="6" t="n"/>
      <c r="B724" s="6" t="n"/>
      <c r="C724" s="6" t="n"/>
      <c r="D724" s="6" t="n"/>
      <c r="E724" s="6" t="n"/>
      <c r="F724" s="6" t="n"/>
      <c r="G724" s="7" t="n"/>
      <c r="H724" s="7" t="n"/>
      <c r="I724" s="6" t="n"/>
      <c r="J724" s="9">
        <f>IF(NOT(ISNUMBER($G724)),"",IF(AND(ASH_CORRECTED="Yes",ISNUMBER($H724)),$G724*(1-$H724),$G724))</f>
        <v/>
      </c>
      <c r="K724" s="9">
        <f>IF($B724="","",IFERROR(AVERAGEIFS('2. Soil Data'!$G$5:$G$604,'2. Soil Data'!$B$5:$B$604,$B724),""))</f>
        <v/>
      </c>
      <c r="L724" s="9">
        <f>IF(NOT(ISNUMBER($K724)),"",PI()*($K724/2)^2)</f>
        <v/>
      </c>
      <c r="M724" s="9">
        <f>IF(OR(NOT(ISNUMBER($J724)),NOT(ISNUMBER($L724)),$L724=0),"",$J724/$L724*10000)</f>
        <v/>
      </c>
      <c r="N724" s="9">
        <f>IF(NOT(ISNUMBER($M724)),"",$M724*CARBON_FRACTION_ROOT/1000)</f>
        <v/>
      </c>
      <c r="O724" s="11">
        <f>IF(AND($A724="",$B724="",$G724=""),"",IF(AND($B724&lt;&gt;"",COUNTIFS('2. Soil Data'!$B$5:$B$604,$B724)=0),"Core ID not found in Soil Data, so the corer diameter cannot be looked up. ","")&amp;IF(ASH_CORRECTED&lt;&gt;"Yes","Root mass is NOT ash-corrected, so it includes adhering mineral soil and is too high. Set ASH_CORRECTED once you have done it. ","")&amp;IF(AND(ASH_CORRECTED="Yes",NOT(ISNUMBER($H724))),"Ash correction is switched on but no ash fraction is given for this row. ","")&amp;IF($I724="","Sieve mesh not recorded — a fine-root figure cannot be interpreted without it. ","")&amp;IF(AND(ISNUMBER($H724),$H724&gt;0.5),"Ash fraction above 0.5 — over half this sample was mineral soil. Re-wash. ","")&amp;IF($F724="Not separated","Live and dead not separated. Fine for a stock, but "&amp;"note it in reporting. ",""))</f>
        <v/>
      </c>
      <c r="P724" s="6" t="n"/>
      <c r="Q724" s="9">
        <f>IF($B724="",0,IF(COUNTIFS($B$5:$B724,$B724)=1,1,0))</f>
        <v/>
      </c>
    </row>
    <row r="725">
      <c r="A725" s="6" t="n"/>
      <c r="B725" s="6" t="n"/>
      <c r="C725" s="6" t="n"/>
      <c r="D725" s="6" t="n"/>
      <c r="E725" s="6" t="n"/>
      <c r="F725" s="6" t="n"/>
      <c r="G725" s="7" t="n"/>
      <c r="H725" s="7" t="n"/>
      <c r="I725" s="6" t="n"/>
      <c r="J725" s="9">
        <f>IF(NOT(ISNUMBER($G725)),"",IF(AND(ASH_CORRECTED="Yes",ISNUMBER($H725)),$G725*(1-$H725),$G725))</f>
        <v/>
      </c>
      <c r="K725" s="9">
        <f>IF($B725="","",IFERROR(AVERAGEIFS('2. Soil Data'!$G$5:$G$604,'2. Soil Data'!$B$5:$B$604,$B725),""))</f>
        <v/>
      </c>
      <c r="L725" s="9">
        <f>IF(NOT(ISNUMBER($K725)),"",PI()*($K725/2)^2)</f>
        <v/>
      </c>
      <c r="M725" s="9">
        <f>IF(OR(NOT(ISNUMBER($J725)),NOT(ISNUMBER($L725)),$L725=0),"",$J725/$L725*10000)</f>
        <v/>
      </c>
      <c r="N725" s="9">
        <f>IF(NOT(ISNUMBER($M725)),"",$M725*CARBON_FRACTION_ROOT/1000)</f>
        <v/>
      </c>
      <c r="O725" s="11">
        <f>IF(AND($A725="",$B725="",$G725=""),"",IF(AND($B725&lt;&gt;"",COUNTIFS('2. Soil Data'!$B$5:$B$604,$B725)=0),"Core ID not found in Soil Data, so the corer diameter cannot be looked up. ","")&amp;IF(ASH_CORRECTED&lt;&gt;"Yes","Root mass is NOT ash-corrected, so it includes adhering mineral soil and is too high. Set ASH_CORRECTED once you have done it. ","")&amp;IF(AND(ASH_CORRECTED="Yes",NOT(ISNUMBER($H725))),"Ash correction is switched on but no ash fraction is given for this row. ","")&amp;IF($I725="","Sieve mesh not recorded — a fine-root figure cannot be interpreted without it. ","")&amp;IF(AND(ISNUMBER($H725),$H725&gt;0.5),"Ash fraction above 0.5 — over half this sample was mineral soil. Re-wash. ","")&amp;IF($F725="Not separated","Live and dead not separated. Fine for a stock, but "&amp;"note it in reporting. ",""))</f>
        <v/>
      </c>
      <c r="P725" s="6" t="n"/>
      <c r="Q725" s="9">
        <f>IF($B725="",0,IF(COUNTIFS($B$5:$B725,$B725)=1,1,0))</f>
        <v/>
      </c>
    </row>
    <row r="726">
      <c r="A726" s="6" t="n"/>
      <c r="B726" s="6" t="n"/>
      <c r="C726" s="6" t="n"/>
      <c r="D726" s="6" t="n"/>
      <c r="E726" s="6" t="n"/>
      <c r="F726" s="6" t="n"/>
      <c r="G726" s="7" t="n"/>
      <c r="H726" s="7" t="n"/>
      <c r="I726" s="6" t="n"/>
      <c r="J726" s="9">
        <f>IF(NOT(ISNUMBER($G726)),"",IF(AND(ASH_CORRECTED="Yes",ISNUMBER($H726)),$G726*(1-$H726),$G726))</f>
        <v/>
      </c>
      <c r="K726" s="9">
        <f>IF($B726="","",IFERROR(AVERAGEIFS('2. Soil Data'!$G$5:$G$604,'2. Soil Data'!$B$5:$B$604,$B726),""))</f>
        <v/>
      </c>
      <c r="L726" s="9">
        <f>IF(NOT(ISNUMBER($K726)),"",PI()*($K726/2)^2)</f>
        <v/>
      </c>
      <c r="M726" s="9">
        <f>IF(OR(NOT(ISNUMBER($J726)),NOT(ISNUMBER($L726)),$L726=0),"",$J726/$L726*10000)</f>
        <v/>
      </c>
      <c r="N726" s="9">
        <f>IF(NOT(ISNUMBER($M726)),"",$M726*CARBON_FRACTION_ROOT/1000)</f>
        <v/>
      </c>
      <c r="O726" s="11">
        <f>IF(AND($A726="",$B726="",$G726=""),"",IF(AND($B726&lt;&gt;"",COUNTIFS('2. Soil Data'!$B$5:$B$604,$B726)=0),"Core ID not found in Soil Data, so the corer diameter cannot be looked up. ","")&amp;IF(ASH_CORRECTED&lt;&gt;"Yes","Root mass is NOT ash-corrected, so it includes adhering mineral soil and is too high. Set ASH_CORRECTED once you have done it. ","")&amp;IF(AND(ASH_CORRECTED="Yes",NOT(ISNUMBER($H726))),"Ash correction is switched on but no ash fraction is given for this row. ","")&amp;IF($I726="","Sieve mesh not recorded — a fine-root figure cannot be interpreted without it. ","")&amp;IF(AND(ISNUMBER($H726),$H726&gt;0.5),"Ash fraction above 0.5 — over half this sample was mineral soil. Re-wash. ","")&amp;IF($F726="Not separated","Live and dead not separated. Fine for a stock, but "&amp;"note it in reporting. ",""))</f>
        <v/>
      </c>
      <c r="P726" s="6" t="n"/>
      <c r="Q726" s="9">
        <f>IF($B726="",0,IF(COUNTIFS($B$5:$B726,$B726)=1,1,0))</f>
        <v/>
      </c>
    </row>
    <row r="727">
      <c r="A727" s="6" t="n"/>
      <c r="B727" s="6" t="n"/>
      <c r="C727" s="6" t="n"/>
      <c r="D727" s="6" t="n"/>
      <c r="E727" s="6" t="n"/>
      <c r="F727" s="6" t="n"/>
      <c r="G727" s="7" t="n"/>
      <c r="H727" s="7" t="n"/>
      <c r="I727" s="6" t="n"/>
      <c r="J727" s="9">
        <f>IF(NOT(ISNUMBER($G727)),"",IF(AND(ASH_CORRECTED="Yes",ISNUMBER($H727)),$G727*(1-$H727),$G727))</f>
        <v/>
      </c>
      <c r="K727" s="9">
        <f>IF($B727="","",IFERROR(AVERAGEIFS('2. Soil Data'!$G$5:$G$604,'2. Soil Data'!$B$5:$B$604,$B727),""))</f>
        <v/>
      </c>
      <c r="L727" s="9">
        <f>IF(NOT(ISNUMBER($K727)),"",PI()*($K727/2)^2)</f>
        <v/>
      </c>
      <c r="M727" s="9">
        <f>IF(OR(NOT(ISNUMBER($J727)),NOT(ISNUMBER($L727)),$L727=0),"",$J727/$L727*10000)</f>
        <v/>
      </c>
      <c r="N727" s="9">
        <f>IF(NOT(ISNUMBER($M727)),"",$M727*CARBON_FRACTION_ROOT/1000)</f>
        <v/>
      </c>
      <c r="O727" s="11">
        <f>IF(AND($A727="",$B727="",$G727=""),"",IF(AND($B727&lt;&gt;"",COUNTIFS('2. Soil Data'!$B$5:$B$604,$B727)=0),"Core ID not found in Soil Data, so the corer diameter cannot be looked up. ","")&amp;IF(ASH_CORRECTED&lt;&gt;"Yes","Root mass is NOT ash-corrected, so it includes adhering mineral soil and is too high. Set ASH_CORRECTED once you have done it. ","")&amp;IF(AND(ASH_CORRECTED="Yes",NOT(ISNUMBER($H727))),"Ash correction is switched on but no ash fraction is given for this row. ","")&amp;IF($I727="","Sieve mesh not recorded — a fine-root figure cannot be interpreted without it. ","")&amp;IF(AND(ISNUMBER($H727),$H727&gt;0.5),"Ash fraction above 0.5 — over half this sample was mineral soil. Re-wash. ","")&amp;IF($F727="Not separated","Live and dead not separated. Fine for a stock, but "&amp;"note it in reporting. ",""))</f>
        <v/>
      </c>
      <c r="P727" s="6" t="n"/>
      <c r="Q727" s="9">
        <f>IF($B727="",0,IF(COUNTIFS($B$5:$B727,$B727)=1,1,0))</f>
        <v/>
      </c>
    </row>
    <row r="728">
      <c r="A728" s="6" t="n"/>
      <c r="B728" s="6" t="n"/>
      <c r="C728" s="6" t="n"/>
      <c r="D728" s="6" t="n"/>
      <c r="E728" s="6" t="n"/>
      <c r="F728" s="6" t="n"/>
      <c r="G728" s="7" t="n"/>
      <c r="H728" s="7" t="n"/>
      <c r="I728" s="6" t="n"/>
      <c r="J728" s="9">
        <f>IF(NOT(ISNUMBER($G728)),"",IF(AND(ASH_CORRECTED="Yes",ISNUMBER($H728)),$G728*(1-$H728),$G728))</f>
        <v/>
      </c>
      <c r="K728" s="9">
        <f>IF($B728="","",IFERROR(AVERAGEIFS('2. Soil Data'!$G$5:$G$604,'2. Soil Data'!$B$5:$B$604,$B728),""))</f>
        <v/>
      </c>
      <c r="L728" s="9">
        <f>IF(NOT(ISNUMBER($K728)),"",PI()*($K728/2)^2)</f>
        <v/>
      </c>
      <c r="M728" s="9">
        <f>IF(OR(NOT(ISNUMBER($J728)),NOT(ISNUMBER($L728)),$L728=0),"",$J728/$L728*10000)</f>
        <v/>
      </c>
      <c r="N728" s="9">
        <f>IF(NOT(ISNUMBER($M728)),"",$M728*CARBON_FRACTION_ROOT/1000)</f>
        <v/>
      </c>
      <c r="O728" s="11">
        <f>IF(AND($A728="",$B728="",$G728=""),"",IF(AND($B728&lt;&gt;"",COUNTIFS('2. Soil Data'!$B$5:$B$604,$B728)=0),"Core ID not found in Soil Data, so the corer diameter cannot be looked up. ","")&amp;IF(ASH_CORRECTED&lt;&gt;"Yes","Root mass is NOT ash-corrected, so it includes adhering mineral soil and is too high. Set ASH_CORRECTED once you have done it. ","")&amp;IF(AND(ASH_CORRECTED="Yes",NOT(ISNUMBER($H728))),"Ash correction is switched on but no ash fraction is given for this row. ","")&amp;IF($I728="","Sieve mesh not recorded — a fine-root figure cannot be interpreted without it. ","")&amp;IF(AND(ISNUMBER($H728),$H728&gt;0.5),"Ash fraction above 0.5 — over half this sample was mineral soil. Re-wash. ","")&amp;IF($F728="Not separated","Live and dead not separated. Fine for a stock, but "&amp;"note it in reporting. ",""))</f>
        <v/>
      </c>
      <c r="P728" s="6" t="n"/>
      <c r="Q728" s="9">
        <f>IF($B728="",0,IF(COUNTIFS($B$5:$B728,$B728)=1,1,0))</f>
        <v/>
      </c>
    </row>
    <row r="729">
      <c r="A729" s="6" t="n"/>
      <c r="B729" s="6" t="n"/>
      <c r="C729" s="6" t="n"/>
      <c r="D729" s="6" t="n"/>
      <c r="E729" s="6" t="n"/>
      <c r="F729" s="6" t="n"/>
      <c r="G729" s="7" t="n"/>
      <c r="H729" s="7" t="n"/>
      <c r="I729" s="6" t="n"/>
      <c r="J729" s="9">
        <f>IF(NOT(ISNUMBER($G729)),"",IF(AND(ASH_CORRECTED="Yes",ISNUMBER($H729)),$G729*(1-$H729),$G729))</f>
        <v/>
      </c>
      <c r="K729" s="9">
        <f>IF($B729="","",IFERROR(AVERAGEIFS('2. Soil Data'!$G$5:$G$604,'2. Soil Data'!$B$5:$B$604,$B729),""))</f>
        <v/>
      </c>
      <c r="L729" s="9">
        <f>IF(NOT(ISNUMBER($K729)),"",PI()*($K729/2)^2)</f>
        <v/>
      </c>
      <c r="M729" s="9">
        <f>IF(OR(NOT(ISNUMBER($J729)),NOT(ISNUMBER($L729)),$L729=0),"",$J729/$L729*10000)</f>
        <v/>
      </c>
      <c r="N729" s="9">
        <f>IF(NOT(ISNUMBER($M729)),"",$M729*CARBON_FRACTION_ROOT/1000)</f>
        <v/>
      </c>
      <c r="O729" s="11">
        <f>IF(AND($A729="",$B729="",$G729=""),"",IF(AND($B729&lt;&gt;"",COUNTIFS('2. Soil Data'!$B$5:$B$604,$B729)=0),"Core ID not found in Soil Data, so the corer diameter cannot be looked up. ","")&amp;IF(ASH_CORRECTED&lt;&gt;"Yes","Root mass is NOT ash-corrected, so it includes adhering mineral soil and is too high. Set ASH_CORRECTED once you have done it. ","")&amp;IF(AND(ASH_CORRECTED="Yes",NOT(ISNUMBER($H729))),"Ash correction is switched on but no ash fraction is given for this row. ","")&amp;IF($I729="","Sieve mesh not recorded — a fine-root figure cannot be interpreted without it. ","")&amp;IF(AND(ISNUMBER($H729),$H729&gt;0.5),"Ash fraction above 0.5 — over half this sample was mineral soil. Re-wash. ","")&amp;IF($F729="Not separated","Live and dead not separated. Fine for a stock, but "&amp;"note it in reporting. ",""))</f>
        <v/>
      </c>
      <c r="P729" s="6" t="n"/>
      <c r="Q729" s="9">
        <f>IF($B729="",0,IF(COUNTIFS($B$5:$B729,$B729)=1,1,0))</f>
        <v/>
      </c>
    </row>
    <row r="730">
      <c r="A730" s="6" t="n"/>
      <c r="B730" s="6" t="n"/>
      <c r="C730" s="6" t="n"/>
      <c r="D730" s="6" t="n"/>
      <c r="E730" s="6" t="n"/>
      <c r="F730" s="6" t="n"/>
      <c r="G730" s="7" t="n"/>
      <c r="H730" s="7" t="n"/>
      <c r="I730" s="6" t="n"/>
      <c r="J730" s="9">
        <f>IF(NOT(ISNUMBER($G730)),"",IF(AND(ASH_CORRECTED="Yes",ISNUMBER($H730)),$G730*(1-$H730),$G730))</f>
        <v/>
      </c>
      <c r="K730" s="9">
        <f>IF($B730="","",IFERROR(AVERAGEIFS('2. Soil Data'!$G$5:$G$604,'2. Soil Data'!$B$5:$B$604,$B730),""))</f>
        <v/>
      </c>
      <c r="L730" s="9">
        <f>IF(NOT(ISNUMBER($K730)),"",PI()*($K730/2)^2)</f>
        <v/>
      </c>
      <c r="M730" s="9">
        <f>IF(OR(NOT(ISNUMBER($J730)),NOT(ISNUMBER($L730)),$L730=0),"",$J730/$L730*10000)</f>
        <v/>
      </c>
      <c r="N730" s="9">
        <f>IF(NOT(ISNUMBER($M730)),"",$M730*CARBON_FRACTION_ROOT/1000)</f>
        <v/>
      </c>
      <c r="O730" s="11">
        <f>IF(AND($A730="",$B730="",$G730=""),"",IF(AND($B730&lt;&gt;"",COUNTIFS('2. Soil Data'!$B$5:$B$604,$B730)=0),"Core ID not found in Soil Data, so the corer diameter cannot be looked up. ","")&amp;IF(ASH_CORRECTED&lt;&gt;"Yes","Root mass is NOT ash-corrected, so it includes adhering mineral soil and is too high. Set ASH_CORRECTED once you have done it. ","")&amp;IF(AND(ASH_CORRECTED="Yes",NOT(ISNUMBER($H730))),"Ash correction is switched on but no ash fraction is given for this row. ","")&amp;IF($I730="","Sieve mesh not recorded — a fine-root figure cannot be interpreted without it. ","")&amp;IF(AND(ISNUMBER($H730),$H730&gt;0.5),"Ash fraction above 0.5 — over half this sample was mineral soil. Re-wash. ","")&amp;IF($F730="Not separated","Live and dead not separated. Fine for a stock, but "&amp;"note it in reporting. ",""))</f>
        <v/>
      </c>
      <c r="P730" s="6" t="n"/>
      <c r="Q730" s="9">
        <f>IF($B730="",0,IF(COUNTIFS($B$5:$B730,$B730)=1,1,0))</f>
        <v/>
      </c>
    </row>
    <row r="731">
      <c r="A731" s="6" t="n"/>
      <c r="B731" s="6" t="n"/>
      <c r="C731" s="6" t="n"/>
      <c r="D731" s="6" t="n"/>
      <c r="E731" s="6" t="n"/>
      <c r="F731" s="6" t="n"/>
      <c r="G731" s="7" t="n"/>
      <c r="H731" s="7" t="n"/>
      <c r="I731" s="6" t="n"/>
      <c r="J731" s="9">
        <f>IF(NOT(ISNUMBER($G731)),"",IF(AND(ASH_CORRECTED="Yes",ISNUMBER($H731)),$G731*(1-$H731),$G731))</f>
        <v/>
      </c>
      <c r="K731" s="9">
        <f>IF($B731="","",IFERROR(AVERAGEIFS('2. Soil Data'!$G$5:$G$604,'2. Soil Data'!$B$5:$B$604,$B731),""))</f>
        <v/>
      </c>
      <c r="L731" s="9">
        <f>IF(NOT(ISNUMBER($K731)),"",PI()*($K731/2)^2)</f>
        <v/>
      </c>
      <c r="M731" s="9">
        <f>IF(OR(NOT(ISNUMBER($J731)),NOT(ISNUMBER($L731)),$L731=0),"",$J731/$L731*10000)</f>
        <v/>
      </c>
      <c r="N731" s="9">
        <f>IF(NOT(ISNUMBER($M731)),"",$M731*CARBON_FRACTION_ROOT/1000)</f>
        <v/>
      </c>
      <c r="O731" s="11">
        <f>IF(AND($A731="",$B731="",$G731=""),"",IF(AND($B731&lt;&gt;"",COUNTIFS('2. Soil Data'!$B$5:$B$604,$B731)=0),"Core ID not found in Soil Data, so the corer diameter cannot be looked up. ","")&amp;IF(ASH_CORRECTED&lt;&gt;"Yes","Root mass is NOT ash-corrected, so it includes adhering mineral soil and is too high. Set ASH_CORRECTED once you have done it. ","")&amp;IF(AND(ASH_CORRECTED="Yes",NOT(ISNUMBER($H731))),"Ash correction is switched on but no ash fraction is given for this row. ","")&amp;IF($I731="","Sieve mesh not recorded — a fine-root figure cannot be interpreted without it. ","")&amp;IF(AND(ISNUMBER($H731),$H731&gt;0.5),"Ash fraction above 0.5 — over half this sample was mineral soil. Re-wash. ","")&amp;IF($F731="Not separated","Live and dead not separated. Fine for a stock, but "&amp;"note it in reporting. ",""))</f>
        <v/>
      </c>
      <c r="P731" s="6" t="n"/>
      <c r="Q731" s="9">
        <f>IF($B731="",0,IF(COUNTIFS($B$5:$B731,$B731)=1,1,0))</f>
        <v/>
      </c>
    </row>
    <row r="732">
      <c r="A732" s="6" t="n"/>
      <c r="B732" s="6" t="n"/>
      <c r="C732" s="6" t="n"/>
      <c r="D732" s="6" t="n"/>
      <c r="E732" s="6" t="n"/>
      <c r="F732" s="6" t="n"/>
      <c r="G732" s="7" t="n"/>
      <c r="H732" s="7" t="n"/>
      <c r="I732" s="6" t="n"/>
      <c r="J732" s="9">
        <f>IF(NOT(ISNUMBER($G732)),"",IF(AND(ASH_CORRECTED="Yes",ISNUMBER($H732)),$G732*(1-$H732),$G732))</f>
        <v/>
      </c>
      <c r="K732" s="9">
        <f>IF($B732="","",IFERROR(AVERAGEIFS('2. Soil Data'!$G$5:$G$604,'2. Soil Data'!$B$5:$B$604,$B732),""))</f>
        <v/>
      </c>
      <c r="L732" s="9">
        <f>IF(NOT(ISNUMBER($K732)),"",PI()*($K732/2)^2)</f>
        <v/>
      </c>
      <c r="M732" s="9">
        <f>IF(OR(NOT(ISNUMBER($J732)),NOT(ISNUMBER($L732)),$L732=0),"",$J732/$L732*10000)</f>
        <v/>
      </c>
      <c r="N732" s="9">
        <f>IF(NOT(ISNUMBER($M732)),"",$M732*CARBON_FRACTION_ROOT/1000)</f>
        <v/>
      </c>
      <c r="O732" s="11">
        <f>IF(AND($A732="",$B732="",$G732=""),"",IF(AND($B732&lt;&gt;"",COUNTIFS('2. Soil Data'!$B$5:$B$604,$B732)=0),"Core ID not found in Soil Data, so the corer diameter cannot be looked up. ","")&amp;IF(ASH_CORRECTED&lt;&gt;"Yes","Root mass is NOT ash-corrected, so it includes adhering mineral soil and is too high. Set ASH_CORRECTED once you have done it. ","")&amp;IF(AND(ASH_CORRECTED="Yes",NOT(ISNUMBER($H732))),"Ash correction is switched on but no ash fraction is given for this row. ","")&amp;IF($I732="","Sieve mesh not recorded — a fine-root figure cannot be interpreted without it. ","")&amp;IF(AND(ISNUMBER($H732),$H732&gt;0.5),"Ash fraction above 0.5 — over half this sample was mineral soil. Re-wash. ","")&amp;IF($F732="Not separated","Live and dead not separated. Fine for a stock, but "&amp;"note it in reporting. ",""))</f>
        <v/>
      </c>
      <c r="P732" s="6" t="n"/>
      <c r="Q732" s="9">
        <f>IF($B732="",0,IF(COUNTIFS($B$5:$B732,$B732)=1,1,0))</f>
        <v/>
      </c>
    </row>
    <row r="733">
      <c r="A733" s="6" t="n"/>
      <c r="B733" s="6" t="n"/>
      <c r="C733" s="6" t="n"/>
      <c r="D733" s="6" t="n"/>
      <c r="E733" s="6" t="n"/>
      <c r="F733" s="6" t="n"/>
      <c r="G733" s="7" t="n"/>
      <c r="H733" s="7" t="n"/>
      <c r="I733" s="6" t="n"/>
      <c r="J733" s="9">
        <f>IF(NOT(ISNUMBER($G733)),"",IF(AND(ASH_CORRECTED="Yes",ISNUMBER($H733)),$G733*(1-$H733),$G733))</f>
        <v/>
      </c>
      <c r="K733" s="9">
        <f>IF($B733="","",IFERROR(AVERAGEIFS('2. Soil Data'!$G$5:$G$604,'2. Soil Data'!$B$5:$B$604,$B733),""))</f>
        <v/>
      </c>
      <c r="L733" s="9">
        <f>IF(NOT(ISNUMBER($K733)),"",PI()*($K733/2)^2)</f>
        <v/>
      </c>
      <c r="M733" s="9">
        <f>IF(OR(NOT(ISNUMBER($J733)),NOT(ISNUMBER($L733)),$L733=0),"",$J733/$L733*10000)</f>
        <v/>
      </c>
      <c r="N733" s="9">
        <f>IF(NOT(ISNUMBER($M733)),"",$M733*CARBON_FRACTION_ROOT/1000)</f>
        <v/>
      </c>
      <c r="O733" s="11">
        <f>IF(AND($A733="",$B733="",$G733=""),"",IF(AND($B733&lt;&gt;"",COUNTIFS('2. Soil Data'!$B$5:$B$604,$B733)=0),"Core ID not found in Soil Data, so the corer diameter cannot be looked up. ","")&amp;IF(ASH_CORRECTED&lt;&gt;"Yes","Root mass is NOT ash-corrected, so it includes adhering mineral soil and is too high. Set ASH_CORRECTED once you have done it. ","")&amp;IF(AND(ASH_CORRECTED="Yes",NOT(ISNUMBER($H733))),"Ash correction is switched on but no ash fraction is given for this row. ","")&amp;IF($I733="","Sieve mesh not recorded — a fine-root figure cannot be interpreted without it. ","")&amp;IF(AND(ISNUMBER($H733),$H733&gt;0.5),"Ash fraction above 0.5 — over half this sample was mineral soil. Re-wash. ","")&amp;IF($F733="Not separated","Live and dead not separated. Fine for a stock, but "&amp;"note it in reporting. ",""))</f>
        <v/>
      </c>
      <c r="P733" s="6" t="n"/>
      <c r="Q733" s="9">
        <f>IF($B733="",0,IF(COUNTIFS($B$5:$B733,$B733)=1,1,0))</f>
        <v/>
      </c>
    </row>
    <row r="734">
      <c r="A734" s="6" t="n"/>
      <c r="B734" s="6" t="n"/>
      <c r="C734" s="6" t="n"/>
      <c r="D734" s="6" t="n"/>
      <c r="E734" s="6" t="n"/>
      <c r="F734" s="6" t="n"/>
      <c r="G734" s="7" t="n"/>
      <c r="H734" s="7" t="n"/>
      <c r="I734" s="6" t="n"/>
      <c r="J734" s="9">
        <f>IF(NOT(ISNUMBER($G734)),"",IF(AND(ASH_CORRECTED="Yes",ISNUMBER($H734)),$G734*(1-$H734),$G734))</f>
        <v/>
      </c>
      <c r="K734" s="9">
        <f>IF($B734="","",IFERROR(AVERAGEIFS('2. Soil Data'!$G$5:$G$604,'2. Soil Data'!$B$5:$B$604,$B734),""))</f>
        <v/>
      </c>
      <c r="L734" s="9">
        <f>IF(NOT(ISNUMBER($K734)),"",PI()*($K734/2)^2)</f>
        <v/>
      </c>
      <c r="M734" s="9">
        <f>IF(OR(NOT(ISNUMBER($J734)),NOT(ISNUMBER($L734)),$L734=0),"",$J734/$L734*10000)</f>
        <v/>
      </c>
      <c r="N734" s="9">
        <f>IF(NOT(ISNUMBER($M734)),"",$M734*CARBON_FRACTION_ROOT/1000)</f>
        <v/>
      </c>
      <c r="O734" s="11">
        <f>IF(AND($A734="",$B734="",$G734=""),"",IF(AND($B734&lt;&gt;"",COUNTIFS('2. Soil Data'!$B$5:$B$604,$B734)=0),"Core ID not found in Soil Data, so the corer diameter cannot be looked up. ","")&amp;IF(ASH_CORRECTED&lt;&gt;"Yes","Root mass is NOT ash-corrected, so it includes adhering mineral soil and is too high. Set ASH_CORRECTED once you have done it. ","")&amp;IF(AND(ASH_CORRECTED="Yes",NOT(ISNUMBER($H734))),"Ash correction is switched on but no ash fraction is given for this row. ","")&amp;IF($I734="","Sieve mesh not recorded — a fine-root figure cannot be interpreted without it. ","")&amp;IF(AND(ISNUMBER($H734),$H734&gt;0.5),"Ash fraction above 0.5 — over half this sample was mineral soil. Re-wash. ","")&amp;IF($F734="Not separated","Live and dead not separated. Fine for a stock, but "&amp;"note it in reporting. ",""))</f>
        <v/>
      </c>
      <c r="P734" s="6" t="n"/>
      <c r="Q734" s="9">
        <f>IF($B734="",0,IF(COUNTIFS($B$5:$B734,$B734)=1,1,0))</f>
        <v/>
      </c>
    </row>
    <row r="735">
      <c r="A735" s="6" t="n"/>
      <c r="B735" s="6" t="n"/>
      <c r="C735" s="6" t="n"/>
      <c r="D735" s="6" t="n"/>
      <c r="E735" s="6" t="n"/>
      <c r="F735" s="6" t="n"/>
      <c r="G735" s="7" t="n"/>
      <c r="H735" s="7" t="n"/>
      <c r="I735" s="6" t="n"/>
      <c r="J735" s="9">
        <f>IF(NOT(ISNUMBER($G735)),"",IF(AND(ASH_CORRECTED="Yes",ISNUMBER($H735)),$G735*(1-$H735),$G735))</f>
        <v/>
      </c>
      <c r="K735" s="9">
        <f>IF($B735="","",IFERROR(AVERAGEIFS('2. Soil Data'!$G$5:$G$604,'2. Soil Data'!$B$5:$B$604,$B735),""))</f>
        <v/>
      </c>
      <c r="L735" s="9">
        <f>IF(NOT(ISNUMBER($K735)),"",PI()*($K735/2)^2)</f>
        <v/>
      </c>
      <c r="M735" s="9">
        <f>IF(OR(NOT(ISNUMBER($J735)),NOT(ISNUMBER($L735)),$L735=0),"",$J735/$L735*10000)</f>
        <v/>
      </c>
      <c r="N735" s="9">
        <f>IF(NOT(ISNUMBER($M735)),"",$M735*CARBON_FRACTION_ROOT/1000)</f>
        <v/>
      </c>
      <c r="O735" s="11">
        <f>IF(AND($A735="",$B735="",$G735=""),"",IF(AND($B735&lt;&gt;"",COUNTIFS('2. Soil Data'!$B$5:$B$604,$B735)=0),"Core ID not found in Soil Data, so the corer diameter cannot be looked up. ","")&amp;IF(ASH_CORRECTED&lt;&gt;"Yes","Root mass is NOT ash-corrected, so it includes adhering mineral soil and is too high. Set ASH_CORRECTED once you have done it. ","")&amp;IF(AND(ASH_CORRECTED="Yes",NOT(ISNUMBER($H735))),"Ash correction is switched on but no ash fraction is given for this row. ","")&amp;IF($I735="","Sieve mesh not recorded — a fine-root figure cannot be interpreted without it. ","")&amp;IF(AND(ISNUMBER($H735),$H735&gt;0.5),"Ash fraction above 0.5 — over half this sample was mineral soil. Re-wash. ","")&amp;IF($F735="Not separated","Live and dead not separated. Fine for a stock, but "&amp;"note it in reporting. ",""))</f>
        <v/>
      </c>
      <c r="P735" s="6" t="n"/>
      <c r="Q735" s="9">
        <f>IF($B735="",0,IF(COUNTIFS($B$5:$B735,$B735)=1,1,0))</f>
        <v/>
      </c>
    </row>
    <row r="736">
      <c r="A736" s="6" t="n"/>
      <c r="B736" s="6" t="n"/>
      <c r="C736" s="6" t="n"/>
      <c r="D736" s="6" t="n"/>
      <c r="E736" s="6" t="n"/>
      <c r="F736" s="6" t="n"/>
      <c r="G736" s="7" t="n"/>
      <c r="H736" s="7" t="n"/>
      <c r="I736" s="6" t="n"/>
      <c r="J736" s="9">
        <f>IF(NOT(ISNUMBER($G736)),"",IF(AND(ASH_CORRECTED="Yes",ISNUMBER($H736)),$G736*(1-$H736),$G736))</f>
        <v/>
      </c>
      <c r="K736" s="9">
        <f>IF($B736="","",IFERROR(AVERAGEIFS('2. Soil Data'!$G$5:$G$604,'2. Soil Data'!$B$5:$B$604,$B736),""))</f>
        <v/>
      </c>
      <c r="L736" s="9">
        <f>IF(NOT(ISNUMBER($K736)),"",PI()*($K736/2)^2)</f>
        <v/>
      </c>
      <c r="M736" s="9">
        <f>IF(OR(NOT(ISNUMBER($J736)),NOT(ISNUMBER($L736)),$L736=0),"",$J736/$L736*10000)</f>
        <v/>
      </c>
      <c r="N736" s="9">
        <f>IF(NOT(ISNUMBER($M736)),"",$M736*CARBON_FRACTION_ROOT/1000)</f>
        <v/>
      </c>
      <c r="O736" s="11">
        <f>IF(AND($A736="",$B736="",$G736=""),"",IF(AND($B736&lt;&gt;"",COUNTIFS('2. Soil Data'!$B$5:$B$604,$B736)=0),"Core ID not found in Soil Data, so the corer diameter cannot be looked up. ","")&amp;IF(ASH_CORRECTED&lt;&gt;"Yes","Root mass is NOT ash-corrected, so it includes adhering mineral soil and is too high. Set ASH_CORRECTED once you have done it. ","")&amp;IF(AND(ASH_CORRECTED="Yes",NOT(ISNUMBER($H736))),"Ash correction is switched on but no ash fraction is given for this row. ","")&amp;IF($I736="","Sieve mesh not recorded — a fine-root figure cannot be interpreted without it. ","")&amp;IF(AND(ISNUMBER($H736),$H736&gt;0.5),"Ash fraction above 0.5 — over half this sample was mineral soil. Re-wash. ","")&amp;IF($F736="Not separated","Live and dead not separated. Fine for a stock, but "&amp;"note it in reporting. ",""))</f>
        <v/>
      </c>
      <c r="P736" s="6" t="n"/>
      <c r="Q736" s="9">
        <f>IF($B736="",0,IF(COUNTIFS($B$5:$B736,$B736)=1,1,0))</f>
        <v/>
      </c>
    </row>
    <row r="737">
      <c r="A737" s="6" t="n"/>
      <c r="B737" s="6" t="n"/>
      <c r="C737" s="6" t="n"/>
      <c r="D737" s="6" t="n"/>
      <c r="E737" s="6" t="n"/>
      <c r="F737" s="6" t="n"/>
      <c r="G737" s="7" t="n"/>
      <c r="H737" s="7" t="n"/>
      <c r="I737" s="6" t="n"/>
      <c r="J737" s="9">
        <f>IF(NOT(ISNUMBER($G737)),"",IF(AND(ASH_CORRECTED="Yes",ISNUMBER($H737)),$G737*(1-$H737),$G737))</f>
        <v/>
      </c>
      <c r="K737" s="9">
        <f>IF($B737="","",IFERROR(AVERAGEIFS('2. Soil Data'!$G$5:$G$604,'2. Soil Data'!$B$5:$B$604,$B737),""))</f>
        <v/>
      </c>
      <c r="L737" s="9">
        <f>IF(NOT(ISNUMBER($K737)),"",PI()*($K737/2)^2)</f>
        <v/>
      </c>
      <c r="M737" s="9">
        <f>IF(OR(NOT(ISNUMBER($J737)),NOT(ISNUMBER($L737)),$L737=0),"",$J737/$L737*10000)</f>
        <v/>
      </c>
      <c r="N737" s="9">
        <f>IF(NOT(ISNUMBER($M737)),"",$M737*CARBON_FRACTION_ROOT/1000)</f>
        <v/>
      </c>
      <c r="O737" s="11">
        <f>IF(AND($A737="",$B737="",$G737=""),"",IF(AND($B737&lt;&gt;"",COUNTIFS('2. Soil Data'!$B$5:$B$604,$B737)=0),"Core ID not found in Soil Data, so the corer diameter cannot be looked up. ","")&amp;IF(ASH_CORRECTED&lt;&gt;"Yes","Root mass is NOT ash-corrected, so it includes adhering mineral soil and is too high. Set ASH_CORRECTED once you have done it. ","")&amp;IF(AND(ASH_CORRECTED="Yes",NOT(ISNUMBER($H737))),"Ash correction is switched on but no ash fraction is given for this row. ","")&amp;IF($I737="","Sieve mesh not recorded — a fine-root figure cannot be interpreted without it. ","")&amp;IF(AND(ISNUMBER($H737),$H737&gt;0.5),"Ash fraction above 0.5 — over half this sample was mineral soil. Re-wash. ","")&amp;IF($F737="Not separated","Live and dead not separated. Fine for a stock, but "&amp;"note it in reporting. ",""))</f>
        <v/>
      </c>
      <c r="P737" s="6" t="n"/>
      <c r="Q737" s="9">
        <f>IF($B737="",0,IF(COUNTIFS($B$5:$B737,$B737)=1,1,0))</f>
        <v/>
      </c>
    </row>
    <row r="738">
      <c r="A738" s="6" t="n"/>
      <c r="B738" s="6" t="n"/>
      <c r="C738" s="6" t="n"/>
      <c r="D738" s="6" t="n"/>
      <c r="E738" s="6" t="n"/>
      <c r="F738" s="6" t="n"/>
      <c r="G738" s="7" t="n"/>
      <c r="H738" s="7" t="n"/>
      <c r="I738" s="6" t="n"/>
      <c r="J738" s="9">
        <f>IF(NOT(ISNUMBER($G738)),"",IF(AND(ASH_CORRECTED="Yes",ISNUMBER($H738)),$G738*(1-$H738),$G738))</f>
        <v/>
      </c>
      <c r="K738" s="9">
        <f>IF($B738="","",IFERROR(AVERAGEIFS('2. Soil Data'!$G$5:$G$604,'2. Soil Data'!$B$5:$B$604,$B738),""))</f>
        <v/>
      </c>
      <c r="L738" s="9">
        <f>IF(NOT(ISNUMBER($K738)),"",PI()*($K738/2)^2)</f>
        <v/>
      </c>
      <c r="M738" s="9">
        <f>IF(OR(NOT(ISNUMBER($J738)),NOT(ISNUMBER($L738)),$L738=0),"",$J738/$L738*10000)</f>
        <v/>
      </c>
      <c r="N738" s="9">
        <f>IF(NOT(ISNUMBER($M738)),"",$M738*CARBON_FRACTION_ROOT/1000)</f>
        <v/>
      </c>
      <c r="O738" s="11">
        <f>IF(AND($A738="",$B738="",$G738=""),"",IF(AND($B738&lt;&gt;"",COUNTIFS('2. Soil Data'!$B$5:$B$604,$B738)=0),"Core ID not found in Soil Data, so the corer diameter cannot be looked up. ","")&amp;IF(ASH_CORRECTED&lt;&gt;"Yes","Root mass is NOT ash-corrected, so it includes adhering mineral soil and is too high. Set ASH_CORRECTED once you have done it. ","")&amp;IF(AND(ASH_CORRECTED="Yes",NOT(ISNUMBER($H738))),"Ash correction is switched on but no ash fraction is given for this row. ","")&amp;IF($I738="","Sieve mesh not recorded — a fine-root figure cannot be interpreted without it. ","")&amp;IF(AND(ISNUMBER($H738),$H738&gt;0.5),"Ash fraction above 0.5 — over half this sample was mineral soil. Re-wash. ","")&amp;IF($F738="Not separated","Live and dead not separated. Fine for a stock, but "&amp;"note it in reporting. ",""))</f>
        <v/>
      </c>
      <c r="P738" s="6" t="n"/>
      <c r="Q738" s="9">
        <f>IF($B738="",0,IF(COUNTIFS($B$5:$B738,$B738)=1,1,0))</f>
        <v/>
      </c>
    </row>
    <row r="739">
      <c r="A739" s="6" t="n"/>
      <c r="B739" s="6" t="n"/>
      <c r="C739" s="6" t="n"/>
      <c r="D739" s="6" t="n"/>
      <c r="E739" s="6" t="n"/>
      <c r="F739" s="6" t="n"/>
      <c r="G739" s="7" t="n"/>
      <c r="H739" s="7" t="n"/>
      <c r="I739" s="6" t="n"/>
      <c r="J739" s="9">
        <f>IF(NOT(ISNUMBER($G739)),"",IF(AND(ASH_CORRECTED="Yes",ISNUMBER($H739)),$G739*(1-$H739),$G739))</f>
        <v/>
      </c>
      <c r="K739" s="9">
        <f>IF($B739="","",IFERROR(AVERAGEIFS('2. Soil Data'!$G$5:$G$604,'2. Soil Data'!$B$5:$B$604,$B739),""))</f>
        <v/>
      </c>
      <c r="L739" s="9">
        <f>IF(NOT(ISNUMBER($K739)),"",PI()*($K739/2)^2)</f>
        <v/>
      </c>
      <c r="M739" s="9">
        <f>IF(OR(NOT(ISNUMBER($J739)),NOT(ISNUMBER($L739)),$L739=0),"",$J739/$L739*10000)</f>
        <v/>
      </c>
      <c r="N739" s="9">
        <f>IF(NOT(ISNUMBER($M739)),"",$M739*CARBON_FRACTION_ROOT/1000)</f>
        <v/>
      </c>
      <c r="O739" s="11">
        <f>IF(AND($A739="",$B739="",$G739=""),"",IF(AND($B739&lt;&gt;"",COUNTIFS('2. Soil Data'!$B$5:$B$604,$B739)=0),"Core ID not found in Soil Data, so the corer diameter cannot be looked up. ","")&amp;IF(ASH_CORRECTED&lt;&gt;"Yes","Root mass is NOT ash-corrected, so it includes adhering mineral soil and is too high. Set ASH_CORRECTED once you have done it. ","")&amp;IF(AND(ASH_CORRECTED="Yes",NOT(ISNUMBER($H739))),"Ash correction is switched on but no ash fraction is given for this row. ","")&amp;IF($I739="","Sieve mesh not recorded — a fine-root figure cannot be interpreted without it. ","")&amp;IF(AND(ISNUMBER($H739),$H739&gt;0.5),"Ash fraction above 0.5 — over half this sample was mineral soil. Re-wash. ","")&amp;IF($F739="Not separated","Live and dead not separated. Fine for a stock, but "&amp;"note it in reporting. ",""))</f>
        <v/>
      </c>
      <c r="P739" s="6" t="n"/>
      <c r="Q739" s="9">
        <f>IF($B739="",0,IF(COUNTIFS($B$5:$B739,$B739)=1,1,0))</f>
        <v/>
      </c>
    </row>
    <row r="740">
      <c r="A740" s="6" t="n"/>
      <c r="B740" s="6" t="n"/>
      <c r="C740" s="6" t="n"/>
      <c r="D740" s="6" t="n"/>
      <c r="E740" s="6" t="n"/>
      <c r="F740" s="6" t="n"/>
      <c r="G740" s="7" t="n"/>
      <c r="H740" s="7" t="n"/>
      <c r="I740" s="6" t="n"/>
      <c r="J740" s="9">
        <f>IF(NOT(ISNUMBER($G740)),"",IF(AND(ASH_CORRECTED="Yes",ISNUMBER($H740)),$G740*(1-$H740),$G740))</f>
        <v/>
      </c>
      <c r="K740" s="9">
        <f>IF($B740="","",IFERROR(AVERAGEIFS('2. Soil Data'!$G$5:$G$604,'2. Soil Data'!$B$5:$B$604,$B740),""))</f>
        <v/>
      </c>
      <c r="L740" s="9">
        <f>IF(NOT(ISNUMBER($K740)),"",PI()*($K740/2)^2)</f>
        <v/>
      </c>
      <c r="M740" s="9">
        <f>IF(OR(NOT(ISNUMBER($J740)),NOT(ISNUMBER($L740)),$L740=0),"",$J740/$L740*10000)</f>
        <v/>
      </c>
      <c r="N740" s="9">
        <f>IF(NOT(ISNUMBER($M740)),"",$M740*CARBON_FRACTION_ROOT/1000)</f>
        <v/>
      </c>
      <c r="O740" s="11">
        <f>IF(AND($A740="",$B740="",$G740=""),"",IF(AND($B740&lt;&gt;"",COUNTIFS('2. Soil Data'!$B$5:$B$604,$B740)=0),"Core ID not found in Soil Data, so the corer diameter cannot be looked up. ","")&amp;IF(ASH_CORRECTED&lt;&gt;"Yes","Root mass is NOT ash-corrected, so it includes adhering mineral soil and is too high. Set ASH_CORRECTED once you have done it. ","")&amp;IF(AND(ASH_CORRECTED="Yes",NOT(ISNUMBER($H740))),"Ash correction is switched on but no ash fraction is given for this row. ","")&amp;IF($I740="","Sieve mesh not recorded — a fine-root figure cannot be interpreted without it. ","")&amp;IF(AND(ISNUMBER($H740),$H740&gt;0.5),"Ash fraction above 0.5 — over half this sample was mineral soil. Re-wash. ","")&amp;IF($F740="Not separated","Live and dead not separated. Fine for a stock, but "&amp;"note it in reporting. ",""))</f>
        <v/>
      </c>
      <c r="P740" s="6" t="n"/>
      <c r="Q740" s="9">
        <f>IF($B740="",0,IF(COUNTIFS($B$5:$B740,$B740)=1,1,0))</f>
        <v/>
      </c>
    </row>
    <row r="741">
      <c r="A741" s="6" t="n"/>
      <c r="B741" s="6" t="n"/>
      <c r="C741" s="6" t="n"/>
      <c r="D741" s="6" t="n"/>
      <c r="E741" s="6" t="n"/>
      <c r="F741" s="6" t="n"/>
      <c r="G741" s="7" t="n"/>
      <c r="H741" s="7" t="n"/>
      <c r="I741" s="6" t="n"/>
      <c r="J741" s="9">
        <f>IF(NOT(ISNUMBER($G741)),"",IF(AND(ASH_CORRECTED="Yes",ISNUMBER($H741)),$G741*(1-$H741),$G741))</f>
        <v/>
      </c>
      <c r="K741" s="9">
        <f>IF($B741="","",IFERROR(AVERAGEIFS('2. Soil Data'!$G$5:$G$604,'2. Soil Data'!$B$5:$B$604,$B741),""))</f>
        <v/>
      </c>
      <c r="L741" s="9">
        <f>IF(NOT(ISNUMBER($K741)),"",PI()*($K741/2)^2)</f>
        <v/>
      </c>
      <c r="M741" s="9">
        <f>IF(OR(NOT(ISNUMBER($J741)),NOT(ISNUMBER($L741)),$L741=0),"",$J741/$L741*10000)</f>
        <v/>
      </c>
      <c r="N741" s="9">
        <f>IF(NOT(ISNUMBER($M741)),"",$M741*CARBON_FRACTION_ROOT/1000)</f>
        <v/>
      </c>
      <c r="O741" s="11">
        <f>IF(AND($A741="",$B741="",$G741=""),"",IF(AND($B741&lt;&gt;"",COUNTIFS('2. Soil Data'!$B$5:$B$604,$B741)=0),"Core ID not found in Soil Data, so the corer diameter cannot be looked up. ","")&amp;IF(ASH_CORRECTED&lt;&gt;"Yes","Root mass is NOT ash-corrected, so it includes adhering mineral soil and is too high. Set ASH_CORRECTED once you have done it. ","")&amp;IF(AND(ASH_CORRECTED="Yes",NOT(ISNUMBER($H741))),"Ash correction is switched on but no ash fraction is given for this row. ","")&amp;IF($I741="","Sieve mesh not recorded — a fine-root figure cannot be interpreted without it. ","")&amp;IF(AND(ISNUMBER($H741),$H741&gt;0.5),"Ash fraction above 0.5 — over half this sample was mineral soil. Re-wash. ","")&amp;IF($F741="Not separated","Live and dead not separated. Fine for a stock, but "&amp;"note it in reporting. ",""))</f>
        <v/>
      </c>
      <c r="P741" s="6" t="n"/>
      <c r="Q741" s="9">
        <f>IF($B741="",0,IF(COUNTIFS($B$5:$B741,$B741)=1,1,0))</f>
        <v/>
      </c>
    </row>
    <row r="742">
      <c r="A742" s="6" t="n"/>
      <c r="B742" s="6" t="n"/>
      <c r="C742" s="6" t="n"/>
      <c r="D742" s="6" t="n"/>
      <c r="E742" s="6" t="n"/>
      <c r="F742" s="6" t="n"/>
      <c r="G742" s="7" t="n"/>
      <c r="H742" s="7" t="n"/>
      <c r="I742" s="6" t="n"/>
      <c r="J742" s="9">
        <f>IF(NOT(ISNUMBER($G742)),"",IF(AND(ASH_CORRECTED="Yes",ISNUMBER($H742)),$G742*(1-$H742),$G742))</f>
        <v/>
      </c>
      <c r="K742" s="9">
        <f>IF($B742="","",IFERROR(AVERAGEIFS('2. Soil Data'!$G$5:$G$604,'2. Soil Data'!$B$5:$B$604,$B742),""))</f>
        <v/>
      </c>
      <c r="L742" s="9">
        <f>IF(NOT(ISNUMBER($K742)),"",PI()*($K742/2)^2)</f>
        <v/>
      </c>
      <c r="M742" s="9">
        <f>IF(OR(NOT(ISNUMBER($J742)),NOT(ISNUMBER($L742)),$L742=0),"",$J742/$L742*10000)</f>
        <v/>
      </c>
      <c r="N742" s="9">
        <f>IF(NOT(ISNUMBER($M742)),"",$M742*CARBON_FRACTION_ROOT/1000)</f>
        <v/>
      </c>
      <c r="O742" s="11">
        <f>IF(AND($A742="",$B742="",$G742=""),"",IF(AND($B742&lt;&gt;"",COUNTIFS('2. Soil Data'!$B$5:$B$604,$B742)=0),"Core ID not found in Soil Data, so the corer diameter cannot be looked up. ","")&amp;IF(ASH_CORRECTED&lt;&gt;"Yes","Root mass is NOT ash-corrected, so it includes adhering mineral soil and is too high. Set ASH_CORRECTED once you have done it. ","")&amp;IF(AND(ASH_CORRECTED="Yes",NOT(ISNUMBER($H742))),"Ash correction is switched on but no ash fraction is given for this row. ","")&amp;IF($I742="","Sieve mesh not recorded — a fine-root figure cannot be interpreted without it. ","")&amp;IF(AND(ISNUMBER($H742),$H742&gt;0.5),"Ash fraction above 0.5 — over half this sample was mineral soil. Re-wash. ","")&amp;IF($F742="Not separated","Live and dead not separated. Fine for a stock, but "&amp;"note it in reporting. ",""))</f>
        <v/>
      </c>
      <c r="P742" s="6" t="n"/>
      <c r="Q742" s="9">
        <f>IF($B742="",0,IF(COUNTIFS($B$5:$B742,$B742)=1,1,0))</f>
        <v/>
      </c>
    </row>
    <row r="743">
      <c r="A743" s="6" t="n"/>
      <c r="B743" s="6" t="n"/>
      <c r="C743" s="6" t="n"/>
      <c r="D743" s="6" t="n"/>
      <c r="E743" s="6" t="n"/>
      <c r="F743" s="6" t="n"/>
      <c r="G743" s="7" t="n"/>
      <c r="H743" s="7" t="n"/>
      <c r="I743" s="6" t="n"/>
      <c r="J743" s="9">
        <f>IF(NOT(ISNUMBER($G743)),"",IF(AND(ASH_CORRECTED="Yes",ISNUMBER($H743)),$G743*(1-$H743),$G743))</f>
        <v/>
      </c>
      <c r="K743" s="9">
        <f>IF($B743="","",IFERROR(AVERAGEIFS('2. Soil Data'!$G$5:$G$604,'2. Soil Data'!$B$5:$B$604,$B743),""))</f>
        <v/>
      </c>
      <c r="L743" s="9">
        <f>IF(NOT(ISNUMBER($K743)),"",PI()*($K743/2)^2)</f>
        <v/>
      </c>
      <c r="M743" s="9">
        <f>IF(OR(NOT(ISNUMBER($J743)),NOT(ISNUMBER($L743)),$L743=0),"",$J743/$L743*10000)</f>
        <v/>
      </c>
      <c r="N743" s="9">
        <f>IF(NOT(ISNUMBER($M743)),"",$M743*CARBON_FRACTION_ROOT/1000)</f>
        <v/>
      </c>
      <c r="O743" s="11">
        <f>IF(AND($A743="",$B743="",$G743=""),"",IF(AND($B743&lt;&gt;"",COUNTIFS('2. Soil Data'!$B$5:$B$604,$B743)=0),"Core ID not found in Soil Data, so the corer diameter cannot be looked up. ","")&amp;IF(ASH_CORRECTED&lt;&gt;"Yes","Root mass is NOT ash-corrected, so it includes adhering mineral soil and is too high. Set ASH_CORRECTED once you have done it. ","")&amp;IF(AND(ASH_CORRECTED="Yes",NOT(ISNUMBER($H743))),"Ash correction is switched on but no ash fraction is given for this row. ","")&amp;IF($I743="","Sieve mesh not recorded — a fine-root figure cannot be interpreted without it. ","")&amp;IF(AND(ISNUMBER($H743),$H743&gt;0.5),"Ash fraction above 0.5 — over half this sample was mineral soil. Re-wash. ","")&amp;IF($F743="Not separated","Live and dead not separated. Fine for a stock, but "&amp;"note it in reporting. ",""))</f>
        <v/>
      </c>
      <c r="P743" s="6" t="n"/>
      <c r="Q743" s="9">
        <f>IF($B743="",0,IF(COUNTIFS($B$5:$B743,$B743)=1,1,0))</f>
        <v/>
      </c>
    </row>
    <row r="744">
      <c r="A744" s="6" t="n"/>
      <c r="B744" s="6" t="n"/>
      <c r="C744" s="6" t="n"/>
      <c r="D744" s="6" t="n"/>
      <c r="E744" s="6" t="n"/>
      <c r="F744" s="6" t="n"/>
      <c r="G744" s="7" t="n"/>
      <c r="H744" s="7" t="n"/>
      <c r="I744" s="6" t="n"/>
      <c r="J744" s="9">
        <f>IF(NOT(ISNUMBER($G744)),"",IF(AND(ASH_CORRECTED="Yes",ISNUMBER($H744)),$G744*(1-$H744),$G744))</f>
        <v/>
      </c>
      <c r="K744" s="9">
        <f>IF($B744="","",IFERROR(AVERAGEIFS('2. Soil Data'!$G$5:$G$604,'2. Soil Data'!$B$5:$B$604,$B744),""))</f>
        <v/>
      </c>
      <c r="L744" s="9">
        <f>IF(NOT(ISNUMBER($K744)),"",PI()*($K744/2)^2)</f>
        <v/>
      </c>
      <c r="M744" s="9">
        <f>IF(OR(NOT(ISNUMBER($J744)),NOT(ISNUMBER($L744)),$L744=0),"",$J744/$L744*10000)</f>
        <v/>
      </c>
      <c r="N744" s="9">
        <f>IF(NOT(ISNUMBER($M744)),"",$M744*CARBON_FRACTION_ROOT/1000)</f>
        <v/>
      </c>
      <c r="O744" s="11">
        <f>IF(AND($A744="",$B744="",$G744=""),"",IF(AND($B744&lt;&gt;"",COUNTIFS('2. Soil Data'!$B$5:$B$604,$B744)=0),"Core ID not found in Soil Data, so the corer diameter cannot be looked up. ","")&amp;IF(ASH_CORRECTED&lt;&gt;"Yes","Root mass is NOT ash-corrected, so it includes adhering mineral soil and is too high. Set ASH_CORRECTED once you have done it. ","")&amp;IF(AND(ASH_CORRECTED="Yes",NOT(ISNUMBER($H744))),"Ash correction is switched on but no ash fraction is given for this row. ","")&amp;IF($I744="","Sieve mesh not recorded — a fine-root figure cannot be interpreted without it. ","")&amp;IF(AND(ISNUMBER($H744),$H744&gt;0.5),"Ash fraction above 0.5 — over half this sample was mineral soil. Re-wash. ","")&amp;IF($F744="Not separated","Live and dead not separated. Fine for a stock, but "&amp;"note it in reporting. ",""))</f>
        <v/>
      </c>
      <c r="P744" s="6" t="n"/>
      <c r="Q744" s="9">
        <f>IF($B744="",0,IF(COUNTIFS($B$5:$B744,$B744)=1,1,0))</f>
        <v/>
      </c>
    </row>
    <row r="745">
      <c r="A745" s="6" t="n"/>
      <c r="B745" s="6" t="n"/>
      <c r="C745" s="6" t="n"/>
      <c r="D745" s="6" t="n"/>
      <c r="E745" s="6" t="n"/>
      <c r="F745" s="6" t="n"/>
      <c r="G745" s="7" t="n"/>
      <c r="H745" s="7" t="n"/>
      <c r="I745" s="6" t="n"/>
      <c r="J745" s="9">
        <f>IF(NOT(ISNUMBER($G745)),"",IF(AND(ASH_CORRECTED="Yes",ISNUMBER($H745)),$G745*(1-$H745),$G745))</f>
        <v/>
      </c>
      <c r="K745" s="9">
        <f>IF($B745="","",IFERROR(AVERAGEIFS('2. Soil Data'!$G$5:$G$604,'2. Soil Data'!$B$5:$B$604,$B745),""))</f>
        <v/>
      </c>
      <c r="L745" s="9">
        <f>IF(NOT(ISNUMBER($K745)),"",PI()*($K745/2)^2)</f>
        <v/>
      </c>
      <c r="M745" s="9">
        <f>IF(OR(NOT(ISNUMBER($J745)),NOT(ISNUMBER($L745)),$L745=0),"",$J745/$L745*10000)</f>
        <v/>
      </c>
      <c r="N745" s="9">
        <f>IF(NOT(ISNUMBER($M745)),"",$M745*CARBON_FRACTION_ROOT/1000)</f>
        <v/>
      </c>
      <c r="O745" s="11">
        <f>IF(AND($A745="",$B745="",$G745=""),"",IF(AND($B745&lt;&gt;"",COUNTIFS('2. Soil Data'!$B$5:$B$604,$B745)=0),"Core ID not found in Soil Data, so the corer diameter cannot be looked up. ","")&amp;IF(ASH_CORRECTED&lt;&gt;"Yes","Root mass is NOT ash-corrected, so it includes adhering mineral soil and is too high. Set ASH_CORRECTED once you have done it. ","")&amp;IF(AND(ASH_CORRECTED="Yes",NOT(ISNUMBER($H745))),"Ash correction is switched on but no ash fraction is given for this row. ","")&amp;IF($I745="","Sieve mesh not recorded — a fine-root figure cannot be interpreted without it. ","")&amp;IF(AND(ISNUMBER($H745),$H745&gt;0.5),"Ash fraction above 0.5 — over half this sample was mineral soil. Re-wash. ","")&amp;IF($F745="Not separated","Live and dead not separated. Fine for a stock, but "&amp;"note it in reporting. ",""))</f>
        <v/>
      </c>
      <c r="P745" s="6" t="n"/>
      <c r="Q745" s="9">
        <f>IF($B745="",0,IF(COUNTIFS($B$5:$B745,$B745)=1,1,0))</f>
        <v/>
      </c>
    </row>
    <row r="746">
      <c r="A746" s="6" t="n"/>
      <c r="B746" s="6" t="n"/>
      <c r="C746" s="6" t="n"/>
      <c r="D746" s="6" t="n"/>
      <c r="E746" s="6" t="n"/>
      <c r="F746" s="6" t="n"/>
      <c r="G746" s="7" t="n"/>
      <c r="H746" s="7" t="n"/>
      <c r="I746" s="6" t="n"/>
      <c r="J746" s="9">
        <f>IF(NOT(ISNUMBER($G746)),"",IF(AND(ASH_CORRECTED="Yes",ISNUMBER($H746)),$G746*(1-$H746),$G746))</f>
        <v/>
      </c>
      <c r="K746" s="9">
        <f>IF($B746="","",IFERROR(AVERAGEIFS('2. Soil Data'!$G$5:$G$604,'2. Soil Data'!$B$5:$B$604,$B746),""))</f>
        <v/>
      </c>
      <c r="L746" s="9">
        <f>IF(NOT(ISNUMBER($K746)),"",PI()*($K746/2)^2)</f>
        <v/>
      </c>
      <c r="M746" s="9">
        <f>IF(OR(NOT(ISNUMBER($J746)),NOT(ISNUMBER($L746)),$L746=0),"",$J746/$L746*10000)</f>
        <v/>
      </c>
      <c r="N746" s="9">
        <f>IF(NOT(ISNUMBER($M746)),"",$M746*CARBON_FRACTION_ROOT/1000)</f>
        <v/>
      </c>
      <c r="O746" s="11">
        <f>IF(AND($A746="",$B746="",$G746=""),"",IF(AND($B746&lt;&gt;"",COUNTIFS('2. Soil Data'!$B$5:$B$604,$B746)=0),"Core ID not found in Soil Data, so the corer diameter cannot be looked up. ","")&amp;IF(ASH_CORRECTED&lt;&gt;"Yes","Root mass is NOT ash-corrected, so it includes adhering mineral soil and is too high. Set ASH_CORRECTED once you have done it. ","")&amp;IF(AND(ASH_CORRECTED="Yes",NOT(ISNUMBER($H746))),"Ash correction is switched on but no ash fraction is given for this row. ","")&amp;IF($I746="","Sieve mesh not recorded — a fine-root figure cannot be interpreted without it. ","")&amp;IF(AND(ISNUMBER($H746),$H746&gt;0.5),"Ash fraction above 0.5 — over half this sample was mineral soil. Re-wash. ","")&amp;IF($F746="Not separated","Live and dead not separated. Fine for a stock, but "&amp;"note it in reporting. ",""))</f>
        <v/>
      </c>
      <c r="P746" s="6" t="n"/>
      <c r="Q746" s="9">
        <f>IF($B746="",0,IF(COUNTIFS($B$5:$B746,$B746)=1,1,0))</f>
        <v/>
      </c>
    </row>
    <row r="747">
      <c r="A747" s="6" t="n"/>
      <c r="B747" s="6" t="n"/>
      <c r="C747" s="6" t="n"/>
      <c r="D747" s="6" t="n"/>
      <c r="E747" s="6" t="n"/>
      <c r="F747" s="6" t="n"/>
      <c r="G747" s="7" t="n"/>
      <c r="H747" s="7" t="n"/>
      <c r="I747" s="6" t="n"/>
      <c r="J747" s="9">
        <f>IF(NOT(ISNUMBER($G747)),"",IF(AND(ASH_CORRECTED="Yes",ISNUMBER($H747)),$G747*(1-$H747),$G747))</f>
        <v/>
      </c>
      <c r="K747" s="9">
        <f>IF($B747="","",IFERROR(AVERAGEIFS('2. Soil Data'!$G$5:$G$604,'2. Soil Data'!$B$5:$B$604,$B747),""))</f>
        <v/>
      </c>
      <c r="L747" s="9">
        <f>IF(NOT(ISNUMBER($K747)),"",PI()*($K747/2)^2)</f>
        <v/>
      </c>
      <c r="M747" s="9">
        <f>IF(OR(NOT(ISNUMBER($J747)),NOT(ISNUMBER($L747)),$L747=0),"",$J747/$L747*10000)</f>
        <v/>
      </c>
      <c r="N747" s="9">
        <f>IF(NOT(ISNUMBER($M747)),"",$M747*CARBON_FRACTION_ROOT/1000)</f>
        <v/>
      </c>
      <c r="O747" s="11">
        <f>IF(AND($A747="",$B747="",$G747=""),"",IF(AND($B747&lt;&gt;"",COUNTIFS('2. Soil Data'!$B$5:$B$604,$B747)=0),"Core ID not found in Soil Data, so the corer diameter cannot be looked up. ","")&amp;IF(ASH_CORRECTED&lt;&gt;"Yes","Root mass is NOT ash-corrected, so it includes adhering mineral soil and is too high. Set ASH_CORRECTED once you have done it. ","")&amp;IF(AND(ASH_CORRECTED="Yes",NOT(ISNUMBER($H747))),"Ash correction is switched on but no ash fraction is given for this row. ","")&amp;IF($I747="","Sieve mesh not recorded — a fine-root figure cannot be interpreted without it. ","")&amp;IF(AND(ISNUMBER($H747),$H747&gt;0.5),"Ash fraction above 0.5 — over half this sample was mineral soil. Re-wash. ","")&amp;IF($F747="Not separated","Live and dead not separated. Fine for a stock, but "&amp;"note it in reporting. ",""))</f>
        <v/>
      </c>
      <c r="P747" s="6" t="n"/>
      <c r="Q747" s="9">
        <f>IF($B747="",0,IF(COUNTIFS($B$5:$B747,$B747)=1,1,0))</f>
        <v/>
      </c>
    </row>
    <row r="748">
      <c r="A748" s="6" t="n"/>
      <c r="B748" s="6" t="n"/>
      <c r="C748" s="6" t="n"/>
      <c r="D748" s="6" t="n"/>
      <c r="E748" s="6" t="n"/>
      <c r="F748" s="6" t="n"/>
      <c r="G748" s="7" t="n"/>
      <c r="H748" s="7" t="n"/>
      <c r="I748" s="6" t="n"/>
      <c r="J748" s="9">
        <f>IF(NOT(ISNUMBER($G748)),"",IF(AND(ASH_CORRECTED="Yes",ISNUMBER($H748)),$G748*(1-$H748),$G748))</f>
        <v/>
      </c>
      <c r="K748" s="9">
        <f>IF($B748="","",IFERROR(AVERAGEIFS('2. Soil Data'!$G$5:$G$604,'2. Soil Data'!$B$5:$B$604,$B748),""))</f>
        <v/>
      </c>
      <c r="L748" s="9">
        <f>IF(NOT(ISNUMBER($K748)),"",PI()*($K748/2)^2)</f>
        <v/>
      </c>
      <c r="M748" s="9">
        <f>IF(OR(NOT(ISNUMBER($J748)),NOT(ISNUMBER($L748)),$L748=0),"",$J748/$L748*10000)</f>
        <v/>
      </c>
      <c r="N748" s="9">
        <f>IF(NOT(ISNUMBER($M748)),"",$M748*CARBON_FRACTION_ROOT/1000)</f>
        <v/>
      </c>
      <c r="O748" s="11">
        <f>IF(AND($A748="",$B748="",$G748=""),"",IF(AND($B748&lt;&gt;"",COUNTIFS('2. Soil Data'!$B$5:$B$604,$B748)=0),"Core ID not found in Soil Data, so the corer diameter cannot be looked up. ","")&amp;IF(ASH_CORRECTED&lt;&gt;"Yes","Root mass is NOT ash-corrected, so it includes adhering mineral soil and is too high. Set ASH_CORRECTED once you have done it. ","")&amp;IF(AND(ASH_CORRECTED="Yes",NOT(ISNUMBER($H748))),"Ash correction is switched on but no ash fraction is given for this row. ","")&amp;IF($I748="","Sieve mesh not recorded — a fine-root figure cannot be interpreted without it. ","")&amp;IF(AND(ISNUMBER($H748),$H748&gt;0.5),"Ash fraction above 0.5 — over half this sample was mineral soil. Re-wash. ","")&amp;IF($F748="Not separated","Live and dead not separated. Fine for a stock, but "&amp;"note it in reporting. ",""))</f>
        <v/>
      </c>
      <c r="P748" s="6" t="n"/>
      <c r="Q748" s="9">
        <f>IF($B748="",0,IF(COUNTIFS($B$5:$B748,$B748)=1,1,0))</f>
        <v/>
      </c>
    </row>
    <row r="749">
      <c r="A749" s="6" t="n"/>
      <c r="B749" s="6" t="n"/>
      <c r="C749" s="6" t="n"/>
      <c r="D749" s="6" t="n"/>
      <c r="E749" s="6" t="n"/>
      <c r="F749" s="6" t="n"/>
      <c r="G749" s="7" t="n"/>
      <c r="H749" s="7" t="n"/>
      <c r="I749" s="6" t="n"/>
      <c r="J749" s="9">
        <f>IF(NOT(ISNUMBER($G749)),"",IF(AND(ASH_CORRECTED="Yes",ISNUMBER($H749)),$G749*(1-$H749),$G749))</f>
        <v/>
      </c>
      <c r="K749" s="9">
        <f>IF($B749="","",IFERROR(AVERAGEIFS('2. Soil Data'!$G$5:$G$604,'2. Soil Data'!$B$5:$B$604,$B749),""))</f>
        <v/>
      </c>
      <c r="L749" s="9">
        <f>IF(NOT(ISNUMBER($K749)),"",PI()*($K749/2)^2)</f>
        <v/>
      </c>
      <c r="M749" s="9">
        <f>IF(OR(NOT(ISNUMBER($J749)),NOT(ISNUMBER($L749)),$L749=0),"",$J749/$L749*10000)</f>
        <v/>
      </c>
      <c r="N749" s="9">
        <f>IF(NOT(ISNUMBER($M749)),"",$M749*CARBON_FRACTION_ROOT/1000)</f>
        <v/>
      </c>
      <c r="O749" s="11">
        <f>IF(AND($A749="",$B749="",$G749=""),"",IF(AND($B749&lt;&gt;"",COUNTIFS('2. Soil Data'!$B$5:$B$604,$B749)=0),"Core ID not found in Soil Data, so the corer diameter cannot be looked up. ","")&amp;IF(ASH_CORRECTED&lt;&gt;"Yes","Root mass is NOT ash-corrected, so it includes adhering mineral soil and is too high. Set ASH_CORRECTED once you have done it. ","")&amp;IF(AND(ASH_CORRECTED="Yes",NOT(ISNUMBER($H749))),"Ash correction is switched on but no ash fraction is given for this row. ","")&amp;IF($I749="","Sieve mesh not recorded — a fine-root figure cannot be interpreted without it. ","")&amp;IF(AND(ISNUMBER($H749),$H749&gt;0.5),"Ash fraction above 0.5 — over half this sample was mineral soil. Re-wash. ","")&amp;IF($F749="Not separated","Live and dead not separated. Fine for a stock, but "&amp;"note it in reporting. ",""))</f>
        <v/>
      </c>
      <c r="P749" s="6" t="n"/>
      <c r="Q749" s="9">
        <f>IF($B749="",0,IF(COUNTIFS($B$5:$B749,$B749)=1,1,0))</f>
        <v/>
      </c>
    </row>
    <row r="750">
      <c r="A750" s="6" t="n"/>
      <c r="B750" s="6" t="n"/>
      <c r="C750" s="6" t="n"/>
      <c r="D750" s="6" t="n"/>
      <c r="E750" s="6" t="n"/>
      <c r="F750" s="6" t="n"/>
      <c r="G750" s="7" t="n"/>
      <c r="H750" s="7" t="n"/>
      <c r="I750" s="6" t="n"/>
      <c r="J750" s="9">
        <f>IF(NOT(ISNUMBER($G750)),"",IF(AND(ASH_CORRECTED="Yes",ISNUMBER($H750)),$G750*(1-$H750),$G750))</f>
        <v/>
      </c>
      <c r="K750" s="9">
        <f>IF($B750="","",IFERROR(AVERAGEIFS('2. Soil Data'!$G$5:$G$604,'2. Soil Data'!$B$5:$B$604,$B750),""))</f>
        <v/>
      </c>
      <c r="L750" s="9">
        <f>IF(NOT(ISNUMBER($K750)),"",PI()*($K750/2)^2)</f>
        <v/>
      </c>
      <c r="M750" s="9">
        <f>IF(OR(NOT(ISNUMBER($J750)),NOT(ISNUMBER($L750)),$L750=0),"",$J750/$L750*10000)</f>
        <v/>
      </c>
      <c r="N750" s="9">
        <f>IF(NOT(ISNUMBER($M750)),"",$M750*CARBON_FRACTION_ROOT/1000)</f>
        <v/>
      </c>
      <c r="O750" s="11">
        <f>IF(AND($A750="",$B750="",$G750=""),"",IF(AND($B750&lt;&gt;"",COUNTIFS('2. Soil Data'!$B$5:$B$604,$B750)=0),"Core ID not found in Soil Data, so the corer diameter cannot be looked up. ","")&amp;IF(ASH_CORRECTED&lt;&gt;"Yes","Root mass is NOT ash-corrected, so it includes adhering mineral soil and is too high. Set ASH_CORRECTED once you have done it. ","")&amp;IF(AND(ASH_CORRECTED="Yes",NOT(ISNUMBER($H750))),"Ash correction is switched on but no ash fraction is given for this row. ","")&amp;IF($I750="","Sieve mesh not recorded — a fine-root figure cannot be interpreted without it. ","")&amp;IF(AND(ISNUMBER($H750),$H750&gt;0.5),"Ash fraction above 0.5 — over half this sample was mineral soil. Re-wash. ","")&amp;IF($F750="Not separated","Live and dead not separated. Fine for a stock, but "&amp;"note it in reporting. ",""))</f>
        <v/>
      </c>
      <c r="P750" s="6" t="n"/>
      <c r="Q750" s="9">
        <f>IF($B750="",0,IF(COUNTIFS($B$5:$B750,$B750)=1,1,0))</f>
        <v/>
      </c>
    </row>
    <row r="751">
      <c r="A751" s="6" t="n"/>
      <c r="B751" s="6" t="n"/>
      <c r="C751" s="6" t="n"/>
      <c r="D751" s="6" t="n"/>
      <c r="E751" s="6" t="n"/>
      <c r="F751" s="6" t="n"/>
      <c r="G751" s="7" t="n"/>
      <c r="H751" s="7" t="n"/>
      <c r="I751" s="6" t="n"/>
      <c r="J751" s="9">
        <f>IF(NOT(ISNUMBER($G751)),"",IF(AND(ASH_CORRECTED="Yes",ISNUMBER($H751)),$G751*(1-$H751),$G751))</f>
        <v/>
      </c>
      <c r="K751" s="9">
        <f>IF($B751="","",IFERROR(AVERAGEIFS('2. Soil Data'!$G$5:$G$604,'2. Soil Data'!$B$5:$B$604,$B751),""))</f>
        <v/>
      </c>
      <c r="L751" s="9">
        <f>IF(NOT(ISNUMBER($K751)),"",PI()*($K751/2)^2)</f>
        <v/>
      </c>
      <c r="M751" s="9">
        <f>IF(OR(NOT(ISNUMBER($J751)),NOT(ISNUMBER($L751)),$L751=0),"",$J751/$L751*10000)</f>
        <v/>
      </c>
      <c r="N751" s="9">
        <f>IF(NOT(ISNUMBER($M751)),"",$M751*CARBON_FRACTION_ROOT/1000)</f>
        <v/>
      </c>
      <c r="O751" s="11">
        <f>IF(AND($A751="",$B751="",$G751=""),"",IF(AND($B751&lt;&gt;"",COUNTIFS('2. Soil Data'!$B$5:$B$604,$B751)=0),"Core ID not found in Soil Data, so the corer diameter cannot be looked up. ","")&amp;IF(ASH_CORRECTED&lt;&gt;"Yes","Root mass is NOT ash-corrected, so it includes adhering mineral soil and is too high. Set ASH_CORRECTED once you have done it. ","")&amp;IF(AND(ASH_CORRECTED="Yes",NOT(ISNUMBER($H751))),"Ash correction is switched on but no ash fraction is given for this row. ","")&amp;IF($I751="","Sieve mesh not recorded — a fine-root figure cannot be interpreted without it. ","")&amp;IF(AND(ISNUMBER($H751),$H751&gt;0.5),"Ash fraction above 0.5 — over half this sample was mineral soil. Re-wash. ","")&amp;IF($F751="Not separated","Live and dead not separated. Fine for a stock, but "&amp;"note it in reporting. ",""))</f>
        <v/>
      </c>
      <c r="P751" s="6" t="n"/>
      <c r="Q751" s="9">
        <f>IF($B751="",0,IF(COUNTIFS($B$5:$B751,$B751)=1,1,0))</f>
        <v/>
      </c>
    </row>
    <row r="752">
      <c r="A752" s="6" t="n"/>
      <c r="B752" s="6" t="n"/>
      <c r="C752" s="6" t="n"/>
      <c r="D752" s="6" t="n"/>
      <c r="E752" s="6" t="n"/>
      <c r="F752" s="6" t="n"/>
      <c r="G752" s="7" t="n"/>
      <c r="H752" s="7" t="n"/>
      <c r="I752" s="6" t="n"/>
      <c r="J752" s="9">
        <f>IF(NOT(ISNUMBER($G752)),"",IF(AND(ASH_CORRECTED="Yes",ISNUMBER($H752)),$G752*(1-$H752),$G752))</f>
        <v/>
      </c>
      <c r="K752" s="9">
        <f>IF($B752="","",IFERROR(AVERAGEIFS('2. Soil Data'!$G$5:$G$604,'2. Soil Data'!$B$5:$B$604,$B752),""))</f>
        <v/>
      </c>
      <c r="L752" s="9">
        <f>IF(NOT(ISNUMBER($K752)),"",PI()*($K752/2)^2)</f>
        <v/>
      </c>
      <c r="M752" s="9">
        <f>IF(OR(NOT(ISNUMBER($J752)),NOT(ISNUMBER($L752)),$L752=0),"",$J752/$L752*10000)</f>
        <v/>
      </c>
      <c r="N752" s="9">
        <f>IF(NOT(ISNUMBER($M752)),"",$M752*CARBON_FRACTION_ROOT/1000)</f>
        <v/>
      </c>
      <c r="O752" s="11">
        <f>IF(AND($A752="",$B752="",$G752=""),"",IF(AND($B752&lt;&gt;"",COUNTIFS('2. Soil Data'!$B$5:$B$604,$B752)=0),"Core ID not found in Soil Data, so the corer diameter cannot be looked up. ","")&amp;IF(ASH_CORRECTED&lt;&gt;"Yes","Root mass is NOT ash-corrected, so it includes adhering mineral soil and is too high. Set ASH_CORRECTED once you have done it. ","")&amp;IF(AND(ASH_CORRECTED="Yes",NOT(ISNUMBER($H752))),"Ash correction is switched on but no ash fraction is given for this row. ","")&amp;IF($I752="","Sieve mesh not recorded — a fine-root figure cannot be interpreted without it. ","")&amp;IF(AND(ISNUMBER($H752),$H752&gt;0.5),"Ash fraction above 0.5 — over half this sample was mineral soil. Re-wash. ","")&amp;IF($F752="Not separated","Live and dead not separated. Fine for a stock, but "&amp;"note it in reporting. ",""))</f>
        <v/>
      </c>
      <c r="P752" s="6" t="n"/>
      <c r="Q752" s="9">
        <f>IF($B752="",0,IF(COUNTIFS($B$5:$B752,$B752)=1,1,0))</f>
        <v/>
      </c>
    </row>
    <row r="753">
      <c r="A753" s="6" t="n"/>
      <c r="B753" s="6" t="n"/>
      <c r="C753" s="6" t="n"/>
      <c r="D753" s="6" t="n"/>
      <c r="E753" s="6" t="n"/>
      <c r="F753" s="6" t="n"/>
      <c r="G753" s="7" t="n"/>
      <c r="H753" s="7" t="n"/>
      <c r="I753" s="6" t="n"/>
      <c r="J753" s="9">
        <f>IF(NOT(ISNUMBER($G753)),"",IF(AND(ASH_CORRECTED="Yes",ISNUMBER($H753)),$G753*(1-$H753),$G753))</f>
        <v/>
      </c>
      <c r="K753" s="9">
        <f>IF($B753="","",IFERROR(AVERAGEIFS('2. Soil Data'!$G$5:$G$604,'2. Soil Data'!$B$5:$B$604,$B753),""))</f>
        <v/>
      </c>
      <c r="L753" s="9">
        <f>IF(NOT(ISNUMBER($K753)),"",PI()*($K753/2)^2)</f>
        <v/>
      </c>
      <c r="M753" s="9">
        <f>IF(OR(NOT(ISNUMBER($J753)),NOT(ISNUMBER($L753)),$L753=0),"",$J753/$L753*10000)</f>
        <v/>
      </c>
      <c r="N753" s="9">
        <f>IF(NOT(ISNUMBER($M753)),"",$M753*CARBON_FRACTION_ROOT/1000)</f>
        <v/>
      </c>
      <c r="O753" s="11">
        <f>IF(AND($A753="",$B753="",$G753=""),"",IF(AND($B753&lt;&gt;"",COUNTIFS('2. Soil Data'!$B$5:$B$604,$B753)=0),"Core ID not found in Soil Data, so the corer diameter cannot be looked up. ","")&amp;IF(ASH_CORRECTED&lt;&gt;"Yes","Root mass is NOT ash-corrected, so it includes adhering mineral soil and is too high. Set ASH_CORRECTED once you have done it. ","")&amp;IF(AND(ASH_CORRECTED="Yes",NOT(ISNUMBER($H753))),"Ash correction is switched on but no ash fraction is given for this row. ","")&amp;IF($I753="","Sieve mesh not recorded — a fine-root figure cannot be interpreted without it. ","")&amp;IF(AND(ISNUMBER($H753),$H753&gt;0.5),"Ash fraction above 0.5 — over half this sample was mineral soil. Re-wash. ","")&amp;IF($F753="Not separated","Live and dead not separated. Fine for a stock, but "&amp;"note it in reporting. ",""))</f>
        <v/>
      </c>
      <c r="P753" s="6" t="n"/>
      <c r="Q753" s="9">
        <f>IF($B753="",0,IF(COUNTIFS($B$5:$B753,$B753)=1,1,0))</f>
        <v/>
      </c>
    </row>
    <row r="754">
      <c r="A754" s="6" t="n"/>
      <c r="B754" s="6" t="n"/>
      <c r="C754" s="6" t="n"/>
      <c r="D754" s="6" t="n"/>
      <c r="E754" s="6" t="n"/>
      <c r="F754" s="6" t="n"/>
      <c r="G754" s="7" t="n"/>
      <c r="H754" s="7" t="n"/>
      <c r="I754" s="6" t="n"/>
      <c r="J754" s="9">
        <f>IF(NOT(ISNUMBER($G754)),"",IF(AND(ASH_CORRECTED="Yes",ISNUMBER($H754)),$G754*(1-$H754),$G754))</f>
        <v/>
      </c>
      <c r="K754" s="9">
        <f>IF($B754="","",IFERROR(AVERAGEIFS('2. Soil Data'!$G$5:$G$604,'2. Soil Data'!$B$5:$B$604,$B754),""))</f>
        <v/>
      </c>
      <c r="L754" s="9">
        <f>IF(NOT(ISNUMBER($K754)),"",PI()*($K754/2)^2)</f>
        <v/>
      </c>
      <c r="M754" s="9">
        <f>IF(OR(NOT(ISNUMBER($J754)),NOT(ISNUMBER($L754)),$L754=0),"",$J754/$L754*10000)</f>
        <v/>
      </c>
      <c r="N754" s="9">
        <f>IF(NOT(ISNUMBER($M754)),"",$M754*CARBON_FRACTION_ROOT/1000)</f>
        <v/>
      </c>
      <c r="O754" s="11">
        <f>IF(AND($A754="",$B754="",$G754=""),"",IF(AND($B754&lt;&gt;"",COUNTIFS('2. Soil Data'!$B$5:$B$604,$B754)=0),"Core ID not found in Soil Data, so the corer diameter cannot be looked up. ","")&amp;IF(ASH_CORRECTED&lt;&gt;"Yes","Root mass is NOT ash-corrected, so it includes adhering mineral soil and is too high. Set ASH_CORRECTED once you have done it. ","")&amp;IF(AND(ASH_CORRECTED="Yes",NOT(ISNUMBER($H754))),"Ash correction is switched on but no ash fraction is given for this row. ","")&amp;IF($I754="","Sieve mesh not recorded — a fine-root figure cannot be interpreted without it. ","")&amp;IF(AND(ISNUMBER($H754),$H754&gt;0.5),"Ash fraction above 0.5 — over half this sample was mineral soil. Re-wash. ","")&amp;IF($F754="Not separated","Live and dead not separated. Fine for a stock, but "&amp;"note it in reporting. ",""))</f>
        <v/>
      </c>
      <c r="P754" s="6" t="n"/>
      <c r="Q754" s="9">
        <f>IF($B754="",0,IF(COUNTIFS($B$5:$B754,$B754)=1,1,0))</f>
        <v/>
      </c>
    </row>
    <row r="755">
      <c r="A755" s="6" t="n"/>
      <c r="B755" s="6" t="n"/>
      <c r="C755" s="6" t="n"/>
      <c r="D755" s="6" t="n"/>
      <c r="E755" s="6" t="n"/>
      <c r="F755" s="6" t="n"/>
      <c r="G755" s="7" t="n"/>
      <c r="H755" s="7" t="n"/>
      <c r="I755" s="6" t="n"/>
      <c r="J755" s="9">
        <f>IF(NOT(ISNUMBER($G755)),"",IF(AND(ASH_CORRECTED="Yes",ISNUMBER($H755)),$G755*(1-$H755),$G755))</f>
        <v/>
      </c>
      <c r="K755" s="9">
        <f>IF($B755="","",IFERROR(AVERAGEIFS('2. Soil Data'!$G$5:$G$604,'2. Soil Data'!$B$5:$B$604,$B755),""))</f>
        <v/>
      </c>
      <c r="L755" s="9">
        <f>IF(NOT(ISNUMBER($K755)),"",PI()*($K755/2)^2)</f>
        <v/>
      </c>
      <c r="M755" s="9">
        <f>IF(OR(NOT(ISNUMBER($J755)),NOT(ISNUMBER($L755)),$L755=0),"",$J755/$L755*10000)</f>
        <v/>
      </c>
      <c r="N755" s="9">
        <f>IF(NOT(ISNUMBER($M755)),"",$M755*CARBON_FRACTION_ROOT/1000)</f>
        <v/>
      </c>
      <c r="O755" s="11">
        <f>IF(AND($A755="",$B755="",$G755=""),"",IF(AND($B755&lt;&gt;"",COUNTIFS('2. Soil Data'!$B$5:$B$604,$B755)=0),"Core ID not found in Soil Data, so the corer diameter cannot be looked up. ","")&amp;IF(ASH_CORRECTED&lt;&gt;"Yes","Root mass is NOT ash-corrected, so it includes adhering mineral soil and is too high. Set ASH_CORRECTED once you have done it. ","")&amp;IF(AND(ASH_CORRECTED="Yes",NOT(ISNUMBER($H755))),"Ash correction is switched on but no ash fraction is given for this row. ","")&amp;IF($I755="","Sieve mesh not recorded — a fine-root figure cannot be interpreted without it. ","")&amp;IF(AND(ISNUMBER($H755),$H755&gt;0.5),"Ash fraction above 0.5 — over half this sample was mineral soil. Re-wash. ","")&amp;IF($F755="Not separated","Live and dead not separated. Fine for a stock, but "&amp;"note it in reporting. ",""))</f>
        <v/>
      </c>
      <c r="P755" s="6" t="n"/>
      <c r="Q755" s="9">
        <f>IF($B755="",0,IF(COUNTIFS($B$5:$B755,$B755)=1,1,0))</f>
        <v/>
      </c>
    </row>
    <row r="756">
      <c r="A756" s="6" t="n"/>
      <c r="B756" s="6" t="n"/>
      <c r="C756" s="6" t="n"/>
      <c r="D756" s="6" t="n"/>
      <c r="E756" s="6" t="n"/>
      <c r="F756" s="6" t="n"/>
      <c r="G756" s="7" t="n"/>
      <c r="H756" s="7" t="n"/>
      <c r="I756" s="6" t="n"/>
      <c r="J756" s="9">
        <f>IF(NOT(ISNUMBER($G756)),"",IF(AND(ASH_CORRECTED="Yes",ISNUMBER($H756)),$G756*(1-$H756),$G756))</f>
        <v/>
      </c>
      <c r="K756" s="9">
        <f>IF($B756="","",IFERROR(AVERAGEIFS('2. Soil Data'!$G$5:$G$604,'2. Soil Data'!$B$5:$B$604,$B756),""))</f>
        <v/>
      </c>
      <c r="L756" s="9">
        <f>IF(NOT(ISNUMBER($K756)),"",PI()*($K756/2)^2)</f>
        <v/>
      </c>
      <c r="M756" s="9">
        <f>IF(OR(NOT(ISNUMBER($J756)),NOT(ISNUMBER($L756)),$L756=0),"",$J756/$L756*10000)</f>
        <v/>
      </c>
      <c r="N756" s="9">
        <f>IF(NOT(ISNUMBER($M756)),"",$M756*CARBON_FRACTION_ROOT/1000)</f>
        <v/>
      </c>
      <c r="O756" s="11">
        <f>IF(AND($A756="",$B756="",$G756=""),"",IF(AND($B756&lt;&gt;"",COUNTIFS('2. Soil Data'!$B$5:$B$604,$B756)=0),"Core ID not found in Soil Data, so the corer diameter cannot be looked up. ","")&amp;IF(ASH_CORRECTED&lt;&gt;"Yes","Root mass is NOT ash-corrected, so it includes adhering mineral soil and is too high. Set ASH_CORRECTED once you have done it. ","")&amp;IF(AND(ASH_CORRECTED="Yes",NOT(ISNUMBER($H756))),"Ash correction is switched on but no ash fraction is given for this row. ","")&amp;IF($I756="","Sieve mesh not recorded — a fine-root figure cannot be interpreted without it. ","")&amp;IF(AND(ISNUMBER($H756),$H756&gt;0.5),"Ash fraction above 0.5 — over half this sample was mineral soil. Re-wash. ","")&amp;IF($F756="Not separated","Live and dead not separated. Fine for a stock, but "&amp;"note it in reporting. ",""))</f>
        <v/>
      </c>
      <c r="P756" s="6" t="n"/>
      <c r="Q756" s="9">
        <f>IF($B756="",0,IF(COUNTIFS($B$5:$B756,$B756)=1,1,0))</f>
        <v/>
      </c>
    </row>
    <row r="757">
      <c r="A757" s="6" t="n"/>
      <c r="B757" s="6" t="n"/>
      <c r="C757" s="6" t="n"/>
      <c r="D757" s="6" t="n"/>
      <c r="E757" s="6" t="n"/>
      <c r="F757" s="6" t="n"/>
      <c r="G757" s="7" t="n"/>
      <c r="H757" s="7" t="n"/>
      <c r="I757" s="6" t="n"/>
      <c r="J757" s="9">
        <f>IF(NOT(ISNUMBER($G757)),"",IF(AND(ASH_CORRECTED="Yes",ISNUMBER($H757)),$G757*(1-$H757),$G757))</f>
        <v/>
      </c>
      <c r="K757" s="9">
        <f>IF($B757="","",IFERROR(AVERAGEIFS('2. Soil Data'!$G$5:$G$604,'2. Soil Data'!$B$5:$B$604,$B757),""))</f>
        <v/>
      </c>
      <c r="L757" s="9">
        <f>IF(NOT(ISNUMBER($K757)),"",PI()*($K757/2)^2)</f>
        <v/>
      </c>
      <c r="M757" s="9">
        <f>IF(OR(NOT(ISNUMBER($J757)),NOT(ISNUMBER($L757)),$L757=0),"",$J757/$L757*10000)</f>
        <v/>
      </c>
      <c r="N757" s="9">
        <f>IF(NOT(ISNUMBER($M757)),"",$M757*CARBON_FRACTION_ROOT/1000)</f>
        <v/>
      </c>
      <c r="O757" s="11">
        <f>IF(AND($A757="",$B757="",$G757=""),"",IF(AND($B757&lt;&gt;"",COUNTIFS('2. Soil Data'!$B$5:$B$604,$B757)=0),"Core ID not found in Soil Data, so the corer diameter cannot be looked up. ","")&amp;IF(ASH_CORRECTED&lt;&gt;"Yes","Root mass is NOT ash-corrected, so it includes adhering mineral soil and is too high. Set ASH_CORRECTED once you have done it. ","")&amp;IF(AND(ASH_CORRECTED="Yes",NOT(ISNUMBER($H757))),"Ash correction is switched on but no ash fraction is given for this row. ","")&amp;IF($I757="","Sieve mesh not recorded — a fine-root figure cannot be interpreted without it. ","")&amp;IF(AND(ISNUMBER($H757),$H757&gt;0.5),"Ash fraction above 0.5 — over half this sample was mineral soil. Re-wash. ","")&amp;IF($F757="Not separated","Live and dead not separated. Fine for a stock, but "&amp;"note it in reporting. ",""))</f>
        <v/>
      </c>
      <c r="P757" s="6" t="n"/>
      <c r="Q757" s="9">
        <f>IF($B757="",0,IF(COUNTIFS($B$5:$B757,$B757)=1,1,0))</f>
        <v/>
      </c>
    </row>
    <row r="758">
      <c r="A758" s="6" t="n"/>
      <c r="B758" s="6" t="n"/>
      <c r="C758" s="6" t="n"/>
      <c r="D758" s="6" t="n"/>
      <c r="E758" s="6" t="n"/>
      <c r="F758" s="6" t="n"/>
      <c r="G758" s="7" t="n"/>
      <c r="H758" s="7" t="n"/>
      <c r="I758" s="6" t="n"/>
      <c r="J758" s="9">
        <f>IF(NOT(ISNUMBER($G758)),"",IF(AND(ASH_CORRECTED="Yes",ISNUMBER($H758)),$G758*(1-$H758),$G758))</f>
        <v/>
      </c>
      <c r="K758" s="9">
        <f>IF($B758="","",IFERROR(AVERAGEIFS('2. Soil Data'!$G$5:$G$604,'2. Soil Data'!$B$5:$B$604,$B758),""))</f>
        <v/>
      </c>
      <c r="L758" s="9">
        <f>IF(NOT(ISNUMBER($K758)),"",PI()*($K758/2)^2)</f>
        <v/>
      </c>
      <c r="M758" s="9">
        <f>IF(OR(NOT(ISNUMBER($J758)),NOT(ISNUMBER($L758)),$L758=0),"",$J758/$L758*10000)</f>
        <v/>
      </c>
      <c r="N758" s="9">
        <f>IF(NOT(ISNUMBER($M758)),"",$M758*CARBON_FRACTION_ROOT/1000)</f>
        <v/>
      </c>
      <c r="O758" s="11">
        <f>IF(AND($A758="",$B758="",$G758=""),"",IF(AND($B758&lt;&gt;"",COUNTIFS('2. Soil Data'!$B$5:$B$604,$B758)=0),"Core ID not found in Soil Data, so the corer diameter cannot be looked up. ","")&amp;IF(ASH_CORRECTED&lt;&gt;"Yes","Root mass is NOT ash-corrected, so it includes adhering mineral soil and is too high. Set ASH_CORRECTED once you have done it. ","")&amp;IF(AND(ASH_CORRECTED="Yes",NOT(ISNUMBER($H758))),"Ash correction is switched on but no ash fraction is given for this row. ","")&amp;IF($I758="","Sieve mesh not recorded — a fine-root figure cannot be interpreted without it. ","")&amp;IF(AND(ISNUMBER($H758),$H758&gt;0.5),"Ash fraction above 0.5 — over half this sample was mineral soil. Re-wash. ","")&amp;IF($F758="Not separated","Live and dead not separated. Fine for a stock, but "&amp;"note it in reporting. ",""))</f>
        <v/>
      </c>
      <c r="P758" s="6" t="n"/>
      <c r="Q758" s="9">
        <f>IF($B758="",0,IF(COUNTIFS($B$5:$B758,$B758)=1,1,0))</f>
        <v/>
      </c>
    </row>
    <row r="759">
      <c r="A759" s="6" t="n"/>
      <c r="B759" s="6" t="n"/>
      <c r="C759" s="6" t="n"/>
      <c r="D759" s="6" t="n"/>
      <c r="E759" s="6" t="n"/>
      <c r="F759" s="6" t="n"/>
      <c r="G759" s="7" t="n"/>
      <c r="H759" s="7" t="n"/>
      <c r="I759" s="6" t="n"/>
      <c r="J759" s="9">
        <f>IF(NOT(ISNUMBER($G759)),"",IF(AND(ASH_CORRECTED="Yes",ISNUMBER($H759)),$G759*(1-$H759),$G759))</f>
        <v/>
      </c>
      <c r="K759" s="9">
        <f>IF($B759="","",IFERROR(AVERAGEIFS('2. Soil Data'!$G$5:$G$604,'2. Soil Data'!$B$5:$B$604,$B759),""))</f>
        <v/>
      </c>
      <c r="L759" s="9">
        <f>IF(NOT(ISNUMBER($K759)),"",PI()*($K759/2)^2)</f>
        <v/>
      </c>
      <c r="M759" s="9">
        <f>IF(OR(NOT(ISNUMBER($J759)),NOT(ISNUMBER($L759)),$L759=0),"",$J759/$L759*10000)</f>
        <v/>
      </c>
      <c r="N759" s="9">
        <f>IF(NOT(ISNUMBER($M759)),"",$M759*CARBON_FRACTION_ROOT/1000)</f>
        <v/>
      </c>
      <c r="O759" s="11">
        <f>IF(AND($A759="",$B759="",$G759=""),"",IF(AND($B759&lt;&gt;"",COUNTIFS('2. Soil Data'!$B$5:$B$604,$B759)=0),"Core ID not found in Soil Data, so the corer diameter cannot be looked up. ","")&amp;IF(ASH_CORRECTED&lt;&gt;"Yes","Root mass is NOT ash-corrected, so it includes adhering mineral soil and is too high. Set ASH_CORRECTED once you have done it. ","")&amp;IF(AND(ASH_CORRECTED="Yes",NOT(ISNUMBER($H759))),"Ash correction is switched on but no ash fraction is given for this row. ","")&amp;IF($I759="","Sieve mesh not recorded — a fine-root figure cannot be interpreted without it. ","")&amp;IF(AND(ISNUMBER($H759),$H759&gt;0.5),"Ash fraction above 0.5 — over half this sample was mineral soil. Re-wash. ","")&amp;IF($F759="Not separated","Live and dead not separated. Fine for a stock, but "&amp;"note it in reporting. ",""))</f>
        <v/>
      </c>
      <c r="P759" s="6" t="n"/>
      <c r="Q759" s="9">
        <f>IF($B759="",0,IF(COUNTIFS($B$5:$B759,$B759)=1,1,0))</f>
        <v/>
      </c>
    </row>
    <row r="760">
      <c r="A760" s="6" t="n"/>
      <c r="B760" s="6" t="n"/>
      <c r="C760" s="6" t="n"/>
      <c r="D760" s="6" t="n"/>
      <c r="E760" s="6" t="n"/>
      <c r="F760" s="6" t="n"/>
      <c r="G760" s="7" t="n"/>
      <c r="H760" s="7" t="n"/>
      <c r="I760" s="6" t="n"/>
      <c r="J760" s="9">
        <f>IF(NOT(ISNUMBER($G760)),"",IF(AND(ASH_CORRECTED="Yes",ISNUMBER($H760)),$G760*(1-$H760),$G760))</f>
        <v/>
      </c>
      <c r="K760" s="9">
        <f>IF($B760="","",IFERROR(AVERAGEIFS('2. Soil Data'!$G$5:$G$604,'2. Soil Data'!$B$5:$B$604,$B760),""))</f>
        <v/>
      </c>
      <c r="L760" s="9">
        <f>IF(NOT(ISNUMBER($K760)),"",PI()*($K760/2)^2)</f>
        <v/>
      </c>
      <c r="M760" s="9">
        <f>IF(OR(NOT(ISNUMBER($J760)),NOT(ISNUMBER($L760)),$L760=0),"",$J760/$L760*10000)</f>
        <v/>
      </c>
      <c r="N760" s="9">
        <f>IF(NOT(ISNUMBER($M760)),"",$M760*CARBON_FRACTION_ROOT/1000)</f>
        <v/>
      </c>
      <c r="O760" s="11">
        <f>IF(AND($A760="",$B760="",$G760=""),"",IF(AND($B760&lt;&gt;"",COUNTIFS('2. Soil Data'!$B$5:$B$604,$B760)=0),"Core ID not found in Soil Data, so the corer diameter cannot be looked up. ","")&amp;IF(ASH_CORRECTED&lt;&gt;"Yes","Root mass is NOT ash-corrected, so it includes adhering mineral soil and is too high. Set ASH_CORRECTED once you have done it. ","")&amp;IF(AND(ASH_CORRECTED="Yes",NOT(ISNUMBER($H760))),"Ash correction is switched on but no ash fraction is given for this row. ","")&amp;IF($I760="","Sieve mesh not recorded — a fine-root figure cannot be interpreted without it. ","")&amp;IF(AND(ISNUMBER($H760),$H760&gt;0.5),"Ash fraction above 0.5 — over half this sample was mineral soil. Re-wash. ","")&amp;IF($F760="Not separated","Live and dead not separated. Fine for a stock, but "&amp;"note it in reporting. ",""))</f>
        <v/>
      </c>
      <c r="P760" s="6" t="n"/>
      <c r="Q760" s="9">
        <f>IF($B760="",0,IF(COUNTIFS($B$5:$B760,$B760)=1,1,0))</f>
        <v/>
      </c>
    </row>
    <row r="761">
      <c r="A761" s="6" t="n"/>
      <c r="B761" s="6" t="n"/>
      <c r="C761" s="6" t="n"/>
      <c r="D761" s="6" t="n"/>
      <c r="E761" s="6" t="n"/>
      <c r="F761" s="6" t="n"/>
      <c r="G761" s="7" t="n"/>
      <c r="H761" s="7" t="n"/>
      <c r="I761" s="6" t="n"/>
      <c r="J761" s="9">
        <f>IF(NOT(ISNUMBER($G761)),"",IF(AND(ASH_CORRECTED="Yes",ISNUMBER($H761)),$G761*(1-$H761),$G761))</f>
        <v/>
      </c>
      <c r="K761" s="9">
        <f>IF($B761="","",IFERROR(AVERAGEIFS('2. Soil Data'!$G$5:$G$604,'2. Soil Data'!$B$5:$B$604,$B761),""))</f>
        <v/>
      </c>
      <c r="L761" s="9">
        <f>IF(NOT(ISNUMBER($K761)),"",PI()*($K761/2)^2)</f>
        <v/>
      </c>
      <c r="M761" s="9">
        <f>IF(OR(NOT(ISNUMBER($J761)),NOT(ISNUMBER($L761)),$L761=0),"",$J761/$L761*10000)</f>
        <v/>
      </c>
      <c r="N761" s="9">
        <f>IF(NOT(ISNUMBER($M761)),"",$M761*CARBON_FRACTION_ROOT/1000)</f>
        <v/>
      </c>
      <c r="O761" s="11">
        <f>IF(AND($A761="",$B761="",$G761=""),"",IF(AND($B761&lt;&gt;"",COUNTIFS('2. Soil Data'!$B$5:$B$604,$B761)=0),"Core ID not found in Soil Data, so the corer diameter cannot be looked up. ","")&amp;IF(ASH_CORRECTED&lt;&gt;"Yes","Root mass is NOT ash-corrected, so it includes adhering mineral soil and is too high. Set ASH_CORRECTED once you have done it. ","")&amp;IF(AND(ASH_CORRECTED="Yes",NOT(ISNUMBER($H761))),"Ash correction is switched on but no ash fraction is given for this row. ","")&amp;IF($I761="","Sieve mesh not recorded — a fine-root figure cannot be interpreted without it. ","")&amp;IF(AND(ISNUMBER($H761),$H761&gt;0.5),"Ash fraction above 0.5 — over half this sample was mineral soil. Re-wash. ","")&amp;IF($F761="Not separated","Live and dead not separated. Fine for a stock, but "&amp;"note it in reporting. ",""))</f>
        <v/>
      </c>
      <c r="P761" s="6" t="n"/>
      <c r="Q761" s="9">
        <f>IF($B761="",0,IF(COUNTIFS($B$5:$B761,$B761)=1,1,0))</f>
        <v/>
      </c>
    </row>
    <row r="762">
      <c r="A762" s="6" t="n"/>
      <c r="B762" s="6" t="n"/>
      <c r="C762" s="6" t="n"/>
      <c r="D762" s="6" t="n"/>
      <c r="E762" s="6" t="n"/>
      <c r="F762" s="6" t="n"/>
      <c r="G762" s="7" t="n"/>
      <c r="H762" s="7" t="n"/>
      <c r="I762" s="6" t="n"/>
      <c r="J762" s="9">
        <f>IF(NOT(ISNUMBER($G762)),"",IF(AND(ASH_CORRECTED="Yes",ISNUMBER($H762)),$G762*(1-$H762),$G762))</f>
        <v/>
      </c>
      <c r="K762" s="9">
        <f>IF($B762="","",IFERROR(AVERAGEIFS('2. Soil Data'!$G$5:$G$604,'2. Soil Data'!$B$5:$B$604,$B762),""))</f>
        <v/>
      </c>
      <c r="L762" s="9">
        <f>IF(NOT(ISNUMBER($K762)),"",PI()*($K762/2)^2)</f>
        <v/>
      </c>
      <c r="M762" s="9">
        <f>IF(OR(NOT(ISNUMBER($J762)),NOT(ISNUMBER($L762)),$L762=0),"",$J762/$L762*10000)</f>
        <v/>
      </c>
      <c r="N762" s="9">
        <f>IF(NOT(ISNUMBER($M762)),"",$M762*CARBON_FRACTION_ROOT/1000)</f>
        <v/>
      </c>
      <c r="O762" s="11">
        <f>IF(AND($A762="",$B762="",$G762=""),"",IF(AND($B762&lt;&gt;"",COUNTIFS('2. Soil Data'!$B$5:$B$604,$B762)=0),"Core ID not found in Soil Data, so the corer diameter cannot be looked up. ","")&amp;IF(ASH_CORRECTED&lt;&gt;"Yes","Root mass is NOT ash-corrected, so it includes adhering mineral soil and is too high. Set ASH_CORRECTED once you have done it. ","")&amp;IF(AND(ASH_CORRECTED="Yes",NOT(ISNUMBER($H762))),"Ash correction is switched on but no ash fraction is given for this row. ","")&amp;IF($I762="","Sieve mesh not recorded — a fine-root figure cannot be interpreted without it. ","")&amp;IF(AND(ISNUMBER($H762),$H762&gt;0.5),"Ash fraction above 0.5 — over half this sample was mineral soil. Re-wash. ","")&amp;IF($F762="Not separated","Live and dead not separated. Fine for a stock, but "&amp;"note it in reporting. ",""))</f>
        <v/>
      </c>
      <c r="P762" s="6" t="n"/>
      <c r="Q762" s="9">
        <f>IF($B762="",0,IF(COUNTIFS($B$5:$B762,$B762)=1,1,0))</f>
        <v/>
      </c>
    </row>
    <row r="763">
      <c r="A763" s="6" t="n"/>
      <c r="B763" s="6" t="n"/>
      <c r="C763" s="6" t="n"/>
      <c r="D763" s="6" t="n"/>
      <c r="E763" s="6" t="n"/>
      <c r="F763" s="6" t="n"/>
      <c r="G763" s="7" t="n"/>
      <c r="H763" s="7" t="n"/>
      <c r="I763" s="6" t="n"/>
      <c r="J763" s="9">
        <f>IF(NOT(ISNUMBER($G763)),"",IF(AND(ASH_CORRECTED="Yes",ISNUMBER($H763)),$G763*(1-$H763),$G763))</f>
        <v/>
      </c>
      <c r="K763" s="9">
        <f>IF($B763="","",IFERROR(AVERAGEIFS('2. Soil Data'!$G$5:$G$604,'2. Soil Data'!$B$5:$B$604,$B763),""))</f>
        <v/>
      </c>
      <c r="L763" s="9">
        <f>IF(NOT(ISNUMBER($K763)),"",PI()*($K763/2)^2)</f>
        <v/>
      </c>
      <c r="M763" s="9">
        <f>IF(OR(NOT(ISNUMBER($J763)),NOT(ISNUMBER($L763)),$L763=0),"",$J763/$L763*10000)</f>
        <v/>
      </c>
      <c r="N763" s="9">
        <f>IF(NOT(ISNUMBER($M763)),"",$M763*CARBON_FRACTION_ROOT/1000)</f>
        <v/>
      </c>
      <c r="O763" s="11">
        <f>IF(AND($A763="",$B763="",$G763=""),"",IF(AND($B763&lt;&gt;"",COUNTIFS('2. Soil Data'!$B$5:$B$604,$B763)=0),"Core ID not found in Soil Data, so the corer diameter cannot be looked up. ","")&amp;IF(ASH_CORRECTED&lt;&gt;"Yes","Root mass is NOT ash-corrected, so it includes adhering mineral soil and is too high. Set ASH_CORRECTED once you have done it. ","")&amp;IF(AND(ASH_CORRECTED="Yes",NOT(ISNUMBER($H763))),"Ash correction is switched on but no ash fraction is given for this row. ","")&amp;IF($I763="","Sieve mesh not recorded — a fine-root figure cannot be interpreted without it. ","")&amp;IF(AND(ISNUMBER($H763),$H763&gt;0.5),"Ash fraction above 0.5 — over half this sample was mineral soil. Re-wash. ","")&amp;IF($F763="Not separated","Live and dead not separated. Fine for a stock, but "&amp;"note it in reporting. ",""))</f>
        <v/>
      </c>
      <c r="P763" s="6" t="n"/>
      <c r="Q763" s="9">
        <f>IF($B763="",0,IF(COUNTIFS($B$5:$B763,$B763)=1,1,0))</f>
        <v/>
      </c>
    </row>
    <row r="764">
      <c r="A764" s="6" t="n"/>
      <c r="B764" s="6" t="n"/>
      <c r="C764" s="6" t="n"/>
      <c r="D764" s="6" t="n"/>
      <c r="E764" s="6" t="n"/>
      <c r="F764" s="6" t="n"/>
      <c r="G764" s="7" t="n"/>
      <c r="H764" s="7" t="n"/>
      <c r="I764" s="6" t="n"/>
      <c r="J764" s="9">
        <f>IF(NOT(ISNUMBER($G764)),"",IF(AND(ASH_CORRECTED="Yes",ISNUMBER($H764)),$G764*(1-$H764),$G764))</f>
        <v/>
      </c>
      <c r="K764" s="9">
        <f>IF($B764="","",IFERROR(AVERAGEIFS('2. Soil Data'!$G$5:$G$604,'2. Soil Data'!$B$5:$B$604,$B764),""))</f>
        <v/>
      </c>
      <c r="L764" s="9">
        <f>IF(NOT(ISNUMBER($K764)),"",PI()*($K764/2)^2)</f>
        <v/>
      </c>
      <c r="M764" s="9">
        <f>IF(OR(NOT(ISNUMBER($J764)),NOT(ISNUMBER($L764)),$L764=0),"",$J764/$L764*10000)</f>
        <v/>
      </c>
      <c r="N764" s="9">
        <f>IF(NOT(ISNUMBER($M764)),"",$M764*CARBON_FRACTION_ROOT/1000)</f>
        <v/>
      </c>
      <c r="O764" s="11">
        <f>IF(AND($A764="",$B764="",$G764=""),"",IF(AND($B764&lt;&gt;"",COUNTIFS('2. Soil Data'!$B$5:$B$604,$B764)=0),"Core ID not found in Soil Data, so the corer diameter cannot be looked up. ","")&amp;IF(ASH_CORRECTED&lt;&gt;"Yes","Root mass is NOT ash-corrected, so it includes adhering mineral soil and is too high. Set ASH_CORRECTED once you have done it. ","")&amp;IF(AND(ASH_CORRECTED="Yes",NOT(ISNUMBER($H764))),"Ash correction is switched on but no ash fraction is given for this row. ","")&amp;IF($I764="","Sieve mesh not recorded — a fine-root figure cannot be interpreted without it. ","")&amp;IF(AND(ISNUMBER($H764),$H764&gt;0.5),"Ash fraction above 0.5 — over half this sample was mineral soil. Re-wash. ","")&amp;IF($F764="Not separated","Live and dead not separated. Fine for a stock, but "&amp;"note it in reporting. ",""))</f>
        <v/>
      </c>
      <c r="P764" s="6" t="n"/>
      <c r="Q764" s="9">
        <f>IF($B764="",0,IF(COUNTIFS($B$5:$B764,$B764)=1,1,0))</f>
        <v/>
      </c>
    </row>
    <row r="765">
      <c r="A765" s="6" t="n"/>
      <c r="B765" s="6" t="n"/>
      <c r="C765" s="6" t="n"/>
      <c r="D765" s="6" t="n"/>
      <c r="E765" s="6" t="n"/>
      <c r="F765" s="6" t="n"/>
      <c r="G765" s="7" t="n"/>
      <c r="H765" s="7" t="n"/>
      <c r="I765" s="6" t="n"/>
      <c r="J765" s="9">
        <f>IF(NOT(ISNUMBER($G765)),"",IF(AND(ASH_CORRECTED="Yes",ISNUMBER($H765)),$G765*(1-$H765),$G765))</f>
        <v/>
      </c>
      <c r="K765" s="9">
        <f>IF($B765="","",IFERROR(AVERAGEIFS('2. Soil Data'!$G$5:$G$604,'2. Soil Data'!$B$5:$B$604,$B765),""))</f>
        <v/>
      </c>
      <c r="L765" s="9">
        <f>IF(NOT(ISNUMBER($K765)),"",PI()*($K765/2)^2)</f>
        <v/>
      </c>
      <c r="M765" s="9">
        <f>IF(OR(NOT(ISNUMBER($J765)),NOT(ISNUMBER($L765)),$L765=0),"",$J765/$L765*10000)</f>
        <v/>
      </c>
      <c r="N765" s="9">
        <f>IF(NOT(ISNUMBER($M765)),"",$M765*CARBON_FRACTION_ROOT/1000)</f>
        <v/>
      </c>
      <c r="O765" s="11">
        <f>IF(AND($A765="",$B765="",$G765=""),"",IF(AND($B765&lt;&gt;"",COUNTIFS('2. Soil Data'!$B$5:$B$604,$B765)=0),"Core ID not found in Soil Data, so the corer diameter cannot be looked up. ","")&amp;IF(ASH_CORRECTED&lt;&gt;"Yes","Root mass is NOT ash-corrected, so it includes adhering mineral soil and is too high. Set ASH_CORRECTED once you have done it. ","")&amp;IF(AND(ASH_CORRECTED="Yes",NOT(ISNUMBER($H765))),"Ash correction is switched on but no ash fraction is given for this row. ","")&amp;IF($I765="","Sieve mesh not recorded — a fine-root figure cannot be interpreted without it. ","")&amp;IF(AND(ISNUMBER($H765),$H765&gt;0.5),"Ash fraction above 0.5 — over half this sample was mineral soil. Re-wash. ","")&amp;IF($F765="Not separated","Live and dead not separated. Fine for a stock, but "&amp;"note it in reporting. ",""))</f>
        <v/>
      </c>
      <c r="P765" s="6" t="n"/>
      <c r="Q765" s="9">
        <f>IF($B765="",0,IF(COUNTIFS($B$5:$B765,$B765)=1,1,0))</f>
        <v/>
      </c>
    </row>
    <row r="766">
      <c r="A766" s="6" t="n"/>
      <c r="B766" s="6" t="n"/>
      <c r="C766" s="6" t="n"/>
      <c r="D766" s="6" t="n"/>
      <c r="E766" s="6" t="n"/>
      <c r="F766" s="6" t="n"/>
      <c r="G766" s="7" t="n"/>
      <c r="H766" s="7" t="n"/>
      <c r="I766" s="6" t="n"/>
      <c r="J766" s="9">
        <f>IF(NOT(ISNUMBER($G766)),"",IF(AND(ASH_CORRECTED="Yes",ISNUMBER($H766)),$G766*(1-$H766),$G766))</f>
        <v/>
      </c>
      <c r="K766" s="9">
        <f>IF($B766="","",IFERROR(AVERAGEIFS('2. Soil Data'!$G$5:$G$604,'2. Soil Data'!$B$5:$B$604,$B766),""))</f>
        <v/>
      </c>
      <c r="L766" s="9">
        <f>IF(NOT(ISNUMBER($K766)),"",PI()*($K766/2)^2)</f>
        <v/>
      </c>
      <c r="M766" s="9">
        <f>IF(OR(NOT(ISNUMBER($J766)),NOT(ISNUMBER($L766)),$L766=0),"",$J766/$L766*10000)</f>
        <v/>
      </c>
      <c r="N766" s="9">
        <f>IF(NOT(ISNUMBER($M766)),"",$M766*CARBON_FRACTION_ROOT/1000)</f>
        <v/>
      </c>
      <c r="O766" s="11">
        <f>IF(AND($A766="",$B766="",$G766=""),"",IF(AND($B766&lt;&gt;"",COUNTIFS('2. Soil Data'!$B$5:$B$604,$B766)=0),"Core ID not found in Soil Data, so the corer diameter cannot be looked up. ","")&amp;IF(ASH_CORRECTED&lt;&gt;"Yes","Root mass is NOT ash-corrected, so it includes adhering mineral soil and is too high. Set ASH_CORRECTED once you have done it. ","")&amp;IF(AND(ASH_CORRECTED="Yes",NOT(ISNUMBER($H766))),"Ash correction is switched on but no ash fraction is given for this row. ","")&amp;IF($I766="","Sieve mesh not recorded — a fine-root figure cannot be interpreted without it. ","")&amp;IF(AND(ISNUMBER($H766),$H766&gt;0.5),"Ash fraction above 0.5 — over half this sample was mineral soil. Re-wash. ","")&amp;IF($F766="Not separated","Live and dead not separated. Fine for a stock, but "&amp;"note it in reporting. ",""))</f>
        <v/>
      </c>
      <c r="P766" s="6" t="n"/>
      <c r="Q766" s="9">
        <f>IF($B766="",0,IF(COUNTIFS($B$5:$B766,$B766)=1,1,0))</f>
        <v/>
      </c>
    </row>
    <row r="767">
      <c r="A767" s="6" t="n"/>
      <c r="B767" s="6" t="n"/>
      <c r="C767" s="6" t="n"/>
      <c r="D767" s="6" t="n"/>
      <c r="E767" s="6" t="n"/>
      <c r="F767" s="6" t="n"/>
      <c r="G767" s="7" t="n"/>
      <c r="H767" s="7" t="n"/>
      <c r="I767" s="6" t="n"/>
      <c r="J767" s="9">
        <f>IF(NOT(ISNUMBER($G767)),"",IF(AND(ASH_CORRECTED="Yes",ISNUMBER($H767)),$G767*(1-$H767),$G767))</f>
        <v/>
      </c>
      <c r="K767" s="9">
        <f>IF($B767="","",IFERROR(AVERAGEIFS('2. Soil Data'!$G$5:$G$604,'2. Soil Data'!$B$5:$B$604,$B767),""))</f>
        <v/>
      </c>
      <c r="L767" s="9">
        <f>IF(NOT(ISNUMBER($K767)),"",PI()*($K767/2)^2)</f>
        <v/>
      </c>
      <c r="M767" s="9">
        <f>IF(OR(NOT(ISNUMBER($J767)),NOT(ISNUMBER($L767)),$L767=0),"",$J767/$L767*10000)</f>
        <v/>
      </c>
      <c r="N767" s="9">
        <f>IF(NOT(ISNUMBER($M767)),"",$M767*CARBON_FRACTION_ROOT/1000)</f>
        <v/>
      </c>
      <c r="O767" s="11">
        <f>IF(AND($A767="",$B767="",$G767=""),"",IF(AND($B767&lt;&gt;"",COUNTIFS('2. Soil Data'!$B$5:$B$604,$B767)=0),"Core ID not found in Soil Data, so the corer diameter cannot be looked up. ","")&amp;IF(ASH_CORRECTED&lt;&gt;"Yes","Root mass is NOT ash-corrected, so it includes adhering mineral soil and is too high. Set ASH_CORRECTED once you have done it. ","")&amp;IF(AND(ASH_CORRECTED="Yes",NOT(ISNUMBER($H767))),"Ash correction is switched on but no ash fraction is given for this row. ","")&amp;IF($I767="","Sieve mesh not recorded — a fine-root figure cannot be interpreted without it. ","")&amp;IF(AND(ISNUMBER($H767),$H767&gt;0.5),"Ash fraction above 0.5 — over half this sample was mineral soil. Re-wash. ","")&amp;IF($F767="Not separated","Live and dead not separated. Fine for a stock, but "&amp;"note it in reporting. ",""))</f>
        <v/>
      </c>
      <c r="P767" s="6" t="n"/>
      <c r="Q767" s="9">
        <f>IF($B767="",0,IF(COUNTIFS($B$5:$B767,$B767)=1,1,0))</f>
        <v/>
      </c>
    </row>
    <row r="768">
      <c r="A768" s="6" t="n"/>
      <c r="B768" s="6" t="n"/>
      <c r="C768" s="6" t="n"/>
      <c r="D768" s="6" t="n"/>
      <c r="E768" s="6" t="n"/>
      <c r="F768" s="6" t="n"/>
      <c r="G768" s="7" t="n"/>
      <c r="H768" s="7" t="n"/>
      <c r="I768" s="6" t="n"/>
      <c r="J768" s="9">
        <f>IF(NOT(ISNUMBER($G768)),"",IF(AND(ASH_CORRECTED="Yes",ISNUMBER($H768)),$G768*(1-$H768),$G768))</f>
        <v/>
      </c>
      <c r="K768" s="9">
        <f>IF($B768="","",IFERROR(AVERAGEIFS('2. Soil Data'!$G$5:$G$604,'2. Soil Data'!$B$5:$B$604,$B768),""))</f>
        <v/>
      </c>
      <c r="L768" s="9">
        <f>IF(NOT(ISNUMBER($K768)),"",PI()*($K768/2)^2)</f>
        <v/>
      </c>
      <c r="M768" s="9">
        <f>IF(OR(NOT(ISNUMBER($J768)),NOT(ISNUMBER($L768)),$L768=0),"",$J768/$L768*10000)</f>
        <v/>
      </c>
      <c r="N768" s="9">
        <f>IF(NOT(ISNUMBER($M768)),"",$M768*CARBON_FRACTION_ROOT/1000)</f>
        <v/>
      </c>
      <c r="O768" s="11">
        <f>IF(AND($A768="",$B768="",$G768=""),"",IF(AND($B768&lt;&gt;"",COUNTIFS('2. Soil Data'!$B$5:$B$604,$B768)=0),"Core ID not found in Soil Data, so the corer diameter cannot be looked up. ","")&amp;IF(ASH_CORRECTED&lt;&gt;"Yes","Root mass is NOT ash-corrected, so it includes adhering mineral soil and is too high. Set ASH_CORRECTED once you have done it. ","")&amp;IF(AND(ASH_CORRECTED="Yes",NOT(ISNUMBER($H768))),"Ash correction is switched on but no ash fraction is given for this row. ","")&amp;IF($I768="","Sieve mesh not recorded — a fine-root figure cannot be interpreted without it. ","")&amp;IF(AND(ISNUMBER($H768),$H768&gt;0.5),"Ash fraction above 0.5 — over half this sample was mineral soil. Re-wash. ","")&amp;IF($F768="Not separated","Live and dead not separated. Fine for a stock, but "&amp;"note it in reporting. ",""))</f>
        <v/>
      </c>
      <c r="P768" s="6" t="n"/>
      <c r="Q768" s="9">
        <f>IF($B768="",0,IF(COUNTIFS($B$5:$B768,$B768)=1,1,0))</f>
        <v/>
      </c>
    </row>
    <row r="769">
      <c r="A769" s="6" t="n"/>
      <c r="B769" s="6" t="n"/>
      <c r="C769" s="6" t="n"/>
      <c r="D769" s="6" t="n"/>
      <c r="E769" s="6" t="n"/>
      <c r="F769" s="6" t="n"/>
      <c r="G769" s="7" t="n"/>
      <c r="H769" s="7" t="n"/>
      <c r="I769" s="6" t="n"/>
      <c r="J769" s="9">
        <f>IF(NOT(ISNUMBER($G769)),"",IF(AND(ASH_CORRECTED="Yes",ISNUMBER($H769)),$G769*(1-$H769),$G769))</f>
        <v/>
      </c>
      <c r="K769" s="9">
        <f>IF($B769="","",IFERROR(AVERAGEIFS('2. Soil Data'!$G$5:$G$604,'2. Soil Data'!$B$5:$B$604,$B769),""))</f>
        <v/>
      </c>
      <c r="L769" s="9">
        <f>IF(NOT(ISNUMBER($K769)),"",PI()*($K769/2)^2)</f>
        <v/>
      </c>
      <c r="M769" s="9">
        <f>IF(OR(NOT(ISNUMBER($J769)),NOT(ISNUMBER($L769)),$L769=0),"",$J769/$L769*10000)</f>
        <v/>
      </c>
      <c r="N769" s="9">
        <f>IF(NOT(ISNUMBER($M769)),"",$M769*CARBON_FRACTION_ROOT/1000)</f>
        <v/>
      </c>
      <c r="O769" s="11">
        <f>IF(AND($A769="",$B769="",$G769=""),"",IF(AND($B769&lt;&gt;"",COUNTIFS('2. Soil Data'!$B$5:$B$604,$B769)=0),"Core ID not found in Soil Data, so the corer diameter cannot be looked up. ","")&amp;IF(ASH_CORRECTED&lt;&gt;"Yes","Root mass is NOT ash-corrected, so it includes adhering mineral soil and is too high. Set ASH_CORRECTED once you have done it. ","")&amp;IF(AND(ASH_CORRECTED="Yes",NOT(ISNUMBER($H769))),"Ash correction is switched on but no ash fraction is given for this row. ","")&amp;IF($I769="","Sieve mesh not recorded — a fine-root figure cannot be interpreted without it. ","")&amp;IF(AND(ISNUMBER($H769),$H769&gt;0.5),"Ash fraction above 0.5 — over half this sample was mineral soil. Re-wash. ","")&amp;IF($F769="Not separated","Live and dead not separated. Fine for a stock, but "&amp;"note it in reporting. ",""))</f>
        <v/>
      </c>
      <c r="P769" s="6" t="n"/>
      <c r="Q769" s="9">
        <f>IF($B769="",0,IF(COUNTIFS($B$5:$B769,$B769)=1,1,0))</f>
        <v/>
      </c>
    </row>
    <row r="770">
      <c r="A770" s="6" t="n"/>
      <c r="B770" s="6" t="n"/>
      <c r="C770" s="6" t="n"/>
      <c r="D770" s="6" t="n"/>
      <c r="E770" s="6" t="n"/>
      <c r="F770" s="6" t="n"/>
      <c r="G770" s="7" t="n"/>
      <c r="H770" s="7" t="n"/>
      <c r="I770" s="6" t="n"/>
      <c r="J770" s="9">
        <f>IF(NOT(ISNUMBER($G770)),"",IF(AND(ASH_CORRECTED="Yes",ISNUMBER($H770)),$G770*(1-$H770),$G770))</f>
        <v/>
      </c>
      <c r="K770" s="9">
        <f>IF($B770="","",IFERROR(AVERAGEIFS('2. Soil Data'!$G$5:$G$604,'2. Soil Data'!$B$5:$B$604,$B770),""))</f>
        <v/>
      </c>
      <c r="L770" s="9">
        <f>IF(NOT(ISNUMBER($K770)),"",PI()*($K770/2)^2)</f>
        <v/>
      </c>
      <c r="M770" s="9">
        <f>IF(OR(NOT(ISNUMBER($J770)),NOT(ISNUMBER($L770)),$L770=0),"",$J770/$L770*10000)</f>
        <v/>
      </c>
      <c r="N770" s="9">
        <f>IF(NOT(ISNUMBER($M770)),"",$M770*CARBON_FRACTION_ROOT/1000)</f>
        <v/>
      </c>
      <c r="O770" s="11">
        <f>IF(AND($A770="",$B770="",$G770=""),"",IF(AND($B770&lt;&gt;"",COUNTIFS('2. Soil Data'!$B$5:$B$604,$B770)=0),"Core ID not found in Soil Data, so the corer diameter cannot be looked up. ","")&amp;IF(ASH_CORRECTED&lt;&gt;"Yes","Root mass is NOT ash-corrected, so it includes adhering mineral soil and is too high. Set ASH_CORRECTED once you have done it. ","")&amp;IF(AND(ASH_CORRECTED="Yes",NOT(ISNUMBER($H770))),"Ash correction is switched on but no ash fraction is given for this row. ","")&amp;IF($I770="","Sieve mesh not recorded — a fine-root figure cannot be interpreted without it. ","")&amp;IF(AND(ISNUMBER($H770),$H770&gt;0.5),"Ash fraction above 0.5 — over half this sample was mineral soil. Re-wash. ","")&amp;IF($F770="Not separated","Live and dead not separated. Fine for a stock, but "&amp;"note it in reporting. ",""))</f>
        <v/>
      </c>
      <c r="P770" s="6" t="n"/>
      <c r="Q770" s="9">
        <f>IF($B770="",0,IF(COUNTIFS($B$5:$B770,$B770)=1,1,0))</f>
        <v/>
      </c>
    </row>
    <row r="771">
      <c r="A771" s="6" t="n"/>
      <c r="B771" s="6" t="n"/>
      <c r="C771" s="6" t="n"/>
      <c r="D771" s="6" t="n"/>
      <c r="E771" s="6" t="n"/>
      <c r="F771" s="6" t="n"/>
      <c r="G771" s="7" t="n"/>
      <c r="H771" s="7" t="n"/>
      <c r="I771" s="6" t="n"/>
      <c r="J771" s="9">
        <f>IF(NOT(ISNUMBER($G771)),"",IF(AND(ASH_CORRECTED="Yes",ISNUMBER($H771)),$G771*(1-$H771),$G771))</f>
        <v/>
      </c>
      <c r="K771" s="9">
        <f>IF($B771="","",IFERROR(AVERAGEIFS('2. Soil Data'!$G$5:$G$604,'2. Soil Data'!$B$5:$B$604,$B771),""))</f>
        <v/>
      </c>
      <c r="L771" s="9">
        <f>IF(NOT(ISNUMBER($K771)),"",PI()*($K771/2)^2)</f>
        <v/>
      </c>
      <c r="M771" s="9">
        <f>IF(OR(NOT(ISNUMBER($J771)),NOT(ISNUMBER($L771)),$L771=0),"",$J771/$L771*10000)</f>
        <v/>
      </c>
      <c r="N771" s="9">
        <f>IF(NOT(ISNUMBER($M771)),"",$M771*CARBON_FRACTION_ROOT/1000)</f>
        <v/>
      </c>
      <c r="O771" s="11">
        <f>IF(AND($A771="",$B771="",$G771=""),"",IF(AND($B771&lt;&gt;"",COUNTIFS('2. Soil Data'!$B$5:$B$604,$B771)=0),"Core ID not found in Soil Data, so the corer diameter cannot be looked up. ","")&amp;IF(ASH_CORRECTED&lt;&gt;"Yes","Root mass is NOT ash-corrected, so it includes adhering mineral soil and is too high. Set ASH_CORRECTED once you have done it. ","")&amp;IF(AND(ASH_CORRECTED="Yes",NOT(ISNUMBER($H771))),"Ash correction is switched on but no ash fraction is given for this row. ","")&amp;IF($I771="","Sieve mesh not recorded — a fine-root figure cannot be interpreted without it. ","")&amp;IF(AND(ISNUMBER($H771),$H771&gt;0.5),"Ash fraction above 0.5 — over half this sample was mineral soil. Re-wash. ","")&amp;IF($F771="Not separated","Live and dead not separated. Fine for a stock, but "&amp;"note it in reporting. ",""))</f>
        <v/>
      </c>
      <c r="P771" s="6" t="n"/>
      <c r="Q771" s="9">
        <f>IF($B771="",0,IF(COUNTIFS($B$5:$B771,$B771)=1,1,0))</f>
        <v/>
      </c>
    </row>
    <row r="772">
      <c r="A772" s="6" t="n"/>
      <c r="B772" s="6" t="n"/>
      <c r="C772" s="6" t="n"/>
      <c r="D772" s="6" t="n"/>
      <c r="E772" s="6" t="n"/>
      <c r="F772" s="6" t="n"/>
      <c r="G772" s="7" t="n"/>
      <c r="H772" s="7" t="n"/>
      <c r="I772" s="6" t="n"/>
      <c r="J772" s="9">
        <f>IF(NOT(ISNUMBER($G772)),"",IF(AND(ASH_CORRECTED="Yes",ISNUMBER($H772)),$G772*(1-$H772),$G772))</f>
        <v/>
      </c>
      <c r="K772" s="9">
        <f>IF($B772="","",IFERROR(AVERAGEIFS('2. Soil Data'!$G$5:$G$604,'2. Soil Data'!$B$5:$B$604,$B772),""))</f>
        <v/>
      </c>
      <c r="L772" s="9">
        <f>IF(NOT(ISNUMBER($K772)),"",PI()*($K772/2)^2)</f>
        <v/>
      </c>
      <c r="M772" s="9">
        <f>IF(OR(NOT(ISNUMBER($J772)),NOT(ISNUMBER($L772)),$L772=0),"",$J772/$L772*10000)</f>
        <v/>
      </c>
      <c r="N772" s="9">
        <f>IF(NOT(ISNUMBER($M772)),"",$M772*CARBON_FRACTION_ROOT/1000)</f>
        <v/>
      </c>
      <c r="O772" s="11">
        <f>IF(AND($A772="",$B772="",$G772=""),"",IF(AND($B772&lt;&gt;"",COUNTIFS('2. Soil Data'!$B$5:$B$604,$B772)=0),"Core ID not found in Soil Data, so the corer diameter cannot be looked up. ","")&amp;IF(ASH_CORRECTED&lt;&gt;"Yes","Root mass is NOT ash-corrected, so it includes adhering mineral soil and is too high. Set ASH_CORRECTED once you have done it. ","")&amp;IF(AND(ASH_CORRECTED="Yes",NOT(ISNUMBER($H772))),"Ash correction is switched on but no ash fraction is given for this row. ","")&amp;IF($I772="","Sieve mesh not recorded — a fine-root figure cannot be interpreted without it. ","")&amp;IF(AND(ISNUMBER($H772),$H772&gt;0.5),"Ash fraction above 0.5 — over half this sample was mineral soil. Re-wash. ","")&amp;IF($F772="Not separated","Live and dead not separated. Fine for a stock, but "&amp;"note it in reporting. ",""))</f>
        <v/>
      </c>
      <c r="P772" s="6" t="n"/>
      <c r="Q772" s="9">
        <f>IF($B772="",0,IF(COUNTIFS($B$5:$B772,$B772)=1,1,0))</f>
        <v/>
      </c>
    </row>
    <row r="773">
      <c r="A773" s="6" t="n"/>
      <c r="B773" s="6" t="n"/>
      <c r="C773" s="6" t="n"/>
      <c r="D773" s="6" t="n"/>
      <c r="E773" s="6" t="n"/>
      <c r="F773" s="6" t="n"/>
      <c r="G773" s="7" t="n"/>
      <c r="H773" s="7" t="n"/>
      <c r="I773" s="6" t="n"/>
      <c r="J773" s="9">
        <f>IF(NOT(ISNUMBER($G773)),"",IF(AND(ASH_CORRECTED="Yes",ISNUMBER($H773)),$G773*(1-$H773),$G773))</f>
        <v/>
      </c>
      <c r="K773" s="9">
        <f>IF($B773="","",IFERROR(AVERAGEIFS('2. Soil Data'!$G$5:$G$604,'2. Soil Data'!$B$5:$B$604,$B773),""))</f>
        <v/>
      </c>
      <c r="L773" s="9">
        <f>IF(NOT(ISNUMBER($K773)),"",PI()*($K773/2)^2)</f>
        <v/>
      </c>
      <c r="M773" s="9">
        <f>IF(OR(NOT(ISNUMBER($J773)),NOT(ISNUMBER($L773)),$L773=0),"",$J773/$L773*10000)</f>
        <v/>
      </c>
      <c r="N773" s="9">
        <f>IF(NOT(ISNUMBER($M773)),"",$M773*CARBON_FRACTION_ROOT/1000)</f>
        <v/>
      </c>
      <c r="O773" s="11">
        <f>IF(AND($A773="",$B773="",$G773=""),"",IF(AND($B773&lt;&gt;"",COUNTIFS('2. Soil Data'!$B$5:$B$604,$B773)=0),"Core ID not found in Soil Data, so the corer diameter cannot be looked up. ","")&amp;IF(ASH_CORRECTED&lt;&gt;"Yes","Root mass is NOT ash-corrected, so it includes adhering mineral soil and is too high. Set ASH_CORRECTED once you have done it. ","")&amp;IF(AND(ASH_CORRECTED="Yes",NOT(ISNUMBER($H773))),"Ash correction is switched on but no ash fraction is given for this row. ","")&amp;IF($I773="","Sieve mesh not recorded — a fine-root figure cannot be interpreted without it. ","")&amp;IF(AND(ISNUMBER($H773),$H773&gt;0.5),"Ash fraction above 0.5 — over half this sample was mineral soil. Re-wash. ","")&amp;IF($F773="Not separated","Live and dead not separated. Fine for a stock, but "&amp;"note it in reporting. ",""))</f>
        <v/>
      </c>
      <c r="P773" s="6" t="n"/>
      <c r="Q773" s="9">
        <f>IF($B773="",0,IF(COUNTIFS($B$5:$B773,$B773)=1,1,0))</f>
        <v/>
      </c>
    </row>
    <row r="774">
      <c r="A774" s="6" t="n"/>
      <c r="B774" s="6" t="n"/>
      <c r="C774" s="6" t="n"/>
      <c r="D774" s="6" t="n"/>
      <c r="E774" s="6" t="n"/>
      <c r="F774" s="6" t="n"/>
      <c r="G774" s="7" t="n"/>
      <c r="H774" s="7" t="n"/>
      <c r="I774" s="6" t="n"/>
      <c r="J774" s="9">
        <f>IF(NOT(ISNUMBER($G774)),"",IF(AND(ASH_CORRECTED="Yes",ISNUMBER($H774)),$G774*(1-$H774),$G774))</f>
        <v/>
      </c>
      <c r="K774" s="9">
        <f>IF($B774="","",IFERROR(AVERAGEIFS('2. Soil Data'!$G$5:$G$604,'2. Soil Data'!$B$5:$B$604,$B774),""))</f>
        <v/>
      </c>
      <c r="L774" s="9">
        <f>IF(NOT(ISNUMBER($K774)),"",PI()*($K774/2)^2)</f>
        <v/>
      </c>
      <c r="M774" s="9">
        <f>IF(OR(NOT(ISNUMBER($J774)),NOT(ISNUMBER($L774)),$L774=0),"",$J774/$L774*10000)</f>
        <v/>
      </c>
      <c r="N774" s="9">
        <f>IF(NOT(ISNUMBER($M774)),"",$M774*CARBON_FRACTION_ROOT/1000)</f>
        <v/>
      </c>
      <c r="O774" s="11">
        <f>IF(AND($A774="",$B774="",$G774=""),"",IF(AND($B774&lt;&gt;"",COUNTIFS('2. Soil Data'!$B$5:$B$604,$B774)=0),"Core ID not found in Soil Data, so the corer diameter cannot be looked up. ","")&amp;IF(ASH_CORRECTED&lt;&gt;"Yes","Root mass is NOT ash-corrected, so it includes adhering mineral soil and is too high. Set ASH_CORRECTED once you have done it. ","")&amp;IF(AND(ASH_CORRECTED="Yes",NOT(ISNUMBER($H774))),"Ash correction is switched on but no ash fraction is given for this row. ","")&amp;IF($I774="","Sieve mesh not recorded — a fine-root figure cannot be interpreted without it. ","")&amp;IF(AND(ISNUMBER($H774),$H774&gt;0.5),"Ash fraction above 0.5 — over half this sample was mineral soil. Re-wash. ","")&amp;IF($F774="Not separated","Live and dead not separated. Fine for a stock, but "&amp;"note it in reporting. ",""))</f>
        <v/>
      </c>
      <c r="P774" s="6" t="n"/>
      <c r="Q774" s="9">
        <f>IF($B774="",0,IF(COUNTIFS($B$5:$B774,$B774)=1,1,0))</f>
        <v/>
      </c>
    </row>
    <row r="775">
      <c r="A775" s="6" t="n"/>
      <c r="B775" s="6" t="n"/>
      <c r="C775" s="6" t="n"/>
      <c r="D775" s="6" t="n"/>
      <c r="E775" s="6" t="n"/>
      <c r="F775" s="6" t="n"/>
      <c r="G775" s="7" t="n"/>
      <c r="H775" s="7" t="n"/>
      <c r="I775" s="6" t="n"/>
      <c r="J775" s="9">
        <f>IF(NOT(ISNUMBER($G775)),"",IF(AND(ASH_CORRECTED="Yes",ISNUMBER($H775)),$G775*(1-$H775),$G775))</f>
        <v/>
      </c>
      <c r="K775" s="9">
        <f>IF($B775="","",IFERROR(AVERAGEIFS('2. Soil Data'!$G$5:$G$604,'2. Soil Data'!$B$5:$B$604,$B775),""))</f>
        <v/>
      </c>
      <c r="L775" s="9">
        <f>IF(NOT(ISNUMBER($K775)),"",PI()*($K775/2)^2)</f>
        <v/>
      </c>
      <c r="M775" s="9">
        <f>IF(OR(NOT(ISNUMBER($J775)),NOT(ISNUMBER($L775)),$L775=0),"",$J775/$L775*10000)</f>
        <v/>
      </c>
      <c r="N775" s="9">
        <f>IF(NOT(ISNUMBER($M775)),"",$M775*CARBON_FRACTION_ROOT/1000)</f>
        <v/>
      </c>
      <c r="O775" s="11">
        <f>IF(AND($A775="",$B775="",$G775=""),"",IF(AND($B775&lt;&gt;"",COUNTIFS('2. Soil Data'!$B$5:$B$604,$B775)=0),"Core ID not found in Soil Data, so the corer diameter cannot be looked up. ","")&amp;IF(ASH_CORRECTED&lt;&gt;"Yes","Root mass is NOT ash-corrected, so it includes adhering mineral soil and is too high. Set ASH_CORRECTED once you have done it. ","")&amp;IF(AND(ASH_CORRECTED="Yes",NOT(ISNUMBER($H775))),"Ash correction is switched on but no ash fraction is given for this row. ","")&amp;IF($I775="","Sieve mesh not recorded — a fine-root figure cannot be interpreted without it. ","")&amp;IF(AND(ISNUMBER($H775),$H775&gt;0.5),"Ash fraction above 0.5 — over half this sample was mineral soil. Re-wash. ","")&amp;IF($F775="Not separated","Live and dead not separated. Fine for a stock, but "&amp;"note it in reporting. ",""))</f>
        <v/>
      </c>
      <c r="P775" s="6" t="n"/>
      <c r="Q775" s="9">
        <f>IF($B775="",0,IF(COUNTIFS($B$5:$B775,$B775)=1,1,0))</f>
        <v/>
      </c>
    </row>
    <row r="776">
      <c r="A776" s="6" t="n"/>
      <c r="B776" s="6" t="n"/>
      <c r="C776" s="6" t="n"/>
      <c r="D776" s="6" t="n"/>
      <c r="E776" s="6" t="n"/>
      <c r="F776" s="6" t="n"/>
      <c r="G776" s="7" t="n"/>
      <c r="H776" s="7" t="n"/>
      <c r="I776" s="6" t="n"/>
      <c r="J776" s="9">
        <f>IF(NOT(ISNUMBER($G776)),"",IF(AND(ASH_CORRECTED="Yes",ISNUMBER($H776)),$G776*(1-$H776),$G776))</f>
        <v/>
      </c>
      <c r="K776" s="9">
        <f>IF($B776="","",IFERROR(AVERAGEIFS('2. Soil Data'!$G$5:$G$604,'2. Soil Data'!$B$5:$B$604,$B776),""))</f>
        <v/>
      </c>
      <c r="L776" s="9">
        <f>IF(NOT(ISNUMBER($K776)),"",PI()*($K776/2)^2)</f>
        <v/>
      </c>
      <c r="M776" s="9">
        <f>IF(OR(NOT(ISNUMBER($J776)),NOT(ISNUMBER($L776)),$L776=0),"",$J776/$L776*10000)</f>
        <v/>
      </c>
      <c r="N776" s="9">
        <f>IF(NOT(ISNUMBER($M776)),"",$M776*CARBON_FRACTION_ROOT/1000)</f>
        <v/>
      </c>
      <c r="O776" s="11">
        <f>IF(AND($A776="",$B776="",$G776=""),"",IF(AND($B776&lt;&gt;"",COUNTIFS('2. Soil Data'!$B$5:$B$604,$B776)=0),"Core ID not found in Soil Data, so the corer diameter cannot be looked up. ","")&amp;IF(ASH_CORRECTED&lt;&gt;"Yes","Root mass is NOT ash-corrected, so it includes adhering mineral soil and is too high. Set ASH_CORRECTED once you have done it. ","")&amp;IF(AND(ASH_CORRECTED="Yes",NOT(ISNUMBER($H776))),"Ash correction is switched on but no ash fraction is given for this row. ","")&amp;IF($I776="","Sieve mesh not recorded — a fine-root figure cannot be interpreted without it. ","")&amp;IF(AND(ISNUMBER($H776),$H776&gt;0.5),"Ash fraction above 0.5 — over half this sample was mineral soil. Re-wash. ","")&amp;IF($F776="Not separated","Live and dead not separated. Fine for a stock, but "&amp;"note it in reporting. ",""))</f>
        <v/>
      </c>
      <c r="P776" s="6" t="n"/>
      <c r="Q776" s="9">
        <f>IF($B776="",0,IF(COUNTIFS($B$5:$B776,$B776)=1,1,0))</f>
        <v/>
      </c>
    </row>
    <row r="777">
      <c r="A777" s="6" t="n"/>
      <c r="B777" s="6" t="n"/>
      <c r="C777" s="6" t="n"/>
      <c r="D777" s="6" t="n"/>
      <c r="E777" s="6" t="n"/>
      <c r="F777" s="6" t="n"/>
      <c r="G777" s="7" t="n"/>
      <c r="H777" s="7" t="n"/>
      <c r="I777" s="6" t="n"/>
      <c r="J777" s="9">
        <f>IF(NOT(ISNUMBER($G777)),"",IF(AND(ASH_CORRECTED="Yes",ISNUMBER($H777)),$G777*(1-$H777),$G777))</f>
        <v/>
      </c>
      <c r="K777" s="9">
        <f>IF($B777="","",IFERROR(AVERAGEIFS('2. Soil Data'!$G$5:$G$604,'2. Soil Data'!$B$5:$B$604,$B777),""))</f>
        <v/>
      </c>
      <c r="L777" s="9">
        <f>IF(NOT(ISNUMBER($K777)),"",PI()*($K777/2)^2)</f>
        <v/>
      </c>
      <c r="M777" s="9">
        <f>IF(OR(NOT(ISNUMBER($J777)),NOT(ISNUMBER($L777)),$L777=0),"",$J777/$L777*10000)</f>
        <v/>
      </c>
      <c r="N777" s="9">
        <f>IF(NOT(ISNUMBER($M777)),"",$M777*CARBON_FRACTION_ROOT/1000)</f>
        <v/>
      </c>
      <c r="O777" s="11">
        <f>IF(AND($A777="",$B777="",$G777=""),"",IF(AND($B777&lt;&gt;"",COUNTIFS('2. Soil Data'!$B$5:$B$604,$B777)=0),"Core ID not found in Soil Data, so the corer diameter cannot be looked up. ","")&amp;IF(ASH_CORRECTED&lt;&gt;"Yes","Root mass is NOT ash-corrected, so it includes adhering mineral soil and is too high. Set ASH_CORRECTED once you have done it. ","")&amp;IF(AND(ASH_CORRECTED="Yes",NOT(ISNUMBER($H777))),"Ash correction is switched on but no ash fraction is given for this row. ","")&amp;IF($I777="","Sieve mesh not recorded — a fine-root figure cannot be interpreted without it. ","")&amp;IF(AND(ISNUMBER($H777),$H777&gt;0.5),"Ash fraction above 0.5 — over half this sample was mineral soil. Re-wash. ","")&amp;IF($F777="Not separated","Live and dead not separated. Fine for a stock, but "&amp;"note it in reporting. ",""))</f>
        <v/>
      </c>
      <c r="P777" s="6" t="n"/>
      <c r="Q777" s="9">
        <f>IF($B777="",0,IF(COUNTIFS($B$5:$B777,$B777)=1,1,0))</f>
        <v/>
      </c>
    </row>
    <row r="778">
      <c r="A778" s="6" t="n"/>
      <c r="B778" s="6" t="n"/>
      <c r="C778" s="6" t="n"/>
      <c r="D778" s="6" t="n"/>
      <c r="E778" s="6" t="n"/>
      <c r="F778" s="6" t="n"/>
      <c r="G778" s="7" t="n"/>
      <c r="H778" s="7" t="n"/>
      <c r="I778" s="6" t="n"/>
      <c r="J778" s="9">
        <f>IF(NOT(ISNUMBER($G778)),"",IF(AND(ASH_CORRECTED="Yes",ISNUMBER($H778)),$G778*(1-$H778),$G778))</f>
        <v/>
      </c>
      <c r="K778" s="9">
        <f>IF($B778="","",IFERROR(AVERAGEIFS('2. Soil Data'!$G$5:$G$604,'2. Soil Data'!$B$5:$B$604,$B778),""))</f>
        <v/>
      </c>
      <c r="L778" s="9">
        <f>IF(NOT(ISNUMBER($K778)),"",PI()*($K778/2)^2)</f>
        <v/>
      </c>
      <c r="M778" s="9">
        <f>IF(OR(NOT(ISNUMBER($J778)),NOT(ISNUMBER($L778)),$L778=0),"",$J778/$L778*10000)</f>
        <v/>
      </c>
      <c r="N778" s="9">
        <f>IF(NOT(ISNUMBER($M778)),"",$M778*CARBON_FRACTION_ROOT/1000)</f>
        <v/>
      </c>
      <c r="O778" s="11">
        <f>IF(AND($A778="",$B778="",$G778=""),"",IF(AND($B778&lt;&gt;"",COUNTIFS('2. Soil Data'!$B$5:$B$604,$B778)=0),"Core ID not found in Soil Data, so the corer diameter cannot be looked up. ","")&amp;IF(ASH_CORRECTED&lt;&gt;"Yes","Root mass is NOT ash-corrected, so it includes adhering mineral soil and is too high. Set ASH_CORRECTED once you have done it. ","")&amp;IF(AND(ASH_CORRECTED="Yes",NOT(ISNUMBER($H778))),"Ash correction is switched on but no ash fraction is given for this row. ","")&amp;IF($I778="","Sieve mesh not recorded — a fine-root figure cannot be interpreted without it. ","")&amp;IF(AND(ISNUMBER($H778),$H778&gt;0.5),"Ash fraction above 0.5 — over half this sample was mineral soil. Re-wash. ","")&amp;IF($F778="Not separated","Live and dead not separated. Fine for a stock, but "&amp;"note it in reporting. ",""))</f>
        <v/>
      </c>
      <c r="P778" s="6" t="n"/>
      <c r="Q778" s="9">
        <f>IF($B778="",0,IF(COUNTIFS($B$5:$B778,$B778)=1,1,0))</f>
        <v/>
      </c>
    </row>
    <row r="779">
      <c r="A779" s="6" t="n"/>
      <c r="B779" s="6" t="n"/>
      <c r="C779" s="6" t="n"/>
      <c r="D779" s="6" t="n"/>
      <c r="E779" s="6" t="n"/>
      <c r="F779" s="6" t="n"/>
      <c r="G779" s="7" t="n"/>
      <c r="H779" s="7" t="n"/>
      <c r="I779" s="6" t="n"/>
      <c r="J779" s="9">
        <f>IF(NOT(ISNUMBER($G779)),"",IF(AND(ASH_CORRECTED="Yes",ISNUMBER($H779)),$G779*(1-$H779),$G779))</f>
        <v/>
      </c>
      <c r="K779" s="9">
        <f>IF($B779="","",IFERROR(AVERAGEIFS('2. Soil Data'!$G$5:$G$604,'2. Soil Data'!$B$5:$B$604,$B779),""))</f>
        <v/>
      </c>
      <c r="L779" s="9">
        <f>IF(NOT(ISNUMBER($K779)),"",PI()*($K779/2)^2)</f>
        <v/>
      </c>
      <c r="M779" s="9">
        <f>IF(OR(NOT(ISNUMBER($J779)),NOT(ISNUMBER($L779)),$L779=0),"",$J779/$L779*10000)</f>
        <v/>
      </c>
      <c r="N779" s="9">
        <f>IF(NOT(ISNUMBER($M779)),"",$M779*CARBON_FRACTION_ROOT/1000)</f>
        <v/>
      </c>
      <c r="O779" s="11">
        <f>IF(AND($A779="",$B779="",$G779=""),"",IF(AND($B779&lt;&gt;"",COUNTIFS('2. Soil Data'!$B$5:$B$604,$B779)=0),"Core ID not found in Soil Data, so the corer diameter cannot be looked up. ","")&amp;IF(ASH_CORRECTED&lt;&gt;"Yes","Root mass is NOT ash-corrected, so it includes adhering mineral soil and is too high. Set ASH_CORRECTED once you have done it. ","")&amp;IF(AND(ASH_CORRECTED="Yes",NOT(ISNUMBER($H779))),"Ash correction is switched on but no ash fraction is given for this row. ","")&amp;IF($I779="","Sieve mesh not recorded — a fine-root figure cannot be interpreted without it. ","")&amp;IF(AND(ISNUMBER($H779),$H779&gt;0.5),"Ash fraction above 0.5 — over half this sample was mineral soil. Re-wash. ","")&amp;IF($F779="Not separated","Live and dead not separated. Fine for a stock, but "&amp;"note it in reporting. ",""))</f>
        <v/>
      </c>
      <c r="P779" s="6" t="n"/>
      <c r="Q779" s="9">
        <f>IF($B779="",0,IF(COUNTIFS($B$5:$B779,$B779)=1,1,0))</f>
        <v/>
      </c>
    </row>
    <row r="780">
      <c r="A780" s="6" t="n"/>
      <c r="B780" s="6" t="n"/>
      <c r="C780" s="6" t="n"/>
      <c r="D780" s="6" t="n"/>
      <c r="E780" s="6" t="n"/>
      <c r="F780" s="6" t="n"/>
      <c r="G780" s="7" t="n"/>
      <c r="H780" s="7" t="n"/>
      <c r="I780" s="6" t="n"/>
      <c r="J780" s="9">
        <f>IF(NOT(ISNUMBER($G780)),"",IF(AND(ASH_CORRECTED="Yes",ISNUMBER($H780)),$G780*(1-$H780),$G780))</f>
        <v/>
      </c>
      <c r="K780" s="9">
        <f>IF($B780="","",IFERROR(AVERAGEIFS('2. Soil Data'!$G$5:$G$604,'2. Soil Data'!$B$5:$B$604,$B780),""))</f>
        <v/>
      </c>
      <c r="L780" s="9">
        <f>IF(NOT(ISNUMBER($K780)),"",PI()*($K780/2)^2)</f>
        <v/>
      </c>
      <c r="M780" s="9">
        <f>IF(OR(NOT(ISNUMBER($J780)),NOT(ISNUMBER($L780)),$L780=0),"",$J780/$L780*10000)</f>
        <v/>
      </c>
      <c r="N780" s="9">
        <f>IF(NOT(ISNUMBER($M780)),"",$M780*CARBON_FRACTION_ROOT/1000)</f>
        <v/>
      </c>
      <c r="O780" s="11">
        <f>IF(AND($A780="",$B780="",$G780=""),"",IF(AND($B780&lt;&gt;"",COUNTIFS('2. Soil Data'!$B$5:$B$604,$B780)=0),"Core ID not found in Soil Data, so the corer diameter cannot be looked up. ","")&amp;IF(ASH_CORRECTED&lt;&gt;"Yes","Root mass is NOT ash-corrected, so it includes adhering mineral soil and is too high. Set ASH_CORRECTED once you have done it. ","")&amp;IF(AND(ASH_CORRECTED="Yes",NOT(ISNUMBER($H780))),"Ash correction is switched on but no ash fraction is given for this row. ","")&amp;IF($I780="","Sieve mesh not recorded — a fine-root figure cannot be interpreted without it. ","")&amp;IF(AND(ISNUMBER($H780),$H780&gt;0.5),"Ash fraction above 0.5 — over half this sample was mineral soil. Re-wash. ","")&amp;IF($F780="Not separated","Live and dead not separated. Fine for a stock, but "&amp;"note it in reporting. ",""))</f>
        <v/>
      </c>
      <c r="P780" s="6" t="n"/>
      <c r="Q780" s="9">
        <f>IF($B780="",0,IF(COUNTIFS($B$5:$B780,$B780)=1,1,0))</f>
        <v/>
      </c>
    </row>
    <row r="781">
      <c r="A781" s="6" t="n"/>
      <c r="B781" s="6" t="n"/>
      <c r="C781" s="6" t="n"/>
      <c r="D781" s="6" t="n"/>
      <c r="E781" s="6" t="n"/>
      <c r="F781" s="6" t="n"/>
      <c r="G781" s="7" t="n"/>
      <c r="H781" s="7" t="n"/>
      <c r="I781" s="6" t="n"/>
      <c r="J781" s="9">
        <f>IF(NOT(ISNUMBER($G781)),"",IF(AND(ASH_CORRECTED="Yes",ISNUMBER($H781)),$G781*(1-$H781),$G781))</f>
        <v/>
      </c>
      <c r="K781" s="9">
        <f>IF($B781="","",IFERROR(AVERAGEIFS('2. Soil Data'!$G$5:$G$604,'2. Soil Data'!$B$5:$B$604,$B781),""))</f>
        <v/>
      </c>
      <c r="L781" s="9">
        <f>IF(NOT(ISNUMBER($K781)),"",PI()*($K781/2)^2)</f>
        <v/>
      </c>
      <c r="M781" s="9">
        <f>IF(OR(NOT(ISNUMBER($J781)),NOT(ISNUMBER($L781)),$L781=0),"",$J781/$L781*10000)</f>
        <v/>
      </c>
      <c r="N781" s="9">
        <f>IF(NOT(ISNUMBER($M781)),"",$M781*CARBON_FRACTION_ROOT/1000)</f>
        <v/>
      </c>
      <c r="O781" s="11">
        <f>IF(AND($A781="",$B781="",$G781=""),"",IF(AND($B781&lt;&gt;"",COUNTIFS('2. Soil Data'!$B$5:$B$604,$B781)=0),"Core ID not found in Soil Data, so the corer diameter cannot be looked up. ","")&amp;IF(ASH_CORRECTED&lt;&gt;"Yes","Root mass is NOT ash-corrected, so it includes adhering mineral soil and is too high. Set ASH_CORRECTED once you have done it. ","")&amp;IF(AND(ASH_CORRECTED="Yes",NOT(ISNUMBER($H781))),"Ash correction is switched on but no ash fraction is given for this row. ","")&amp;IF($I781="","Sieve mesh not recorded — a fine-root figure cannot be interpreted without it. ","")&amp;IF(AND(ISNUMBER($H781),$H781&gt;0.5),"Ash fraction above 0.5 — over half this sample was mineral soil. Re-wash. ","")&amp;IF($F781="Not separated","Live and dead not separated. Fine for a stock, but "&amp;"note it in reporting. ",""))</f>
        <v/>
      </c>
      <c r="P781" s="6" t="n"/>
      <c r="Q781" s="9">
        <f>IF($B781="",0,IF(COUNTIFS($B$5:$B781,$B781)=1,1,0))</f>
        <v/>
      </c>
    </row>
    <row r="782">
      <c r="A782" s="6" t="n"/>
      <c r="B782" s="6" t="n"/>
      <c r="C782" s="6" t="n"/>
      <c r="D782" s="6" t="n"/>
      <c r="E782" s="6" t="n"/>
      <c r="F782" s="6" t="n"/>
      <c r="G782" s="7" t="n"/>
      <c r="H782" s="7" t="n"/>
      <c r="I782" s="6" t="n"/>
      <c r="J782" s="9">
        <f>IF(NOT(ISNUMBER($G782)),"",IF(AND(ASH_CORRECTED="Yes",ISNUMBER($H782)),$G782*(1-$H782),$G782))</f>
        <v/>
      </c>
      <c r="K782" s="9">
        <f>IF($B782="","",IFERROR(AVERAGEIFS('2. Soil Data'!$G$5:$G$604,'2. Soil Data'!$B$5:$B$604,$B782),""))</f>
        <v/>
      </c>
      <c r="L782" s="9">
        <f>IF(NOT(ISNUMBER($K782)),"",PI()*($K782/2)^2)</f>
        <v/>
      </c>
      <c r="M782" s="9">
        <f>IF(OR(NOT(ISNUMBER($J782)),NOT(ISNUMBER($L782)),$L782=0),"",$J782/$L782*10000)</f>
        <v/>
      </c>
      <c r="N782" s="9">
        <f>IF(NOT(ISNUMBER($M782)),"",$M782*CARBON_FRACTION_ROOT/1000)</f>
        <v/>
      </c>
      <c r="O782" s="11">
        <f>IF(AND($A782="",$B782="",$G782=""),"",IF(AND($B782&lt;&gt;"",COUNTIFS('2. Soil Data'!$B$5:$B$604,$B782)=0),"Core ID not found in Soil Data, so the corer diameter cannot be looked up. ","")&amp;IF(ASH_CORRECTED&lt;&gt;"Yes","Root mass is NOT ash-corrected, so it includes adhering mineral soil and is too high. Set ASH_CORRECTED once you have done it. ","")&amp;IF(AND(ASH_CORRECTED="Yes",NOT(ISNUMBER($H782))),"Ash correction is switched on but no ash fraction is given for this row. ","")&amp;IF($I782="","Sieve mesh not recorded — a fine-root figure cannot be interpreted without it. ","")&amp;IF(AND(ISNUMBER($H782),$H782&gt;0.5),"Ash fraction above 0.5 — over half this sample was mineral soil. Re-wash. ","")&amp;IF($F782="Not separated","Live and dead not separated. Fine for a stock, but "&amp;"note it in reporting. ",""))</f>
        <v/>
      </c>
      <c r="P782" s="6" t="n"/>
      <c r="Q782" s="9">
        <f>IF($B782="",0,IF(COUNTIFS($B$5:$B782,$B782)=1,1,0))</f>
        <v/>
      </c>
    </row>
    <row r="783">
      <c r="A783" s="6" t="n"/>
      <c r="B783" s="6" t="n"/>
      <c r="C783" s="6" t="n"/>
      <c r="D783" s="6" t="n"/>
      <c r="E783" s="6" t="n"/>
      <c r="F783" s="6" t="n"/>
      <c r="G783" s="7" t="n"/>
      <c r="H783" s="7" t="n"/>
      <c r="I783" s="6" t="n"/>
      <c r="J783" s="9">
        <f>IF(NOT(ISNUMBER($G783)),"",IF(AND(ASH_CORRECTED="Yes",ISNUMBER($H783)),$G783*(1-$H783),$G783))</f>
        <v/>
      </c>
      <c r="K783" s="9">
        <f>IF($B783="","",IFERROR(AVERAGEIFS('2. Soil Data'!$G$5:$G$604,'2. Soil Data'!$B$5:$B$604,$B783),""))</f>
        <v/>
      </c>
      <c r="L783" s="9">
        <f>IF(NOT(ISNUMBER($K783)),"",PI()*($K783/2)^2)</f>
        <v/>
      </c>
      <c r="M783" s="9">
        <f>IF(OR(NOT(ISNUMBER($J783)),NOT(ISNUMBER($L783)),$L783=0),"",$J783/$L783*10000)</f>
        <v/>
      </c>
      <c r="N783" s="9">
        <f>IF(NOT(ISNUMBER($M783)),"",$M783*CARBON_FRACTION_ROOT/1000)</f>
        <v/>
      </c>
      <c r="O783" s="11">
        <f>IF(AND($A783="",$B783="",$G783=""),"",IF(AND($B783&lt;&gt;"",COUNTIFS('2. Soil Data'!$B$5:$B$604,$B783)=0),"Core ID not found in Soil Data, so the corer diameter cannot be looked up. ","")&amp;IF(ASH_CORRECTED&lt;&gt;"Yes","Root mass is NOT ash-corrected, so it includes adhering mineral soil and is too high. Set ASH_CORRECTED once you have done it. ","")&amp;IF(AND(ASH_CORRECTED="Yes",NOT(ISNUMBER($H783))),"Ash correction is switched on but no ash fraction is given for this row. ","")&amp;IF($I783="","Sieve mesh not recorded — a fine-root figure cannot be interpreted without it. ","")&amp;IF(AND(ISNUMBER($H783),$H783&gt;0.5),"Ash fraction above 0.5 — over half this sample was mineral soil. Re-wash. ","")&amp;IF($F783="Not separated","Live and dead not separated. Fine for a stock, but "&amp;"note it in reporting. ",""))</f>
        <v/>
      </c>
      <c r="P783" s="6" t="n"/>
      <c r="Q783" s="9">
        <f>IF($B783="",0,IF(COUNTIFS($B$5:$B783,$B783)=1,1,0))</f>
        <v/>
      </c>
    </row>
    <row r="784">
      <c r="A784" s="6" t="n"/>
      <c r="B784" s="6" t="n"/>
      <c r="C784" s="6" t="n"/>
      <c r="D784" s="6" t="n"/>
      <c r="E784" s="6" t="n"/>
      <c r="F784" s="6" t="n"/>
      <c r="G784" s="7" t="n"/>
      <c r="H784" s="7" t="n"/>
      <c r="I784" s="6" t="n"/>
      <c r="J784" s="9">
        <f>IF(NOT(ISNUMBER($G784)),"",IF(AND(ASH_CORRECTED="Yes",ISNUMBER($H784)),$G784*(1-$H784),$G784))</f>
        <v/>
      </c>
      <c r="K784" s="9">
        <f>IF($B784="","",IFERROR(AVERAGEIFS('2. Soil Data'!$G$5:$G$604,'2. Soil Data'!$B$5:$B$604,$B784),""))</f>
        <v/>
      </c>
      <c r="L784" s="9">
        <f>IF(NOT(ISNUMBER($K784)),"",PI()*($K784/2)^2)</f>
        <v/>
      </c>
      <c r="M784" s="9">
        <f>IF(OR(NOT(ISNUMBER($J784)),NOT(ISNUMBER($L784)),$L784=0),"",$J784/$L784*10000)</f>
        <v/>
      </c>
      <c r="N784" s="9">
        <f>IF(NOT(ISNUMBER($M784)),"",$M784*CARBON_FRACTION_ROOT/1000)</f>
        <v/>
      </c>
      <c r="O784" s="11">
        <f>IF(AND($A784="",$B784="",$G784=""),"",IF(AND($B784&lt;&gt;"",COUNTIFS('2. Soil Data'!$B$5:$B$604,$B784)=0),"Core ID not found in Soil Data, so the corer diameter cannot be looked up. ","")&amp;IF(ASH_CORRECTED&lt;&gt;"Yes","Root mass is NOT ash-corrected, so it includes adhering mineral soil and is too high. Set ASH_CORRECTED once you have done it. ","")&amp;IF(AND(ASH_CORRECTED="Yes",NOT(ISNUMBER($H784))),"Ash correction is switched on but no ash fraction is given for this row. ","")&amp;IF($I784="","Sieve mesh not recorded — a fine-root figure cannot be interpreted without it. ","")&amp;IF(AND(ISNUMBER($H784),$H784&gt;0.5),"Ash fraction above 0.5 — over half this sample was mineral soil. Re-wash. ","")&amp;IF($F784="Not separated","Live and dead not separated. Fine for a stock, but "&amp;"note it in reporting. ",""))</f>
        <v/>
      </c>
      <c r="P784" s="6" t="n"/>
      <c r="Q784" s="9">
        <f>IF($B784="",0,IF(COUNTIFS($B$5:$B784,$B784)=1,1,0))</f>
        <v/>
      </c>
    </row>
    <row r="785">
      <c r="A785" s="6" t="n"/>
      <c r="B785" s="6" t="n"/>
      <c r="C785" s="6" t="n"/>
      <c r="D785" s="6" t="n"/>
      <c r="E785" s="6" t="n"/>
      <c r="F785" s="6" t="n"/>
      <c r="G785" s="7" t="n"/>
      <c r="H785" s="7" t="n"/>
      <c r="I785" s="6" t="n"/>
      <c r="J785" s="9">
        <f>IF(NOT(ISNUMBER($G785)),"",IF(AND(ASH_CORRECTED="Yes",ISNUMBER($H785)),$G785*(1-$H785),$G785))</f>
        <v/>
      </c>
      <c r="K785" s="9">
        <f>IF($B785="","",IFERROR(AVERAGEIFS('2. Soil Data'!$G$5:$G$604,'2. Soil Data'!$B$5:$B$604,$B785),""))</f>
        <v/>
      </c>
      <c r="L785" s="9">
        <f>IF(NOT(ISNUMBER($K785)),"",PI()*($K785/2)^2)</f>
        <v/>
      </c>
      <c r="M785" s="9">
        <f>IF(OR(NOT(ISNUMBER($J785)),NOT(ISNUMBER($L785)),$L785=0),"",$J785/$L785*10000)</f>
        <v/>
      </c>
      <c r="N785" s="9">
        <f>IF(NOT(ISNUMBER($M785)),"",$M785*CARBON_FRACTION_ROOT/1000)</f>
        <v/>
      </c>
      <c r="O785" s="11">
        <f>IF(AND($A785="",$B785="",$G785=""),"",IF(AND($B785&lt;&gt;"",COUNTIFS('2. Soil Data'!$B$5:$B$604,$B785)=0),"Core ID not found in Soil Data, so the corer diameter cannot be looked up. ","")&amp;IF(ASH_CORRECTED&lt;&gt;"Yes","Root mass is NOT ash-corrected, so it includes adhering mineral soil and is too high. Set ASH_CORRECTED once you have done it. ","")&amp;IF(AND(ASH_CORRECTED="Yes",NOT(ISNUMBER($H785))),"Ash correction is switched on but no ash fraction is given for this row. ","")&amp;IF($I785="","Sieve mesh not recorded — a fine-root figure cannot be interpreted without it. ","")&amp;IF(AND(ISNUMBER($H785),$H785&gt;0.5),"Ash fraction above 0.5 — over half this sample was mineral soil. Re-wash. ","")&amp;IF($F785="Not separated","Live and dead not separated. Fine for a stock, but "&amp;"note it in reporting. ",""))</f>
        <v/>
      </c>
      <c r="P785" s="6" t="n"/>
      <c r="Q785" s="9">
        <f>IF($B785="",0,IF(COUNTIFS($B$5:$B785,$B785)=1,1,0))</f>
        <v/>
      </c>
    </row>
    <row r="786">
      <c r="A786" s="6" t="n"/>
      <c r="B786" s="6" t="n"/>
      <c r="C786" s="6" t="n"/>
      <c r="D786" s="6" t="n"/>
      <c r="E786" s="6" t="n"/>
      <c r="F786" s="6" t="n"/>
      <c r="G786" s="7" t="n"/>
      <c r="H786" s="7" t="n"/>
      <c r="I786" s="6" t="n"/>
      <c r="J786" s="9">
        <f>IF(NOT(ISNUMBER($G786)),"",IF(AND(ASH_CORRECTED="Yes",ISNUMBER($H786)),$G786*(1-$H786),$G786))</f>
        <v/>
      </c>
      <c r="K786" s="9">
        <f>IF($B786="","",IFERROR(AVERAGEIFS('2. Soil Data'!$G$5:$G$604,'2. Soil Data'!$B$5:$B$604,$B786),""))</f>
        <v/>
      </c>
      <c r="L786" s="9">
        <f>IF(NOT(ISNUMBER($K786)),"",PI()*($K786/2)^2)</f>
        <v/>
      </c>
      <c r="M786" s="9">
        <f>IF(OR(NOT(ISNUMBER($J786)),NOT(ISNUMBER($L786)),$L786=0),"",$J786/$L786*10000)</f>
        <v/>
      </c>
      <c r="N786" s="9">
        <f>IF(NOT(ISNUMBER($M786)),"",$M786*CARBON_FRACTION_ROOT/1000)</f>
        <v/>
      </c>
      <c r="O786" s="11">
        <f>IF(AND($A786="",$B786="",$G786=""),"",IF(AND($B786&lt;&gt;"",COUNTIFS('2. Soil Data'!$B$5:$B$604,$B786)=0),"Core ID not found in Soil Data, so the corer diameter cannot be looked up. ","")&amp;IF(ASH_CORRECTED&lt;&gt;"Yes","Root mass is NOT ash-corrected, so it includes adhering mineral soil and is too high. Set ASH_CORRECTED once you have done it. ","")&amp;IF(AND(ASH_CORRECTED="Yes",NOT(ISNUMBER($H786))),"Ash correction is switched on but no ash fraction is given for this row. ","")&amp;IF($I786="","Sieve mesh not recorded — a fine-root figure cannot be interpreted without it. ","")&amp;IF(AND(ISNUMBER($H786),$H786&gt;0.5),"Ash fraction above 0.5 — over half this sample was mineral soil. Re-wash. ","")&amp;IF($F786="Not separated","Live and dead not separated. Fine for a stock, but "&amp;"note it in reporting. ",""))</f>
        <v/>
      </c>
      <c r="P786" s="6" t="n"/>
      <c r="Q786" s="9">
        <f>IF($B786="",0,IF(COUNTIFS($B$5:$B786,$B786)=1,1,0))</f>
        <v/>
      </c>
    </row>
    <row r="787">
      <c r="A787" s="6" t="n"/>
      <c r="B787" s="6" t="n"/>
      <c r="C787" s="6" t="n"/>
      <c r="D787" s="6" t="n"/>
      <c r="E787" s="6" t="n"/>
      <c r="F787" s="6" t="n"/>
      <c r="G787" s="7" t="n"/>
      <c r="H787" s="7" t="n"/>
      <c r="I787" s="6" t="n"/>
      <c r="J787" s="9">
        <f>IF(NOT(ISNUMBER($G787)),"",IF(AND(ASH_CORRECTED="Yes",ISNUMBER($H787)),$G787*(1-$H787),$G787))</f>
        <v/>
      </c>
      <c r="K787" s="9">
        <f>IF($B787="","",IFERROR(AVERAGEIFS('2. Soil Data'!$G$5:$G$604,'2. Soil Data'!$B$5:$B$604,$B787),""))</f>
        <v/>
      </c>
      <c r="L787" s="9">
        <f>IF(NOT(ISNUMBER($K787)),"",PI()*($K787/2)^2)</f>
        <v/>
      </c>
      <c r="M787" s="9">
        <f>IF(OR(NOT(ISNUMBER($J787)),NOT(ISNUMBER($L787)),$L787=0),"",$J787/$L787*10000)</f>
        <v/>
      </c>
      <c r="N787" s="9">
        <f>IF(NOT(ISNUMBER($M787)),"",$M787*CARBON_FRACTION_ROOT/1000)</f>
        <v/>
      </c>
      <c r="O787" s="11">
        <f>IF(AND($A787="",$B787="",$G787=""),"",IF(AND($B787&lt;&gt;"",COUNTIFS('2. Soil Data'!$B$5:$B$604,$B787)=0),"Core ID not found in Soil Data, so the corer diameter cannot be looked up. ","")&amp;IF(ASH_CORRECTED&lt;&gt;"Yes","Root mass is NOT ash-corrected, so it includes adhering mineral soil and is too high. Set ASH_CORRECTED once you have done it. ","")&amp;IF(AND(ASH_CORRECTED="Yes",NOT(ISNUMBER($H787))),"Ash correction is switched on but no ash fraction is given for this row. ","")&amp;IF($I787="","Sieve mesh not recorded — a fine-root figure cannot be interpreted without it. ","")&amp;IF(AND(ISNUMBER($H787),$H787&gt;0.5),"Ash fraction above 0.5 — over half this sample was mineral soil. Re-wash. ","")&amp;IF($F787="Not separated","Live and dead not separated. Fine for a stock, but "&amp;"note it in reporting. ",""))</f>
        <v/>
      </c>
      <c r="P787" s="6" t="n"/>
      <c r="Q787" s="9">
        <f>IF($B787="",0,IF(COUNTIFS($B$5:$B787,$B787)=1,1,0))</f>
        <v/>
      </c>
    </row>
    <row r="788">
      <c r="A788" s="6" t="n"/>
      <c r="B788" s="6" t="n"/>
      <c r="C788" s="6" t="n"/>
      <c r="D788" s="6" t="n"/>
      <c r="E788" s="6" t="n"/>
      <c r="F788" s="6" t="n"/>
      <c r="G788" s="7" t="n"/>
      <c r="H788" s="7" t="n"/>
      <c r="I788" s="6" t="n"/>
      <c r="J788" s="9">
        <f>IF(NOT(ISNUMBER($G788)),"",IF(AND(ASH_CORRECTED="Yes",ISNUMBER($H788)),$G788*(1-$H788),$G788))</f>
        <v/>
      </c>
      <c r="K788" s="9">
        <f>IF($B788="","",IFERROR(AVERAGEIFS('2. Soil Data'!$G$5:$G$604,'2. Soil Data'!$B$5:$B$604,$B788),""))</f>
        <v/>
      </c>
      <c r="L788" s="9">
        <f>IF(NOT(ISNUMBER($K788)),"",PI()*($K788/2)^2)</f>
        <v/>
      </c>
      <c r="M788" s="9">
        <f>IF(OR(NOT(ISNUMBER($J788)),NOT(ISNUMBER($L788)),$L788=0),"",$J788/$L788*10000)</f>
        <v/>
      </c>
      <c r="N788" s="9">
        <f>IF(NOT(ISNUMBER($M788)),"",$M788*CARBON_FRACTION_ROOT/1000)</f>
        <v/>
      </c>
      <c r="O788" s="11">
        <f>IF(AND($A788="",$B788="",$G788=""),"",IF(AND($B788&lt;&gt;"",COUNTIFS('2. Soil Data'!$B$5:$B$604,$B788)=0),"Core ID not found in Soil Data, so the corer diameter cannot be looked up. ","")&amp;IF(ASH_CORRECTED&lt;&gt;"Yes","Root mass is NOT ash-corrected, so it includes adhering mineral soil and is too high. Set ASH_CORRECTED once you have done it. ","")&amp;IF(AND(ASH_CORRECTED="Yes",NOT(ISNUMBER($H788))),"Ash correction is switched on but no ash fraction is given for this row. ","")&amp;IF($I788="","Sieve mesh not recorded — a fine-root figure cannot be interpreted without it. ","")&amp;IF(AND(ISNUMBER($H788),$H788&gt;0.5),"Ash fraction above 0.5 — over half this sample was mineral soil. Re-wash. ","")&amp;IF($F788="Not separated","Live and dead not separated. Fine for a stock, but "&amp;"note it in reporting. ",""))</f>
        <v/>
      </c>
      <c r="P788" s="6" t="n"/>
      <c r="Q788" s="9">
        <f>IF($B788="",0,IF(COUNTIFS($B$5:$B788,$B788)=1,1,0))</f>
        <v/>
      </c>
    </row>
    <row r="789">
      <c r="A789" s="6" t="n"/>
      <c r="B789" s="6" t="n"/>
      <c r="C789" s="6" t="n"/>
      <c r="D789" s="6" t="n"/>
      <c r="E789" s="6" t="n"/>
      <c r="F789" s="6" t="n"/>
      <c r="G789" s="7" t="n"/>
      <c r="H789" s="7" t="n"/>
      <c r="I789" s="6" t="n"/>
      <c r="J789" s="9">
        <f>IF(NOT(ISNUMBER($G789)),"",IF(AND(ASH_CORRECTED="Yes",ISNUMBER($H789)),$G789*(1-$H789),$G789))</f>
        <v/>
      </c>
      <c r="K789" s="9">
        <f>IF($B789="","",IFERROR(AVERAGEIFS('2. Soil Data'!$G$5:$G$604,'2. Soil Data'!$B$5:$B$604,$B789),""))</f>
        <v/>
      </c>
      <c r="L789" s="9">
        <f>IF(NOT(ISNUMBER($K789)),"",PI()*($K789/2)^2)</f>
        <v/>
      </c>
      <c r="M789" s="9">
        <f>IF(OR(NOT(ISNUMBER($J789)),NOT(ISNUMBER($L789)),$L789=0),"",$J789/$L789*10000)</f>
        <v/>
      </c>
      <c r="N789" s="9">
        <f>IF(NOT(ISNUMBER($M789)),"",$M789*CARBON_FRACTION_ROOT/1000)</f>
        <v/>
      </c>
      <c r="O789" s="11">
        <f>IF(AND($A789="",$B789="",$G789=""),"",IF(AND($B789&lt;&gt;"",COUNTIFS('2. Soil Data'!$B$5:$B$604,$B789)=0),"Core ID not found in Soil Data, so the corer diameter cannot be looked up. ","")&amp;IF(ASH_CORRECTED&lt;&gt;"Yes","Root mass is NOT ash-corrected, so it includes adhering mineral soil and is too high. Set ASH_CORRECTED once you have done it. ","")&amp;IF(AND(ASH_CORRECTED="Yes",NOT(ISNUMBER($H789))),"Ash correction is switched on but no ash fraction is given for this row. ","")&amp;IF($I789="","Sieve mesh not recorded — a fine-root figure cannot be interpreted without it. ","")&amp;IF(AND(ISNUMBER($H789),$H789&gt;0.5),"Ash fraction above 0.5 — over half this sample was mineral soil. Re-wash. ","")&amp;IF($F789="Not separated","Live and dead not separated. Fine for a stock, but "&amp;"note it in reporting. ",""))</f>
        <v/>
      </c>
      <c r="P789" s="6" t="n"/>
      <c r="Q789" s="9">
        <f>IF($B789="",0,IF(COUNTIFS($B$5:$B789,$B789)=1,1,0))</f>
        <v/>
      </c>
    </row>
    <row r="790">
      <c r="A790" s="6" t="n"/>
      <c r="B790" s="6" t="n"/>
      <c r="C790" s="6" t="n"/>
      <c r="D790" s="6" t="n"/>
      <c r="E790" s="6" t="n"/>
      <c r="F790" s="6" t="n"/>
      <c r="G790" s="7" t="n"/>
      <c r="H790" s="7" t="n"/>
      <c r="I790" s="6" t="n"/>
      <c r="J790" s="9">
        <f>IF(NOT(ISNUMBER($G790)),"",IF(AND(ASH_CORRECTED="Yes",ISNUMBER($H790)),$G790*(1-$H790),$G790))</f>
        <v/>
      </c>
      <c r="K790" s="9">
        <f>IF($B790="","",IFERROR(AVERAGEIFS('2. Soil Data'!$G$5:$G$604,'2. Soil Data'!$B$5:$B$604,$B790),""))</f>
        <v/>
      </c>
      <c r="L790" s="9">
        <f>IF(NOT(ISNUMBER($K790)),"",PI()*($K790/2)^2)</f>
        <v/>
      </c>
      <c r="M790" s="9">
        <f>IF(OR(NOT(ISNUMBER($J790)),NOT(ISNUMBER($L790)),$L790=0),"",$J790/$L790*10000)</f>
        <v/>
      </c>
      <c r="N790" s="9">
        <f>IF(NOT(ISNUMBER($M790)),"",$M790*CARBON_FRACTION_ROOT/1000)</f>
        <v/>
      </c>
      <c r="O790" s="11">
        <f>IF(AND($A790="",$B790="",$G790=""),"",IF(AND($B790&lt;&gt;"",COUNTIFS('2. Soil Data'!$B$5:$B$604,$B790)=0),"Core ID not found in Soil Data, so the corer diameter cannot be looked up. ","")&amp;IF(ASH_CORRECTED&lt;&gt;"Yes","Root mass is NOT ash-corrected, so it includes adhering mineral soil and is too high. Set ASH_CORRECTED once you have done it. ","")&amp;IF(AND(ASH_CORRECTED="Yes",NOT(ISNUMBER($H790))),"Ash correction is switched on but no ash fraction is given for this row. ","")&amp;IF($I790="","Sieve mesh not recorded — a fine-root figure cannot be interpreted without it. ","")&amp;IF(AND(ISNUMBER($H790),$H790&gt;0.5),"Ash fraction above 0.5 — over half this sample was mineral soil. Re-wash. ","")&amp;IF($F790="Not separated","Live and dead not separated. Fine for a stock, but "&amp;"note it in reporting. ",""))</f>
        <v/>
      </c>
      <c r="P790" s="6" t="n"/>
      <c r="Q790" s="9">
        <f>IF($B790="",0,IF(COUNTIFS($B$5:$B790,$B790)=1,1,0))</f>
        <v/>
      </c>
    </row>
    <row r="791">
      <c r="A791" s="6" t="n"/>
      <c r="B791" s="6" t="n"/>
      <c r="C791" s="6" t="n"/>
      <c r="D791" s="6" t="n"/>
      <c r="E791" s="6" t="n"/>
      <c r="F791" s="6" t="n"/>
      <c r="G791" s="7" t="n"/>
      <c r="H791" s="7" t="n"/>
      <c r="I791" s="6" t="n"/>
      <c r="J791" s="9">
        <f>IF(NOT(ISNUMBER($G791)),"",IF(AND(ASH_CORRECTED="Yes",ISNUMBER($H791)),$G791*(1-$H791),$G791))</f>
        <v/>
      </c>
      <c r="K791" s="9">
        <f>IF($B791="","",IFERROR(AVERAGEIFS('2. Soil Data'!$G$5:$G$604,'2. Soil Data'!$B$5:$B$604,$B791),""))</f>
        <v/>
      </c>
      <c r="L791" s="9">
        <f>IF(NOT(ISNUMBER($K791)),"",PI()*($K791/2)^2)</f>
        <v/>
      </c>
      <c r="M791" s="9">
        <f>IF(OR(NOT(ISNUMBER($J791)),NOT(ISNUMBER($L791)),$L791=0),"",$J791/$L791*10000)</f>
        <v/>
      </c>
      <c r="N791" s="9">
        <f>IF(NOT(ISNUMBER($M791)),"",$M791*CARBON_FRACTION_ROOT/1000)</f>
        <v/>
      </c>
      <c r="O791" s="11">
        <f>IF(AND($A791="",$B791="",$G791=""),"",IF(AND($B791&lt;&gt;"",COUNTIFS('2. Soil Data'!$B$5:$B$604,$B791)=0),"Core ID not found in Soil Data, so the corer diameter cannot be looked up. ","")&amp;IF(ASH_CORRECTED&lt;&gt;"Yes","Root mass is NOT ash-corrected, so it includes adhering mineral soil and is too high. Set ASH_CORRECTED once you have done it. ","")&amp;IF(AND(ASH_CORRECTED="Yes",NOT(ISNUMBER($H791))),"Ash correction is switched on but no ash fraction is given for this row. ","")&amp;IF($I791="","Sieve mesh not recorded — a fine-root figure cannot be interpreted without it. ","")&amp;IF(AND(ISNUMBER($H791),$H791&gt;0.5),"Ash fraction above 0.5 — over half this sample was mineral soil. Re-wash. ","")&amp;IF($F791="Not separated","Live and dead not separated. Fine for a stock, but "&amp;"note it in reporting. ",""))</f>
        <v/>
      </c>
      <c r="P791" s="6" t="n"/>
      <c r="Q791" s="9">
        <f>IF($B791="",0,IF(COUNTIFS($B$5:$B791,$B791)=1,1,0))</f>
        <v/>
      </c>
    </row>
    <row r="792">
      <c r="A792" s="6" t="n"/>
      <c r="B792" s="6" t="n"/>
      <c r="C792" s="6" t="n"/>
      <c r="D792" s="6" t="n"/>
      <c r="E792" s="6" t="n"/>
      <c r="F792" s="6" t="n"/>
      <c r="G792" s="7" t="n"/>
      <c r="H792" s="7" t="n"/>
      <c r="I792" s="6" t="n"/>
      <c r="J792" s="9">
        <f>IF(NOT(ISNUMBER($G792)),"",IF(AND(ASH_CORRECTED="Yes",ISNUMBER($H792)),$G792*(1-$H792),$G792))</f>
        <v/>
      </c>
      <c r="K792" s="9">
        <f>IF($B792="","",IFERROR(AVERAGEIFS('2. Soil Data'!$G$5:$G$604,'2. Soil Data'!$B$5:$B$604,$B792),""))</f>
        <v/>
      </c>
      <c r="L792" s="9">
        <f>IF(NOT(ISNUMBER($K792)),"",PI()*($K792/2)^2)</f>
        <v/>
      </c>
      <c r="M792" s="9">
        <f>IF(OR(NOT(ISNUMBER($J792)),NOT(ISNUMBER($L792)),$L792=0),"",$J792/$L792*10000)</f>
        <v/>
      </c>
      <c r="N792" s="9">
        <f>IF(NOT(ISNUMBER($M792)),"",$M792*CARBON_FRACTION_ROOT/1000)</f>
        <v/>
      </c>
      <c r="O792" s="11">
        <f>IF(AND($A792="",$B792="",$G792=""),"",IF(AND($B792&lt;&gt;"",COUNTIFS('2. Soil Data'!$B$5:$B$604,$B792)=0),"Core ID not found in Soil Data, so the corer diameter cannot be looked up. ","")&amp;IF(ASH_CORRECTED&lt;&gt;"Yes","Root mass is NOT ash-corrected, so it includes adhering mineral soil and is too high. Set ASH_CORRECTED once you have done it. ","")&amp;IF(AND(ASH_CORRECTED="Yes",NOT(ISNUMBER($H792))),"Ash correction is switched on but no ash fraction is given for this row. ","")&amp;IF($I792="","Sieve mesh not recorded — a fine-root figure cannot be interpreted without it. ","")&amp;IF(AND(ISNUMBER($H792),$H792&gt;0.5),"Ash fraction above 0.5 — over half this sample was mineral soil. Re-wash. ","")&amp;IF($F792="Not separated","Live and dead not separated. Fine for a stock, but "&amp;"note it in reporting. ",""))</f>
        <v/>
      </c>
      <c r="P792" s="6" t="n"/>
      <c r="Q792" s="9">
        <f>IF($B792="",0,IF(COUNTIFS($B$5:$B792,$B792)=1,1,0))</f>
        <v/>
      </c>
    </row>
    <row r="793">
      <c r="A793" s="6" t="n"/>
      <c r="B793" s="6" t="n"/>
      <c r="C793" s="6" t="n"/>
      <c r="D793" s="6" t="n"/>
      <c r="E793" s="6" t="n"/>
      <c r="F793" s="6" t="n"/>
      <c r="G793" s="7" t="n"/>
      <c r="H793" s="7" t="n"/>
      <c r="I793" s="6" t="n"/>
      <c r="J793" s="9">
        <f>IF(NOT(ISNUMBER($G793)),"",IF(AND(ASH_CORRECTED="Yes",ISNUMBER($H793)),$G793*(1-$H793),$G793))</f>
        <v/>
      </c>
      <c r="K793" s="9">
        <f>IF($B793="","",IFERROR(AVERAGEIFS('2. Soil Data'!$G$5:$G$604,'2. Soil Data'!$B$5:$B$604,$B793),""))</f>
        <v/>
      </c>
      <c r="L793" s="9">
        <f>IF(NOT(ISNUMBER($K793)),"",PI()*($K793/2)^2)</f>
        <v/>
      </c>
      <c r="M793" s="9">
        <f>IF(OR(NOT(ISNUMBER($J793)),NOT(ISNUMBER($L793)),$L793=0),"",$J793/$L793*10000)</f>
        <v/>
      </c>
      <c r="N793" s="9">
        <f>IF(NOT(ISNUMBER($M793)),"",$M793*CARBON_FRACTION_ROOT/1000)</f>
        <v/>
      </c>
      <c r="O793" s="11">
        <f>IF(AND($A793="",$B793="",$G793=""),"",IF(AND($B793&lt;&gt;"",COUNTIFS('2. Soil Data'!$B$5:$B$604,$B793)=0),"Core ID not found in Soil Data, so the corer diameter cannot be looked up. ","")&amp;IF(ASH_CORRECTED&lt;&gt;"Yes","Root mass is NOT ash-corrected, so it includes adhering mineral soil and is too high. Set ASH_CORRECTED once you have done it. ","")&amp;IF(AND(ASH_CORRECTED="Yes",NOT(ISNUMBER($H793))),"Ash correction is switched on but no ash fraction is given for this row. ","")&amp;IF($I793="","Sieve mesh not recorded — a fine-root figure cannot be interpreted without it. ","")&amp;IF(AND(ISNUMBER($H793),$H793&gt;0.5),"Ash fraction above 0.5 — over half this sample was mineral soil. Re-wash. ","")&amp;IF($F793="Not separated","Live and dead not separated. Fine for a stock, but "&amp;"note it in reporting. ",""))</f>
        <v/>
      </c>
      <c r="P793" s="6" t="n"/>
      <c r="Q793" s="9">
        <f>IF($B793="",0,IF(COUNTIFS($B$5:$B793,$B793)=1,1,0))</f>
        <v/>
      </c>
    </row>
    <row r="794">
      <c r="A794" s="6" t="n"/>
      <c r="B794" s="6" t="n"/>
      <c r="C794" s="6" t="n"/>
      <c r="D794" s="6" t="n"/>
      <c r="E794" s="6" t="n"/>
      <c r="F794" s="6" t="n"/>
      <c r="G794" s="7" t="n"/>
      <c r="H794" s="7" t="n"/>
      <c r="I794" s="6" t="n"/>
      <c r="J794" s="9">
        <f>IF(NOT(ISNUMBER($G794)),"",IF(AND(ASH_CORRECTED="Yes",ISNUMBER($H794)),$G794*(1-$H794),$G794))</f>
        <v/>
      </c>
      <c r="K794" s="9">
        <f>IF($B794="","",IFERROR(AVERAGEIFS('2. Soil Data'!$G$5:$G$604,'2. Soil Data'!$B$5:$B$604,$B794),""))</f>
        <v/>
      </c>
      <c r="L794" s="9">
        <f>IF(NOT(ISNUMBER($K794)),"",PI()*($K794/2)^2)</f>
        <v/>
      </c>
      <c r="M794" s="9">
        <f>IF(OR(NOT(ISNUMBER($J794)),NOT(ISNUMBER($L794)),$L794=0),"",$J794/$L794*10000)</f>
        <v/>
      </c>
      <c r="N794" s="9">
        <f>IF(NOT(ISNUMBER($M794)),"",$M794*CARBON_FRACTION_ROOT/1000)</f>
        <v/>
      </c>
      <c r="O794" s="11">
        <f>IF(AND($A794="",$B794="",$G794=""),"",IF(AND($B794&lt;&gt;"",COUNTIFS('2. Soil Data'!$B$5:$B$604,$B794)=0),"Core ID not found in Soil Data, so the corer diameter cannot be looked up. ","")&amp;IF(ASH_CORRECTED&lt;&gt;"Yes","Root mass is NOT ash-corrected, so it includes adhering mineral soil and is too high. Set ASH_CORRECTED once you have done it. ","")&amp;IF(AND(ASH_CORRECTED="Yes",NOT(ISNUMBER($H794))),"Ash correction is switched on but no ash fraction is given for this row. ","")&amp;IF($I794="","Sieve mesh not recorded — a fine-root figure cannot be interpreted without it. ","")&amp;IF(AND(ISNUMBER($H794),$H794&gt;0.5),"Ash fraction above 0.5 — over half this sample was mineral soil. Re-wash. ","")&amp;IF($F794="Not separated","Live and dead not separated. Fine for a stock, but "&amp;"note it in reporting. ",""))</f>
        <v/>
      </c>
      <c r="P794" s="6" t="n"/>
      <c r="Q794" s="9">
        <f>IF($B794="",0,IF(COUNTIFS($B$5:$B794,$B794)=1,1,0))</f>
        <v/>
      </c>
    </row>
    <row r="795">
      <c r="A795" s="6" t="n"/>
      <c r="B795" s="6" t="n"/>
      <c r="C795" s="6" t="n"/>
      <c r="D795" s="6" t="n"/>
      <c r="E795" s="6" t="n"/>
      <c r="F795" s="6" t="n"/>
      <c r="G795" s="7" t="n"/>
      <c r="H795" s="7" t="n"/>
      <c r="I795" s="6" t="n"/>
      <c r="J795" s="9">
        <f>IF(NOT(ISNUMBER($G795)),"",IF(AND(ASH_CORRECTED="Yes",ISNUMBER($H795)),$G795*(1-$H795),$G795))</f>
        <v/>
      </c>
      <c r="K795" s="9">
        <f>IF($B795="","",IFERROR(AVERAGEIFS('2. Soil Data'!$G$5:$G$604,'2. Soil Data'!$B$5:$B$604,$B795),""))</f>
        <v/>
      </c>
      <c r="L795" s="9">
        <f>IF(NOT(ISNUMBER($K795)),"",PI()*($K795/2)^2)</f>
        <v/>
      </c>
      <c r="M795" s="9">
        <f>IF(OR(NOT(ISNUMBER($J795)),NOT(ISNUMBER($L795)),$L795=0),"",$J795/$L795*10000)</f>
        <v/>
      </c>
      <c r="N795" s="9">
        <f>IF(NOT(ISNUMBER($M795)),"",$M795*CARBON_FRACTION_ROOT/1000)</f>
        <v/>
      </c>
      <c r="O795" s="11">
        <f>IF(AND($A795="",$B795="",$G795=""),"",IF(AND($B795&lt;&gt;"",COUNTIFS('2. Soil Data'!$B$5:$B$604,$B795)=0),"Core ID not found in Soil Data, so the corer diameter cannot be looked up. ","")&amp;IF(ASH_CORRECTED&lt;&gt;"Yes","Root mass is NOT ash-corrected, so it includes adhering mineral soil and is too high. Set ASH_CORRECTED once you have done it. ","")&amp;IF(AND(ASH_CORRECTED="Yes",NOT(ISNUMBER($H795))),"Ash correction is switched on but no ash fraction is given for this row. ","")&amp;IF($I795="","Sieve mesh not recorded — a fine-root figure cannot be interpreted without it. ","")&amp;IF(AND(ISNUMBER($H795),$H795&gt;0.5),"Ash fraction above 0.5 — over half this sample was mineral soil. Re-wash. ","")&amp;IF($F795="Not separated","Live and dead not separated. Fine for a stock, but "&amp;"note it in reporting. ",""))</f>
        <v/>
      </c>
      <c r="P795" s="6" t="n"/>
      <c r="Q795" s="9">
        <f>IF($B795="",0,IF(COUNTIFS($B$5:$B795,$B795)=1,1,0))</f>
        <v/>
      </c>
    </row>
    <row r="796">
      <c r="A796" s="6" t="n"/>
      <c r="B796" s="6" t="n"/>
      <c r="C796" s="6" t="n"/>
      <c r="D796" s="6" t="n"/>
      <c r="E796" s="6" t="n"/>
      <c r="F796" s="6" t="n"/>
      <c r="G796" s="7" t="n"/>
      <c r="H796" s="7" t="n"/>
      <c r="I796" s="6" t="n"/>
      <c r="J796" s="9">
        <f>IF(NOT(ISNUMBER($G796)),"",IF(AND(ASH_CORRECTED="Yes",ISNUMBER($H796)),$G796*(1-$H796),$G796))</f>
        <v/>
      </c>
      <c r="K796" s="9">
        <f>IF($B796="","",IFERROR(AVERAGEIFS('2. Soil Data'!$G$5:$G$604,'2. Soil Data'!$B$5:$B$604,$B796),""))</f>
        <v/>
      </c>
      <c r="L796" s="9">
        <f>IF(NOT(ISNUMBER($K796)),"",PI()*($K796/2)^2)</f>
        <v/>
      </c>
      <c r="M796" s="9">
        <f>IF(OR(NOT(ISNUMBER($J796)),NOT(ISNUMBER($L796)),$L796=0),"",$J796/$L796*10000)</f>
        <v/>
      </c>
      <c r="N796" s="9">
        <f>IF(NOT(ISNUMBER($M796)),"",$M796*CARBON_FRACTION_ROOT/1000)</f>
        <v/>
      </c>
      <c r="O796" s="11">
        <f>IF(AND($A796="",$B796="",$G796=""),"",IF(AND($B796&lt;&gt;"",COUNTIFS('2. Soil Data'!$B$5:$B$604,$B796)=0),"Core ID not found in Soil Data, so the corer diameter cannot be looked up. ","")&amp;IF(ASH_CORRECTED&lt;&gt;"Yes","Root mass is NOT ash-corrected, so it includes adhering mineral soil and is too high. Set ASH_CORRECTED once you have done it. ","")&amp;IF(AND(ASH_CORRECTED="Yes",NOT(ISNUMBER($H796))),"Ash correction is switched on but no ash fraction is given for this row. ","")&amp;IF($I796="","Sieve mesh not recorded — a fine-root figure cannot be interpreted without it. ","")&amp;IF(AND(ISNUMBER($H796),$H796&gt;0.5),"Ash fraction above 0.5 — over half this sample was mineral soil. Re-wash. ","")&amp;IF($F796="Not separated","Live and dead not separated. Fine for a stock, but "&amp;"note it in reporting. ",""))</f>
        <v/>
      </c>
      <c r="P796" s="6" t="n"/>
      <c r="Q796" s="9">
        <f>IF($B796="",0,IF(COUNTIFS($B$5:$B796,$B796)=1,1,0))</f>
        <v/>
      </c>
    </row>
    <row r="797">
      <c r="A797" s="6" t="n"/>
      <c r="B797" s="6" t="n"/>
      <c r="C797" s="6" t="n"/>
      <c r="D797" s="6" t="n"/>
      <c r="E797" s="6" t="n"/>
      <c r="F797" s="6" t="n"/>
      <c r="G797" s="7" t="n"/>
      <c r="H797" s="7" t="n"/>
      <c r="I797" s="6" t="n"/>
      <c r="J797" s="9">
        <f>IF(NOT(ISNUMBER($G797)),"",IF(AND(ASH_CORRECTED="Yes",ISNUMBER($H797)),$G797*(1-$H797),$G797))</f>
        <v/>
      </c>
      <c r="K797" s="9">
        <f>IF($B797="","",IFERROR(AVERAGEIFS('2. Soil Data'!$G$5:$G$604,'2. Soil Data'!$B$5:$B$604,$B797),""))</f>
        <v/>
      </c>
      <c r="L797" s="9">
        <f>IF(NOT(ISNUMBER($K797)),"",PI()*($K797/2)^2)</f>
        <v/>
      </c>
      <c r="M797" s="9">
        <f>IF(OR(NOT(ISNUMBER($J797)),NOT(ISNUMBER($L797)),$L797=0),"",$J797/$L797*10000)</f>
        <v/>
      </c>
      <c r="N797" s="9">
        <f>IF(NOT(ISNUMBER($M797)),"",$M797*CARBON_FRACTION_ROOT/1000)</f>
        <v/>
      </c>
      <c r="O797" s="11">
        <f>IF(AND($A797="",$B797="",$G797=""),"",IF(AND($B797&lt;&gt;"",COUNTIFS('2. Soil Data'!$B$5:$B$604,$B797)=0),"Core ID not found in Soil Data, so the corer diameter cannot be looked up. ","")&amp;IF(ASH_CORRECTED&lt;&gt;"Yes","Root mass is NOT ash-corrected, so it includes adhering mineral soil and is too high. Set ASH_CORRECTED once you have done it. ","")&amp;IF(AND(ASH_CORRECTED="Yes",NOT(ISNUMBER($H797))),"Ash correction is switched on but no ash fraction is given for this row. ","")&amp;IF($I797="","Sieve mesh not recorded — a fine-root figure cannot be interpreted without it. ","")&amp;IF(AND(ISNUMBER($H797),$H797&gt;0.5),"Ash fraction above 0.5 — over half this sample was mineral soil. Re-wash. ","")&amp;IF($F797="Not separated","Live and dead not separated. Fine for a stock, but "&amp;"note it in reporting. ",""))</f>
        <v/>
      </c>
      <c r="P797" s="6" t="n"/>
      <c r="Q797" s="9">
        <f>IF($B797="",0,IF(COUNTIFS($B$5:$B797,$B797)=1,1,0))</f>
        <v/>
      </c>
    </row>
    <row r="798">
      <c r="A798" s="6" t="n"/>
      <c r="B798" s="6" t="n"/>
      <c r="C798" s="6" t="n"/>
      <c r="D798" s="6" t="n"/>
      <c r="E798" s="6" t="n"/>
      <c r="F798" s="6" t="n"/>
      <c r="G798" s="7" t="n"/>
      <c r="H798" s="7" t="n"/>
      <c r="I798" s="6" t="n"/>
      <c r="J798" s="9">
        <f>IF(NOT(ISNUMBER($G798)),"",IF(AND(ASH_CORRECTED="Yes",ISNUMBER($H798)),$G798*(1-$H798),$G798))</f>
        <v/>
      </c>
      <c r="K798" s="9">
        <f>IF($B798="","",IFERROR(AVERAGEIFS('2. Soil Data'!$G$5:$G$604,'2. Soil Data'!$B$5:$B$604,$B798),""))</f>
        <v/>
      </c>
      <c r="L798" s="9">
        <f>IF(NOT(ISNUMBER($K798)),"",PI()*($K798/2)^2)</f>
        <v/>
      </c>
      <c r="M798" s="9">
        <f>IF(OR(NOT(ISNUMBER($J798)),NOT(ISNUMBER($L798)),$L798=0),"",$J798/$L798*10000)</f>
        <v/>
      </c>
      <c r="N798" s="9">
        <f>IF(NOT(ISNUMBER($M798)),"",$M798*CARBON_FRACTION_ROOT/1000)</f>
        <v/>
      </c>
      <c r="O798" s="11">
        <f>IF(AND($A798="",$B798="",$G798=""),"",IF(AND($B798&lt;&gt;"",COUNTIFS('2. Soil Data'!$B$5:$B$604,$B798)=0),"Core ID not found in Soil Data, so the corer diameter cannot be looked up. ","")&amp;IF(ASH_CORRECTED&lt;&gt;"Yes","Root mass is NOT ash-corrected, so it includes adhering mineral soil and is too high. Set ASH_CORRECTED once you have done it. ","")&amp;IF(AND(ASH_CORRECTED="Yes",NOT(ISNUMBER($H798))),"Ash correction is switched on but no ash fraction is given for this row. ","")&amp;IF($I798="","Sieve mesh not recorded — a fine-root figure cannot be interpreted without it. ","")&amp;IF(AND(ISNUMBER($H798),$H798&gt;0.5),"Ash fraction above 0.5 — over half this sample was mineral soil. Re-wash. ","")&amp;IF($F798="Not separated","Live and dead not separated. Fine for a stock, but "&amp;"note it in reporting. ",""))</f>
        <v/>
      </c>
      <c r="P798" s="6" t="n"/>
      <c r="Q798" s="9">
        <f>IF($B798="",0,IF(COUNTIFS($B$5:$B798,$B798)=1,1,0))</f>
        <v/>
      </c>
    </row>
    <row r="799">
      <c r="A799" s="6" t="n"/>
      <c r="B799" s="6" t="n"/>
      <c r="C799" s="6" t="n"/>
      <c r="D799" s="6" t="n"/>
      <c r="E799" s="6" t="n"/>
      <c r="F799" s="6" t="n"/>
      <c r="G799" s="7" t="n"/>
      <c r="H799" s="7" t="n"/>
      <c r="I799" s="6" t="n"/>
      <c r="J799" s="9">
        <f>IF(NOT(ISNUMBER($G799)),"",IF(AND(ASH_CORRECTED="Yes",ISNUMBER($H799)),$G799*(1-$H799),$G799))</f>
        <v/>
      </c>
      <c r="K799" s="9">
        <f>IF($B799="","",IFERROR(AVERAGEIFS('2. Soil Data'!$G$5:$G$604,'2. Soil Data'!$B$5:$B$604,$B799),""))</f>
        <v/>
      </c>
      <c r="L799" s="9">
        <f>IF(NOT(ISNUMBER($K799)),"",PI()*($K799/2)^2)</f>
        <v/>
      </c>
      <c r="M799" s="9">
        <f>IF(OR(NOT(ISNUMBER($J799)),NOT(ISNUMBER($L799)),$L799=0),"",$J799/$L799*10000)</f>
        <v/>
      </c>
      <c r="N799" s="9">
        <f>IF(NOT(ISNUMBER($M799)),"",$M799*CARBON_FRACTION_ROOT/1000)</f>
        <v/>
      </c>
      <c r="O799" s="11">
        <f>IF(AND($A799="",$B799="",$G799=""),"",IF(AND($B799&lt;&gt;"",COUNTIFS('2. Soil Data'!$B$5:$B$604,$B799)=0),"Core ID not found in Soil Data, so the corer diameter cannot be looked up. ","")&amp;IF(ASH_CORRECTED&lt;&gt;"Yes","Root mass is NOT ash-corrected, so it includes adhering mineral soil and is too high. Set ASH_CORRECTED once you have done it. ","")&amp;IF(AND(ASH_CORRECTED="Yes",NOT(ISNUMBER($H799))),"Ash correction is switched on but no ash fraction is given for this row. ","")&amp;IF($I799="","Sieve mesh not recorded — a fine-root figure cannot be interpreted without it. ","")&amp;IF(AND(ISNUMBER($H799),$H799&gt;0.5),"Ash fraction above 0.5 — over half this sample was mineral soil. Re-wash. ","")&amp;IF($F799="Not separated","Live and dead not separated. Fine for a stock, but "&amp;"note it in reporting. ",""))</f>
        <v/>
      </c>
      <c r="P799" s="6" t="n"/>
      <c r="Q799" s="9">
        <f>IF($B799="",0,IF(COUNTIFS($B$5:$B799,$B799)=1,1,0))</f>
        <v/>
      </c>
    </row>
    <row r="800">
      <c r="A800" s="6" t="n"/>
      <c r="B800" s="6" t="n"/>
      <c r="C800" s="6" t="n"/>
      <c r="D800" s="6" t="n"/>
      <c r="E800" s="6" t="n"/>
      <c r="F800" s="6" t="n"/>
      <c r="G800" s="7" t="n"/>
      <c r="H800" s="7" t="n"/>
      <c r="I800" s="6" t="n"/>
      <c r="J800" s="9">
        <f>IF(NOT(ISNUMBER($G800)),"",IF(AND(ASH_CORRECTED="Yes",ISNUMBER($H800)),$G800*(1-$H800),$G800))</f>
        <v/>
      </c>
      <c r="K800" s="9">
        <f>IF($B800="","",IFERROR(AVERAGEIFS('2. Soil Data'!$G$5:$G$604,'2. Soil Data'!$B$5:$B$604,$B800),""))</f>
        <v/>
      </c>
      <c r="L800" s="9">
        <f>IF(NOT(ISNUMBER($K800)),"",PI()*($K800/2)^2)</f>
        <v/>
      </c>
      <c r="M800" s="9">
        <f>IF(OR(NOT(ISNUMBER($J800)),NOT(ISNUMBER($L800)),$L800=0),"",$J800/$L800*10000)</f>
        <v/>
      </c>
      <c r="N800" s="9">
        <f>IF(NOT(ISNUMBER($M800)),"",$M800*CARBON_FRACTION_ROOT/1000)</f>
        <v/>
      </c>
      <c r="O800" s="11">
        <f>IF(AND($A800="",$B800="",$G800=""),"",IF(AND($B800&lt;&gt;"",COUNTIFS('2. Soil Data'!$B$5:$B$604,$B800)=0),"Core ID not found in Soil Data, so the corer diameter cannot be looked up. ","")&amp;IF(ASH_CORRECTED&lt;&gt;"Yes","Root mass is NOT ash-corrected, so it includes adhering mineral soil and is too high. Set ASH_CORRECTED once you have done it. ","")&amp;IF(AND(ASH_CORRECTED="Yes",NOT(ISNUMBER($H800))),"Ash correction is switched on but no ash fraction is given for this row. ","")&amp;IF($I800="","Sieve mesh not recorded — a fine-root figure cannot be interpreted without it. ","")&amp;IF(AND(ISNUMBER($H800),$H800&gt;0.5),"Ash fraction above 0.5 — over half this sample was mineral soil. Re-wash. ","")&amp;IF($F800="Not separated","Live and dead not separated. Fine for a stock, but "&amp;"note it in reporting. ",""))</f>
        <v/>
      </c>
      <c r="P800" s="6" t="n"/>
      <c r="Q800" s="9">
        <f>IF($B800="",0,IF(COUNTIFS($B$5:$B800,$B800)=1,1,0))</f>
        <v/>
      </c>
    </row>
    <row r="801">
      <c r="A801" s="6" t="n"/>
      <c r="B801" s="6" t="n"/>
      <c r="C801" s="6" t="n"/>
      <c r="D801" s="6" t="n"/>
      <c r="E801" s="6" t="n"/>
      <c r="F801" s="6" t="n"/>
      <c r="G801" s="7" t="n"/>
      <c r="H801" s="7" t="n"/>
      <c r="I801" s="6" t="n"/>
      <c r="J801" s="9">
        <f>IF(NOT(ISNUMBER($G801)),"",IF(AND(ASH_CORRECTED="Yes",ISNUMBER($H801)),$G801*(1-$H801),$G801))</f>
        <v/>
      </c>
      <c r="K801" s="9">
        <f>IF($B801="","",IFERROR(AVERAGEIFS('2. Soil Data'!$G$5:$G$604,'2. Soil Data'!$B$5:$B$604,$B801),""))</f>
        <v/>
      </c>
      <c r="L801" s="9">
        <f>IF(NOT(ISNUMBER($K801)),"",PI()*($K801/2)^2)</f>
        <v/>
      </c>
      <c r="M801" s="9">
        <f>IF(OR(NOT(ISNUMBER($J801)),NOT(ISNUMBER($L801)),$L801=0),"",$J801/$L801*10000)</f>
        <v/>
      </c>
      <c r="N801" s="9">
        <f>IF(NOT(ISNUMBER($M801)),"",$M801*CARBON_FRACTION_ROOT/1000)</f>
        <v/>
      </c>
      <c r="O801" s="11">
        <f>IF(AND($A801="",$B801="",$G801=""),"",IF(AND($B801&lt;&gt;"",COUNTIFS('2. Soil Data'!$B$5:$B$604,$B801)=0),"Core ID not found in Soil Data, so the corer diameter cannot be looked up. ","")&amp;IF(ASH_CORRECTED&lt;&gt;"Yes","Root mass is NOT ash-corrected, so it includes adhering mineral soil and is too high. Set ASH_CORRECTED once you have done it. ","")&amp;IF(AND(ASH_CORRECTED="Yes",NOT(ISNUMBER($H801))),"Ash correction is switched on but no ash fraction is given for this row. ","")&amp;IF($I801="","Sieve mesh not recorded — a fine-root figure cannot be interpreted without it. ","")&amp;IF(AND(ISNUMBER($H801),$H801&gt;0.5),"Ash fraction above 0.5 — over half this sample was mineral soil. Re-wash. ","")&amp;IF($F801="Not separated","Live and dead not separated. Fine for a stock, but "&amp;"note it in reporting. ",""))</f>
        <v/>
      </c>
      <c r="P801" s="6" t="n"/>
      <c r="Q801" s="9">
        <f>IF($B801="",0,IF(COUNTIFS($B$5:$B801,$B801)=1,1,0))</f>
        <v/>
      </c>
    </row>
    <row r="802">
      <c r="A802" s="6" t="n"/>
      <c r="B802" s="6" t="n"/>
      <c r="C802" s="6" t="n"/>
      <c r="D802" s="6" t="n"/>
      <c r="E802" s="6" t="n"/>
      <c r="F802" s="6" t="n"/>
      <c r="G802" s="7" t="n"/>
      <c r="H802" s="7" t="n"/>
      <c r="I802" s="6" t="n"/>
      <c r="J802" s="9">
        <f>IF(NOT(ISNUMBER($G802)),"",IF(AND(ASH_CORRECTED="Yes",ISNUMBER($H802)),$G802*(1-$H802),$G802))</f>
        <v/>
      </c>
      <c r="K802" s="9">
        <f>IF($B802="","",IFERROR(AVERAGEIFS('2. Soil Data'!$G$5:$G$604,'2. Soil Data'!$B$5:$B$604,$B802),""))</f>
        <v/>
      </c>
      <c r="L802" s="9">
        <f>IF(NOT(ISNUMBER($K802)),"",PI()*($K802/2)^2)</f>
        <v/>
      </c>
      <c r="M802" s="9">
        <f>IF(OR(NOT(ISNUMBER($J802)),NOT(ISNUMBER($L802)),$L802=0),"",$J802/$L802*10000)</f>
        <v/>
      </c>
      <c r="N802" s="9">
        <f>IF(NOT(ISNUMBER($M802)),"",$M802*CARBON_FRACTION_ROOT/1000)</f>
        <v/>
      </c>
      <c r="O802" s="11">
        <f>IF(AND($A802="",$B802="",$G802=""),"",IF(AND($B802&lt;&gt;"",COUNTIFS('2. Soil Data'!$B$5:$B$604,$B802)=0),"Core ID not found in Soil Data, so the corer diameter cannot be looked up. ","")&amp;IF(ASH_CORRECTED&lt;&gt;"Yes","Root mass is NOT ash-corrected, so it includes adhering mineral soil and is too high. Set ASH_CORRECTED once you have done it. ","")&amp;IF(AND(ASH_CORRECTED="Yes",NOT(ISNUMBER($H802))),"Ash correction is switched on but no ash fraction is given for this row. ","")&amp;IF($I802="","Sieve mesh not recorded — a fine-root figure cannot be interpreted without it. ","")&amp;IF(AND(ISNUMBER($H802),$H802&gt;0.5),"Ash fraction above 0.5 — over half this sample was mineral soil. Re-wash. ","")&amp;IF($F802="Not separated","Live and dead not separated. Fine for a stock, but "&amp;"note it in reporting. ",""))</f>
        <v/>
      </c>
      <c r="P802" s="6" t="n"/>
      <c r="Q802" s="9">
        <f>IF($B802="",0,IF(COUNTIFS($B$5:$B802,$B802)=1,1,0))</f>
        <v/>
      </c>
    </row>
    <row r="803">
      <c r="A803" s="6" t="n"/>
      <c r="B803" s="6" t="n"/>
      <c r="C803" s="6" t="n"/>
      <c r="D803" s="6" t="n"/>
      <c r="E803" s="6" t="n"/>
      <c r="F803" s="6" t="n"/>
      <c r="G803" s="7" t="n"/>
      <c r="H803" s="7" t="n"/>
      <c r="I803" s="6" t="n"/>
      <c r="J803" s="9">
        <f>IF(NOT(ISNUMBER($G803)),"",IF(AND(ASH_CORRECTED="Yes",ISNUMBER($H803)),$G803*(1-$H803),$G803))</f>
        <v/>
      </c>
      <c r="K803" s="9">
        <f>IF($B803="","",IFERROR(AVERAGEIFS('2. Soil Data'!$G$5:$G$604,'2. Soil Data'!$B$5:$B$604,$B803),""))</f>
        <v/>
      </c>
      <c r="L803" s="9">
        <f>IF(NOT(ISNUMBER($K803)),"",PI()*($K803/2)^2)</f>
        <v/>
      </c>
      <c r="M803" s="9">
        <f>IF(OR(NOT(ISNUMBER($J803)),NOT(ISNUMBER($L803)),$L803=0),"",$J803/$L803*10000)</f>
        <v/>
      </c>
      <c r="N803" s="9">
        <f>IF(NOT(ISNUMBER($M803)),"",$M803*CARBON_FRACTION_ROOT/1000)</f>
        <v/>
      </c>
      <c r="O803" s="11">
        <f>IF(AND($A803="",$B803="",$G803=""),"",IF(AND($B803&lt;&gt;"",COUNTIFS('2. Soil Data'!$B$5:$B$604,$B803)=0),"Core ID not found in Soil Data, so the corer diameter cannot be looked up. ","")&amp;IF(ASH_CORRECTED&lt;&gt;"Yes","Root mass is NOT ash-corrected, so it includes adhering mineral soil and is too high. Set ASH_CORRECTED once you have done it. ","")&amp;IF(AND(ASH_CORRECTED="Yes",NOT(ISNUMBER($H803))),"Ash correction is switched on but no ash fraction is given for this row. ","")&amp;IF($I803="","Sieve mesh not recorded — a fine-root figure cannot be interpreted without it. ","")&amp;IF(AND(ISNUMBER($H803),$H803&gt;0.5),"Ash fraction above 0.5 — over half this sample was mineral soil. Re-wash. ","")&amp;IF($F803="Not separated","Live and dead not separated. Fine for a stock, but "&amp;"note it in reporting. ",""))</f>
        <v/>
      </c>
      <c r="P803" s="6" t="n"/>
      <c r="Q803" s="9">
        <f>IF($B803="",0,IF(COUNTIFS($B$5:$B803,$B803)=1,1,0))</f>
        <v/>
      </c>
    </row>
    <row r="804">
      <c r="A804" s="6" t="n"/>
      <c r="B804" s="6" t="n"/>
      <c r="C804" s="6" t="n"/>
      <c r="D804" s="6" t="n"/>
      <c r="E804" s="6" t="n"/>
      <c r="F804" s="6" t="n"/>
      <c r="G804" s="7" t="n"/>
      <c r="H804" s="7" t="n"/>
      <c r="I804" s="6" t="n"/>
      <c r="J804" s="9">
        <f>IF(NOT(ISNUMBER($G804)),"",IF(AND(ASH_CORRECTED="Yes",ISNUMBER($H804)),$G804*(1-$H804),$G804))</f>
        <v/>
      </c>
      <c r="K804" s="9">
        <f>IF($B804="","",IFERROR(AVERAGEIFS('2. Soil Data'!$G$5:$G$604,'2. Soil Data'!$B$5:$B$604,$B804),""))</f>
        <v/>
      </c>
      <c r="L804" s="9">
        <f>IF(NOT(ISNUMBER($K804)),"",PI()*($K804/2)^2)</f>
        <v/>
      </c>
      <c r="M804" s="9">
        <f>IF(OR(NOT(ISNUMBER($J804)),NOT(ISNUMBER($L804)),$L804=0),"",$J804/$L804*10000)</f>
        <v/>
      </c>
      <c r="N804" s="9">
        <f>IF(NOT(ISNUMBER($M804)),"",$M804*CARBON_FRACTION_ROOT/1000)</f>
        <v/>
      </c>
      <c r="O804" s="11">
        <f>IF(AND($A804="",$B804="",$G804=""),"",IF(AND($B804&lt;&gt;"",COUNTIFS('2. Soil Data'!$B$5:$B$604,$B804)=0),"Core ID not found in Soil Data, so the corer diameter cannot be looked up. ","")&amp;IF(ASH_CORRECTED&lt;&gt;"Yes","Root mass is NOT ash-corrected, so it includes adhering mineral soil and is too high. Set ASH_CORRECTED once you have done it. ","")&amp;IF(AND(ASH_CORRECTED="Yes",NOT(ISNUMBER($H804))),"Ash correction is switched on but no ash fraction is given for this row. ","")&amp;IF($I804="","Sieve mesh not recorded — a fine-root figure cannot be interpreted without it. ","")&amp;IF(AND(ISNUMBER($H804),$H804&gt;0.5),"Ash fraction above 0.5 — over half this sample was mineral soil. Re-wash. ","")&amp;IF($F804="Not separated","Live and dead not separated. Fine for a stock, but "&amp;"note it in reporting. ",""))</f>
        <v/>
      </c>
      <c r="P804" s="6" t="n"/>
      <c r="Q804" s="9">
        <f>IF($B804="",0,IF(COUNTIFS($B$5:$B804,$B804)=1,1,0))</f>
        <v/>
      </c>
    </row>
    <row r="805">
      <c r="A805" s="6" t="n"/>
      <c r="B805" s="6" t="n"/>
      <c r="C805" s="6" t="n"/>
      <c r="D805" s="6" t="n"/>
      <c r="E805" s="6" t="n"/>
      <c r="F805" s="6" t="n"/>
      <c r="G805" s="7" t="n"/>
      <c r="H805" s="7" t="n"/>
      <c r="I805" s="6" t="n"/>
      <c r="J805" s="9">
        <f>IF(NOT(ISNUMBER($G805)),"",IF(AND(ASH_CORRECTED="Yes",ISNUMBER($H805)),$G805*(1-$H805),$G805))</f>
        <v/>
      </c>
      <c r="K805" s="9">
        <f>IF($B805="","",IFERROR(AVERAGEIFS('2. Soil Data'!$G$5:$G$604,'2. Soil Data'!$B$5:$B$604,$B805),""))</f>
        <v/>
      </c>
      <c r="L805" s="9">
        <f>IF(NOT(ISNUMBER($K805)),"",PI()*($K805/2)^2)</f>
        <v/>
      </c>
      <c r="M805" s="9">
        <f>IF(OR(NOT(ISNUMBER($J805)),NOT(ISNUMBER($L805)),$L805=0),"",$J805/$L805*10000)</f>
        <v/>
      </c>
      <c r="N805" s="9">
        <f>IF(NOT(ISNUMBER($M805)),"",$M805*CARBON_FRACTION_ROOT/1000)</f>
        <v/>
      </c>
      <c r="O805" s="11">
        <f>IF(AND($A805="",$B805="",$G805=""),"",IF(AND($B805&lt;&gt;"",COUNTIFS('2. Soil Data'!$B$5:$B$604,$B805)=0),"Core ID not found in Soil Data, so the corer diameter cannot be looked up. ","")&amp;IF(ASH_CORRECTED&lt;&gt;"Yes","Root mass is NOT ash-corrected, so it includes adhering mineral soil and is too high. Set ASH_CORRECTED once you have done it. ","")&amp;IF(AND(ASH_CORRECTED="Yes",NOT(ISNUMBER($H805))),"Ash correction is switched on but no ash fraction is given for this row. ","")&amp;IF($I805="","Sieve mesh not recorded — a fine-root figure cannot be interpreted without it. ","")&amp;IF(AND(ISNUMBER($H805),$H805&gt;0.5),"Ash fraction above 0.5 — over half this sample was mineral soil. Re-wash. ","")&amp;IF($F805="Not separated","Live and dead not separated. Fine for a stock, but "&amp;"note it in reporting. ",""))</f>
        <v/>
      </c>
      <c r="P805" s="6" t="n"/>
      <c r="Q805" s="9">
        <f>IF($B805="",0,IF(COUNTIFS($B$5:$B805,$B805)=1,1,0))</f>
        <v/>
      </c>
    </row>
    <row r="806">
      <c r="A806" s="6" t="n"/>
      <c r="B806" s="6" t="n"/>
      <c r="C806" s="6" t="n"/>
      <c r="D806" s="6" t="n"/>
      <c r="E806" s="6" t="n"/>
      <c r="F806" s="6" t="n"/>
      <c r="G806" s="7" t="n"/>
      <c r="H806" s="7" t="n"/>
      <c r="I806" s="6" t="n"/>
      <c r="J806" s="9">
        <f>IF(NOT(ISNUMBER($G806)),"",IF(AND(ASH_CORRECTED="Yes",ISNUMBER($H806)),$G806*(1-$H806),$G806))</f>
        <v/>
      </c>
      <c r="K806" s="9">
        <f>IF($B806="","",IFERROR(AVERAGEIFS('2. Soil Data'!$G$5:$G$604,'2. Soil Data'!$B$5:$B$604,$B806),""))</f>
        <v/>
      </c>
      <c r="L806" s="9">
        <f>IF(NOT(ISNUMBER($K806)),"",PI()*($K806/2)^2)</f>
        <v/>
      </c>
      <c r="M806" s="9">
        <f>IF(OR(NOT(ISNUMBER($J806)),NOT(ISNUMBER($L806)),$L806=0),"",$J806/$L806*10000)</f>
        <v/>
      </c>
      <c r="N806" s="9">
        <f>IF(NOT(ISNUMBER($M806)),"",$M806*CARBON_FRACTION_ROOT/1000)</f>
        <v/>
      </c>
      <c r="O806" s="11">
        <f>IF(AND($A806="",$B806="",$G806=""),"",IF(AND($B806&lt;&gt;"",COUNTIFS('2. Soil Data'!$B$5:$B$604,$B806)=0),"Core ID not found in Soil Data, so the corer diameter cannot be looked up. ","")&amp;IF(ASH_CORRECTED&lt;&gt;"Yes","Root mass is NOT ash-corrected, so it includes adhering mineral soil and is too high. Set ASH_CORRECTED once you have done it. ","")&amp;IF(AND(ASH_CORRECTED="Yes",NOT(ISNUMBER($H806))),"Ash correction is switched on but no ash fraction is given for this row. ","")&amp;IF($I806="","Sieve mesh not recorded — a fine-root figure cannot be interpreted without it. ","")&amp;IF(AND(ISNUMBER($H806),$H806&gt;0.5),"Ash fraction above 0.5 — over half this sample was mineral soil. Re-wash. ","")&amp;IF($F806="Not separated","Live and dead not separated. Fine for a stock, but "&amp;"note it in reporting. ",""))</f>
        <v/>
      </c>
      <c r="P806" s="6" t="n"/>
      <c r="Q806" s="9">
        <f>IF($B806="",0,IF(COUNTIFS($B$5:$B806,$B806)=1,1,0))</f>
        <v/>
      </c>
    </row>
    <row r="807">
      <c r="A807" s="6" t="n"/>
      <c r="B807" s="6" t="n"/>
      <c r="C807" s="6" t="n"/>
      <c r="D807" s="6" t="n"/>
      <c r="E807" s="6" t="n"/>
      <c r="F807" s="6" t="n"/>
      <c r="G807" s="7" t="n"/>
      <c r="H807" s="7" t="n"/>
      <c r="I807" s="6" t="n"/>
      <c r="J807" s="9">
        <f>IF(NOT(ISNUMBER($G807)),"",IF(AND(ASH_CORRECTED="Yes",ISNUMBER($H807)),$G807*(1-$H807),$G807))</f>
        <v/>
      </c>
      <c r="K807" s="9">
        <f>IF($B807="","",IFERROR(AVERAGEIFS('2. Soil Data'!$G$5:$G$604,'2. Soil Data'!$B$5:$B$604,$B807),""))</f>
        <v/>
      </c>
      <c r="L807" s="9">
        <f>IF(NOT(ISNUMBER($K807)),"",PI()*($K807/2)^2)</f>
        <v/>
      </c>
      <c r="M807" s="9">
        <f>IF(OR(NOT(ISNUMBER($J807)),NOT(ISNUMBER($L807)),$L807=0),"",$J807/$L807*10000)</f>
        <v/>
      </c>
      <c r="N807" s="9">
        <f>IF(NOT(ISNUMBER($M807)),"",$M807*CARBON_FRACTION_ROOT/1000)</f>
        <v/>
      </c>
      <c r="O807" s="11">
        <f>IF(AND($A807="",$B807="",$G807=""),"",IF(AND($B807&lt;&gt;"",COUNTIFS('2. Soil Data'!$B$5:$B$604,$B807)=0),"Core ID not found in Soil Data, so the corer diameter cannot be looked up. ","")&amp;IF(ASH_CORRECTED&lt;&gt;"Yes","Root mass is NOT ash-corrected, so it includes adhering mineral soil and is too high. Set ASH_CORRECTED once you have done it. ","")&amp;IF(AND(ASH_CORRECTED="Yes",NOT(ISNUMBER($H807))),"Ash correction is switched on but no ash fraction is given for this row. ","")&amp;IF($I807="","Sieve mesh not recorded — a fine-root figure cannot be interpreted without it. ","")&amp;IF(AND(ISNUMBER($H807),$H807&gt;0.5),"Ash fraction above 0.5 — over half this sample was mineral soil. Re-wash. ","")&amp;IF($F807="Not separated","Live and dead not separated. Fine for a stock, but "&amp;"note it in reporting. ",""))</f>
        <v/>
      </c>
      <c r="P807" s="6" t="n"/>
      <c r="Q807" s="9">
        <f>IF($B807="",0,IF(COUNTIFS($B$5:$B807,$B807)=1,1,0))</f>
        <v/>
      </c>
    </row>
    <row r="808">
      <c r="A808" s="6" t="n"/>
      <c r="B808" s="6" t="n"/>
      <c r="C808" s="6" t="n"/>
      <c r="D808" s="6" t="n"/>
      <c r="E808" s="6" t="n"/>
      <c r="F808" s="6" t="n"/>
      <c r="G808" s="7" t="n"/>
      <c r="H808" s="7" t="n"/>
      <c r="I808" s="6" t="n"/>
      <c r="J808" s="9">
        <f>IF(NOT(ISNUMBER($G808)),"",IF(AND(ASH_CORRECTED="Yes",ISNUMBER($H808)),$G808*(1-$H808),$G808))</f>
        <v/>
      </c>
      <c r="K808" s="9">
        <f>IF($B808="","",IFERROR(AVERAGEIFS('2. Soil Data'!$G$5:$G$604,'2. Soil Data'!$B$5:$B$604,$B808),""))</f>
        <v/>
      </c>
      <c r="L808" s="9">
        <f>IF(NOT(ISNUMBER($K808)),"",PI()*($K808/2)^2)</f>
        <v/>
      </c>
      <c r="M808" s="9">
        <f>IF(OR(NOT(ISNUMBER($J808)),NOT(ISNUMBER($L808)),$L808=0),"",$J808/$L808*10000)</f>
        <v/>
      </c>
      <c r="N808" s="9">
        <f>IF(NOT(ISNUMBER($M808)),"",$M808*CARBON_FRACTION_ROOT/1000)</f>
        <v/>
      </c>
      <c r="O808" s="11">
        <f>IF(AND($A808="",$B808="",$G808=""),"",IF(AND($B808&lt;&gt;"",COUNTIFS('2. Soil Data'!$B$5:$B$604,$B808)=0),"Core ID not found in Soil Data, so the corer diameter cannot be looked up. ","")&amp;IF(ASH_CORRECTED&lt;&gt;"Yes","Root mass is NOT ash-corrected, so it includes adhering mineral soil and is too high. Set ASH_CORRECTED once you have done it. ","")&amp;IF(AND(ASH_CORRECTED="Yes",NOT(ISNUMBER($H808))),"Ash correction is switched on but no ash fraction is given for this row. ","")&amp;IF($I808="","Sieve mesh not recorded — a fine-root figure cannot be interpreted without it. ","")&amp;IF(AND(ISNUMBER($H808),$H808&gt;0.5),"Ash fraction above 0.5 — over half this sample was mineral soil. Re-wash. ","")&amp;IF($F808="Not separated","Live and dead not separated. Fine for a stock, but "&amp;"note it in reporting. ",""))</f>
        <v/>
      </c>
      <c r="P808" s="6" t="n"/>
      <c r="Q808" s="9">
        <f>IF($B808="",0,IF(COUNTIFS($B$5:$B808,$B808)=1,1,0))</f>
        <v/>
      </c>
    </row>
    <row r="809">
      <c r="A809" s="6" t="n"/>
      <c r="B809" s="6" t="n"/>
      <c r="C809" s="6" t="n"/>
      <c r="D809" s="6" t="n"/>
      <c r="E809" s="6" t="n"/>
      <c r="F809" s="6" t="n"/>
      <c r="G809" s="7" t="n"/>
      <c r="H809" s="7" t="n"/>
      <c r="I809" s="6" t="n"/>
      <c r="J809" s="9">
        <f>IF(NOT(ISNUMBER($G809)),"",IF(AND(ASH_CORRECTED="Yes",ISNUMBER($H809)),$G809*(1-$H809),$G809))</f>
        <v/>
      </c>
      <c r="K809" s="9">
        <f>IF($B809="","",IFERROR(AVERAGEIFS('2. Soil Data'!$G$5:$G$604,'2. Soil Data'!$B$5:$B$604,$B809),""))</f>
        <v/>
      </c>
      <c r="L809" s="9">
        <f>IF(NOT(ISNUMBER($K809)),"",PI()*($K809/2)^2)</f>
        <v/>
      </c>
      <c r="M809" s="9">
        <f>IF(OR(NOT(ISNUMBER($J809)),NOT(ISNUMBER($L809)),$L809=0),"",$J809/$L809*10000)</f>
        <v/>
      </c>
      <c r="N809" s="9">
        <f>IF(NOT(ISNUMBER($M809)),"",$M809*CARBON_FRACTION_ROOT/1000)</f>
        <v/>
      </c>
      <c r="O809" s="11">
        <f>IF(AND($A809="",$B809="",$G809=""),"",IF(AND($B809&lt;&gt;"",COUNTIFS('2. Soil Data'!$B$5:$B$604,$B809)=0),"Core ID not found in Soil Data, so the corer diameter cannot be looked up. ","")&amp;IF(ASH_CORRECTED&lt;&gt;"Yes","Root mass is NOT ash-corrected, so it includes adhering mineral soil and is too high. Set ASH_CORRECTED once you have done it. ","")&amp;IF(AND(ASH_CORRECTED="Yes",NOT(ISNUMBER($H809))),"Ash correction is switched on but no ash fraction is given for this row. ","")&amp;IF($I809="","Sieve mesh not recorded — a fine-root figure cannot be interpreted without it. ","")&amp;IF(AND(ISNUMBER($H809),$H809&gt;0.5),"Ash fraction above 0.5 — over half this sample was mineral soil. Re-wash. ","")&amp;IF($F809="Not separated","Live and dead not separated. Fine for a stock, but "&amp;"note it in reporting. ",""))</f>
        <v/>
      </c>
      <c r="P809" s="6" t="n"/>
      <c r="Q809" s="9">
        <f>IF($B809="",0,IF(COUNTIFS($B$5:$B809,$B809)=1,1,0))</f>
        <v/>
      </c>
    </row>
    <row r="810">
      <c r="A810" s="6" t="n"/>
      <c r="B810" s="6" t="n"/>
      <c r="C810" s="6" t="n"/>
      <c r="D810" s="6" t="n"/>
      <c r="E810" s="6" t="n"/>
      <c r="F810" s="6" t="n"/>
      <c r="G810" s="7" t="n"/>
      <c r="H810" s="7" t="n"/>
      <c r="I810" s="6" t="n"/>
      <c r="J810" s="9">
        <f>IF(NOT(ISNUMBER($G810)),"",IF(AND(ASH_CORRECTED="Yes",ISNUMBER($H810)),$G810*(1-$H810),$G810))</f>
        <v/>
      </c>
      <c r="K810" s="9">
        <f>IF($B810="","",IFERROR(AVERAGEIFS('2. Soil Data'!$G$5:$G$604,'2. Soil Data'!$B$5:$B$604,$B810),""))</f>
        <v/>
      </c>
      <c r="L810" s="9">
        <f>IF(NOT(ISNUMBER($K810)),"",PI()*($K810/2)^2)</f>
        <v/>
      </c>
      <c r="M810" s="9">
        <f>IF(OR(NOT(ISNUMBER($J810)),NOT(ISNUMBER($L810)),$L810=0),"",$J810/$L810*10000)</f>
        <v/>
      </c>
      <c r="N810" s="9">
        <f>IF(NOT(ISNUMBER($M810)),"",$M810*CARBON_FRACTION_ROOT/1000)</f>
        <v/>
      </c>
      <c r="O810" s="11">
        <f>IF(AND($A810="",$B810="",$G810=""),"",IF(AND($B810&lt;&gt;"",COUNTIFS('2. Soil Data'!$B$5:$B$604,$B810)=0),"Core ID not found in Soil Data, so the corer diameter cannot be looked up. ","")&amp;IF(ASH_CORRECTED&lt;&gt;"Yes","Root mass is NOT ash-corrected, so it includes adhering mineral soil and is too high. Set ASH_CORRECTED once you have done it. ","")&amp;IF(AND(ASH_CORRECTED="Yes",NOT(ISNUMBER($H810))),"Ash correction is switched on but no ash fraction is given for this row. ","")&amp;IF($I810="","Sieve mesh not recorded — a fine-root figure cannot be interpreted without it. ","")&amp;IF(AND(ISNUMBER($H810),$H810&gt;0.5),"Ash fraction above 0.5 — over half this sample was mineral soil. Re-wash. ","")&amp;IF($F810="Not separated","Live and dead not separated. Fine for a stock, but "&amp;"note it in reporting. ",""))</f>
        <v/>
      </c>
      <c r="P810" s="6" t="n"/>
      <c r="Q810" s="9">
        <f>IF($B810="",0,IF(COUNTIFS($B$5:$B810,$B810)=1,1,0))</f>
        <v/>
      </c>
    </row>
    <row r="811">
      <c r="A811" s="6" t="n"/>
      <c r="B811" s="6" t="n"/>
      <c r="C811" s="6" t="n"/>
      <c r="D811" s="6" t="n"/>
      <c r="E811" s="6" t="n"/>
      <c r="F811" s="6" t="n"/>
      <c r="G811" s="7" t="n"/>
      <c r="H811" s="7" t="n"/>
      <c r="I811" s="6" t="n"/>
      <c r="J811" s="9">
        <f>IF(NOT(ISNUMBER($G811)),"",IF(AND(ASH_CORRECTED="Yes",ISNUMBER($H811)),$G811*(1-$H811),$G811))</f>
        <v/>
      </c>
      <c r="K811" s="9">
        <f>IF($B811="","",IFERROR(AVERAGEIFS('2. Soil Data'!$G$5:$G$604,'2. Soil Data'!$B$5:$B$604,$B811),""))</f>
        <v/>
      </c>
      <c r="L811" s="9">
        <f>IF(NOT(ISNUMBER($K811)),"",PI()*($K811/2)^2)</f>
        <v/>
      </c>
      <c r="M811" s="9">
        <f>IF(OR(NOT(ISNUMBER($J811)),NOT(ISNUMBER($L811)),$L811=0),"",$J811/$L811*10000)</f>
        <v/>
      </c>
      <c r="N811" s="9">
        <f>IF(NOT(ISNUMBER($M811)),"",$M811*CARBON_FRACTION_ROOT/1000)</f>
        <v/>
      </c>
      <c r="O811" s="11">
        <f>IF(AND($A811="",$B811="",$G811=""),"",IF(AND($B811&lt;&gt;"",COUNTIFS('2. Soil Data'!$B$5:$B$604,$B811)=0),"Core ID not found in Soil Data, so the corer diameter cannot be looked up. ","")&amp;IF(ASH_CORRECTED&lt;&gt;"Yes","Root mass is NOT ash-corrected, so it includes adhering mineral soil and is too high. Set ASH_CORRECTED once you have done it. ","")&amp;IF(AND(ASH_CORRECTED="Yes",NOT(ISNUMBER($H811))),"Ash correction is switched on but no ash fraction is given for this row. ","")&amp;IF($I811="","Sieve mesh not recorded — a fine-root figure cannot be interpreted without it. ","")&amp;IF(AND(ISNUMBER($H811),$H811&gt;0.5),"Ash fraction above 0.5 — over half this sample was mineral soil. Re-wash. ","")&amp;IF($F811="Not separated","Live and dead not separated. Fine for a stock, but "&amp;"note it in reporting. ",""))</f>
        <v/>
      </c>
      <c r="P811" s="6" t="n"/>
      <c r="Q811" s="9">
        <f>IF($B811="",0,IF(COUNTIFS($B$5:$B811,$B811)=1,1,0))</f>
        <v/>
      </c>
    </row>
    <row r="812">
      <c r="A812" s="6" t="n"/>
      <c r="B812" s="6" t="n"/>
      <c r="C812" s="6" t="n"/>
      <c r="D812" s="6" t="n"/>
      <c r="E812" s="6" t="n"/>
      <c r="F812" s="6" t="n"/>
      <c r="G812" s="7" t="n"/>
      <c r="H812" s="7" t="n"/>
      <c r="I812" s="6" t="n"/>
      <c r="J812" s="9">
        <f>IF(NOT(ISNUMBER($G812)),"",IF(AND(ASH_CORRECTED="Yes",ISNUMBER($H812)),$G812*(1-$H812),$G812))</f>
        <v/>
      </c>
      <c r="K812" s="9">
        <f>IF($B812="","",IFERROR(AVERAGEIFS('2. Soil Data'!$G$5:$G$604,'2. Soil Data'!$B$5:$B$604,$B812),""))</f>
        <v/>
      </c>
      <c r="L812" s="9">
        <f>IF(NOT(ISNUMBER($K812)),"",PI()*($K812/2)^2)</f>
        <v/>
      </c>
      <c r="M812" s="9">
        <f>IF(OR(NOT(ISNUMBER($J812)),NOT(ISNUMBER($L812)),$L812=0),"",$J812/$L812*10000)</f>
        <v/>
      </c>
      <c r="N812" s="9">
        <f>IF(NOT(ISNUMBER($M812)),"",$M812*CARBON_FRACTION_ROOT/1000)</f>
        <v/>
      </c>
      <c r="O812" s="11">
        <f>IF(AND($A812="",$B812="",$G812=""),"",IF(AND($B812&lt;&gt;"",COUNTIFS('2. Soil Data'!$B$5:$B$604,$B812)=0),"Core ID not found in Soil Data, so the corer diameter cannot be looked up. ","")&amp;IF(ASH_CORRECTED&lt;&gt;"Yes","Root mass is NOT ash-corrected, so it includes adhering mineral soil and is too high. Set ASH_CORRECTED once you have done it. ","")&amp;IF(AND(ASH_CORRECTED="Yes",NOT(ISNUMBER($H812))),"Ash correction is switched on but no ash fraction is given for this row. ","")&amp;IF($I812="","Sieve mesh not recorded — a fine-root figure cannot be interpreted without it. ","")&amp;IF(AND(ISNUMBER($H812),$H812&gt;0.5),"Ash fraction above 0.5 — over half this sample was mineral soil. Re-wash. ","")&amp;IF($F812="Not separated","Live and dead not separated. Fine for a stock, but "&amp;"note it in reporting. ",""))</f>
        <v/>
      </c>
      <c r="P812" s="6" t="n"/>
      <c r="Q812" s="9">
        <f>IF($B812="",0,IF(COUNTIFS($B$5:$B812,$B812)=1,1,0))</f>
        <v/>
      </c>
    </row>
    <row r="813">
      <c r="A813" s="6" t="n"/>
      <c r="B813" s="6" t="n"/>
      <c r="C813" s="6" t="n"/>
      <c r="D813" s="6" t="n"/>
      <c r="E813" s="6" t="n"/>
      <c r="F813" s="6" t="n"/>
      <c r="G813" s="7" t="n"/>
      <c r="H813" s="7" t="n"/>
      <c r="I813" s="6" t="n"/>
      <c r="J813" s="9">
        <f>IF(NOT(ISNUMBER($G813)),"",IF(AND(ASH_CORRECTED="Yes",ISNUMBER($H813)),$G813*(1-$H813),$G813))</f>
        <v/>
      </c>
      <c r="K813" s="9">
        <f>IF($B813="","",IFERROR(AVERAGEIFS('2. Soil Data'!$G$5:$G$604,'2. Soil Data'!$B$5:$B$604,$B813),""))</f>
        <v/>
      </c>
      <c r="L813" s="9">
        <f>IF(NOT(ISNUMBER($K813)),"",PI()*($K813/2)^2)</f>
        <v/>
      </c>
      <c r="M813" s="9">
        <f>IF(OR(NOT(ISNUMBER($J813)),NOT(ISNUMBER($L813)),$L813=0),"",$J813/$L813*10000)</f>
        <v/>
      </c>
      <c r="N813" s="9">
        <f>IF(NOT(ISNUMBER($M813)),"",$M813*CARBON_FRACTION_ROOT/1000)</f>
        <v/>
      </c>
      <c r="O813" s="11">
        <f>IF(AND($A813="",$B813="",$G813=""),"",IF(AND($B813&lt;&gt;"",COUNTIFS('2. Soil Data'!$B$5:$B$604,$B813)=0),"Core ID not found in Soil Data, so the corer diameter cannot be looked up. ","")&amp;IF(ASH_CORRECTED&lt;&gt;"Yes","Root mass is NOT ash-corrected, so it includes adhering mineral soil and is too high. Set ASH_CORRECTED once you have done it. ","")&amp;IF(AND(ASH_CORRECTED="Yes",NOT(ISNUMBER($H813))),"Ash correction is switched on but no ash fraction is given for this row. ","")&amp;IF($I813="","Sieve mesh not recorded — a fine-root figure cannot be interpreted without it. ","")&amp;IF(AND(ISNUMBER($H813),$H813&gt;0.5),"Ash fraction above 0.5 — over half this sample was mineral soil. Re-wash. ","")&amp;IF($F813="Not separated","Live and dead not separated. Fine for a stock, but "&amp;"note it in reporting. ",""))</f>
        <v/>
      </c>
      <c r="P813" s="6" t="n"/>
      <c r="Q813" s="9">
        <f>IF($B813="",0,IF(COUNTIFS($B$5:$B813,$B813)=1,1,0))</f>
        <v/>
      </c>
    </row>
    <row r="814">
      <c r="A814" s="6" t="n"/>
      <c r="B814" s="6" t="n"/>
      <c r="C814" s="6" t="n"/>
      <c r="D814" s="6" t="n"/>
      <c r="E814" s="6" t="n"/>
      <c r="F814" s="6" t="n"/>
      <c r="G814" s="7" t="n"/>
      <c r="H814" s="7" t="n"/>
      <c r="I814" s="6" t="n"/>
      <c r="J814" s="9">
        <f>IF(NOT(ISNUMBER($G814)),"",IF(AND(ASH_CORRECTED="Yes",ISNUMBER($H814)),$G814*(1-$H814),$G814))</f>
        <v/>
      </c>
      <c r="K814" s="9">
        <f>IF($B814="","",IFERROR(AVERAGEIFS('2. Soil Data'!$G$5:$G$604,'2. Soil Data'!$B$5:$B$604,$B814),""))</f>
        <v/>
      </c>
      <c r="L814" s="9">
        <f>IF(NOT(ISNUMBER($K814)),"",PI()*($K814/2)^2)</f>
        <v/>
      </c>
      <c r="M814" s="9">
        <f>IF(OR(NOT(ISNUMBER($J814)),NOT(ISNUMBER($L814)),$L814=0),"",$J814/$L814*10000)</f>
        <v/>
      </c>
      <c r="N814" s="9">
        <f>IF(NOT(ISNUMBER($M814)),"",$M814*CARBON_FRACTION_ROOT/1000)</f>
        <v/>
      </c>
      <c r="O814" s="11">
        <f>IF(AND($A814="",$B814="",$G814=""),"",IF(AND($B814&lt;&gt;"",COUNTIFS('2. Soil Data'!$B$5:$B$604,$B814)=0),"Core ID not found in Soil Data, so the corer diameter cannot be looked up. ","")&amp;IF(ASH_CORRECTED&lt;&gt;"Yes","Root mass is NOT ash-corrected, so it includes adhering mineral soil and is too high. Set ASH_CORRECTED once you have done it. ","")&amp;IF(AND(ASH_CORRECTED="Yes",NOT(ISNUMBER($H814))),"Ash correction is switched on but no ash fraction is given for this row. ","")&amp;IF($I814="","Sieve mesh not recorded — a fine-root figure cannot be interpreted without it. ","")&amp;IF(AND(ISNUMBER($H814),$H814&gt;0.5),"Ash fraction above 0.5 — over half this sample was mineral soil. Re-wash. ","")&amp;IF($F814="Not separated","Live and dead not separated. Fine for a stock, but "&amp;"note it in reporting. ",""))</f>
        <v/>
      </c>
      <c r="P814" s="6" t="n"/>
      <c r="Q814" s="9">
        <f>IF($B814="",0,IF(COUNTIFS($B$5:$B814,$B814)=1,1,0))</f>
        <v/>
      </c>
    </row>
    <row r="815">
      <c r="A815" s="6" t="n"/>
      <c r="B815" s="6" t="n"/>
      <c r="C815" s="6" t="n"/>
      <c r="D815" s="6" t="n"/>
      <c r="E815" s="6" t="n"/>
      <c r="F815" s="6" t="n"/>
      <c r="G815" s="7" t="n"/>
      <c r="H815" s="7" t="n"/>
      <c r="I815" s="6" t="n"/>
      <c r="J815" s="9">
        <f>IF(NOT(ISNUMBER($G815)),"",IF(AND(ASH_CORRECTED="Yes",ISNUMBER($H815)),$G815*(1-$H815),$G815))</f>
        <v/>
      </c>
      <c r="K815" s="9">
        <f>IF($B815="","",IFERROR(AVERAGEIFS('2. Soil Data'!$G$5:$G$604,'2. Soil Data'!$B$5:$B$604,$B815),""))</f>
        <v/>
      </c>
      <c r="L815" s="9">
        <f>IF(NOT(ISNUMBER($K815)),"",PI()*($K815/2)^2)</f>
        <v/>
      </c>
      <c r="M815" s="9">
        <f>IF(OR(NOT(ISNUMBER($J815)),NOT(ISNUMBER($L815)),$L815=0),"",$J815/$L815*10000)</f>
        <v/>
      </c>
      <c r="N815" s="9">
        <f>IF(NOT(ISNUMBER($M815)),"",$M815*CARBON_FRACTION_ROOT/1000)</f>
        <v/>
      </c>
      <c r="O815" s="11">
        <f>IF(AND($A815="",$B815="",$G815=""),"",IF(AND($B815&lt;&gt;"",COUNTIFS('2. Soil Data'!$B$5:$B$604,$B815)=0),"Core ID not found in Soil Data, so the corer diameter cannot be looked up. ","")&amp;IF(ASH_CORRECTED&lt;&gt;"Yes","Root mass is NOT ash-corrected, so it includes adhering mineral soil and is too high. Set ASH_CORRECTED once you have done it. ","")&amp;IF(AND(ASH_CORRECTED="Yes",NOT(ISNUMBER($H815))),"Ash correction is switched on but no ash fraction is given for this row. ","")&amp;IF($I815="","Sieve mesh not recorded — a fine-root figure cannot be interpreted without it. ","")&amp;IF(AND(ISNUMBER($H815),$H815&gt;0.5),"Ash fraction above 0.5 — over half this sample was mineral soil. Re-wash. ","")&amp;IF($F815="Not separated","Live and dead not separated. Fine for a stock, but "&amp;"note it in reporting. ",""))</f>
        <v/>
      </c>
      <c r="P815" s="6" t="n"/>
      <c r="Q815" s="9">
        <f>IF($B815="",0,IF(COUNTIFS($B$5:$B815,$B815)=1,1,0))</f>
        <v/>
      </c>
    </row>
    <row r="816">
      <c r="A816" s="6" t="n"/>
      <c r="B816" s="6" t="n"/>
      <c r="C816" s="6" t="n"/>
      <c r="D816" s="6" t="n"/>
      <c r="E816" s="6" t="n"/>
      <c r="F816" s="6" t="n"/>
      <c r="G816" s="7" t="n"/>
      <c r="H816" s="7" t="n"/>
      <c r="I816" s="6" t="n"/>
      <c r="J816" s="9">
        <f>IF(NOT(ISNUMBER($G816)),"",IF(AND(ASH_CORRECTED="Yes",ISNUMBER($H816)),$G816*(1-$H816),$G816))</f>
        <v/>
      </c>
      <c r="K816" s="9">
        <f>IF($B816="","",IFERROR(AVERAGEIFS('2. Soil Data'!$G$5:$G$604,'2. Soil Data'!$B$5:$B$604,$B816),""))</f>
        <v/>
      </c>
      <c r="L816" s="9">
        <f>IF(NOT(ISNUMBER($K816)),"",PI()*($K816/2)^2)</f>
        <v/>
      </c>
      <c r="M816" s="9">
        <f>IF(OR(NOT(ISNUMBER($J816)),NOT(ISNUMBER($L816)),$L816=0),"",$J816/$L816*10000)</f>
        <v/>
      </c>
      <c r="N816" s="9">
        <f>IF(NOT(ISNUMBER($M816)),"",$M816*CARBON_FRACTION_ROOT/1000)</f>
        <v/>
      </c>
      <c r="O816" s="11">
        <f>IF(AND($A816="",$B816="",$G816=""),"",IF(AND($B816&lt;&gt;"",COUNTIFS('2. Soil Data'!$B$5:$B$604,$B816)=0),"Core ID not found in Soil Data, so the corer diameter cannot be looked up. ","")&amp;IF(ASH_CORRECTED&lt;&gt;"Yes","Root mass is NOT ash-corrected, so it includes adhering mineral soil and is too high. Set ASH_CORRECTED once you have done it. ","")&amp;IF(AND(ASH_CORRECTED="Yes",NOT(ISNUMBER($H816))),"Ash correction is switched on but no ash fraction is given for this row. ","")&amp;IF($I816="","Sieve mesh not recorded — a fine-root figure cannot be interpreted without it. ","")&amp;IF(AND(ISNUMBER($H816),$H816&gt;0.5),"Ash fraction above 0.5 — over half this sample was mineral soil. Re-wash. ","")&amp;IF($F816="Not separated","Live and dead not separated. Fine for a stock, but "&amp;"note it in reporting. ",""))</f>
        <v/>
      </c>
      <c r="P816" s="6" t="n"/>
      <c r="Q816" s="9">
        <f>IF($B816="",0,IF(COUNTIFS($B$5:$B816,$B816)=1,1,0))</f>
        <v/>
      </c>
    </row>
    <row r="817">
      <c r="A817" s="6" t="n"/>
      <c r="B817" s="6" t="n"/>
      <c r="C817" s="6" t="n"/>
      <c r="D817" s="6" t="n"/>
      <c r="E817" s="6" t="n"/>
      <c r="F817" s="6" t="n"/>
      <c r="G817" s="7" t="n"/>
      <c r="H817" s="7" t="n"/>
      <c r="I817" s="6" t="n"/>
      <c r="J817" s="9">
        <f>IF(NOT(ISNUMBER($G817)),"",IF(AND(ASH_CORRECTED="Yes",ISNUMBER($H817)),$G817*(1-$H817),$G817))</f>
        <v/>
      </c>
      <c r="K817" s="9">
        <f>IF($B817="","",IFERROR(AVERAGEIFS('2. Soil Data'!$G$5:$G$604,'2. Soil Data'!$B$5:$B$604,$B817),""))</f>
        <v/>
      </c>
      <c r="L817" s="9">
        <f>IF(NOT(ISNUMBER($K817)),"",PI()*($K817/2)^2)</f>
        <v/>
      </c>
      <c r="M817" s="9">
        <f>IF(OR(NOT(ISNUMBER($J817)),NOT(ISNUMBER($L817)),$L817=0),"",$J817/$L817*10000)</f>
        <v/>
      </c>
      <c r="N817" s="9">
        <f>IF(NOT(ISNUMBER($M817)),"",$M817*CARBON_FRACTION_ROOT/1000)</f>
        <v/>
      </c>
      <c r="O817" s="11">
        <f>IF(AND($A817="",$B817="",$G817=""),"",IF(AND($B817&lt;&gt;"",COUNTIFS('2. Soil Data'!$B$5:$B$604,$B817)=0),"Core ID not found in Soil Data, so the corer diameter cannot be looked up. ","")&amp;IF(ASH_CORRECTED&lt;&gt;"Yes","Root mass is NOT ash-corrected, so it includes adhering mineral soil and is too high. Set ASH_CORRECTED once you have done it. ","")&amp;IF(AND(ASH_CORRECTED="Yes",NOT(ISNUMBER($H817))),"Ash correction is switched on but no ash fraction is given for this row. ","")&amp;IF($I817="","Sieve mesh not recorded — a fine-root figure cannot be interpreted without it. ","")&amp;IF(AND(ISNUMBER($H817),$H817&gt;0.5),"Ash fraction above 0.5 — over half this sample was mineral soil. Re-wash. ","")&amp;IF($F817="Not separated","Live and dead not separated. Fine for a stock, but "&amp;"note it in reporting. ",""))</f>
        <v/>
      </c>
      <c r="P817" s="6" t="n"/>
      <c r="Q817" s="9">
        <f>IF($B817="",0,IF(COUNTIFS($B$5:$B817,$B817)=1,1,0))</f>
        <v/>
      </c>
    </row>
    <row r="818">
      <c r="A818" s="6" t="n"/>
      <c r="B818" s="6" t="n"/>
      <c r="C818" s="6" t="n"/>
      <c r="D818" s="6" t="n"/>
      <c r="E818" s="6" t="n"/>
      <c r="F818" s="6" t="n"/>
      <c r="G818" s="7" t="n"/>
      <c r="H818" s="7" t="n"/>
      <c r="I818" s="6" t="n"/>
      <c r="J818" s="9">
        <f>IF(NOT(ISNUMBER($G818)),"",IF(AND(ASH_CORRECTED="Yes",ISNUMBER($H818)),$G818*(1-$H818),$G818))</f>
        <v/>
      </c>
      <c r="K818" s="9">
        <f>IF($B818="","",IFERROR(AVERAGEIFS('2. Soil Data'!$G$5:$G$604,'2. Soil Data'!$B$5:$B$604,$B818),""))</f>
        <v/>
      </c>
      <c r="L818" s="9">
        <f>IF(NOT(ISNUMBER($K818)),"",PI()*($K818/2)^2)</f>
        <v/>
      </c>
      <c r="M818" s="9">
        <f>IF(OR(NOT(ISNUMBER($J818)),NOT(ISNUMBER($L818)),$L818=0),"",$J818/$L818*10000)</f>
        <v/>
      </c>
      <c r="N818" s="9">
        <f>IF(NOT(ISNUMBER($M818)),"",$M818*CARBON_FRACTION_ROOT/1000)</f>
        <v/>
      </c>
      <c r="O818" s="11">
        <f>IF(AND($A818="",$B818="",$G818=""),"",IF(AND($B818&lt;&gt;"",COUNTIFS('2. Soil Data'!$B$5:$B$604,$B818)=0),"Core ID not found in Soil Data, so the corer diameter cannot be looked up. ","")&amp;IF(ASH_CORRECTED&lt;&gt;"Yes","Root mass is NOT ash-corrected, so it includes adhering mineral soil and is too high. Set ASH_CORRECTED once you have done it. ","")&amp;IF(AND(ASH_CORRECTED="Yes",NOT(ISNUMBER($H818))),"Ash correction is switched on but no ash fraction is given for this row. ","")&amp;IF($I818="","Sieve mesh not recorded — a fine-root figure cannot be interpreted without it. ","")&amp;IF(AND(ISNUMBER($H818),$H818&gt;0.5),"Ash fraction above 0.5 — over half this sample was mineral soil. Re-wash. ","")&amp;IF($F818="Not separated","Live and dead not separated. Fine for a stock, but "&amp;"note it in reporting. ",""))</f>
        <v/>
      </c>
      <c r="P818" s="6" t="n"/>
      <c r="Q818" s="9">
        <f>IF($B818="",0,IF(COUNTIFS($B$5:$B818,$B818)=1,1,0))</f>
        <v/>
      </c>
    </row>
    <row r="819">
      <c r="A819" s="6" t="n"/>
      <c r="B819" s="6" t="n"/>
      <c r="C819" s="6" t="n"/>
      <c r="D819" s="6" t="n"/>
      <c r="E819" s="6" t="n"/>
      <c r="F819" s="6" t="n"/>
      <c r="G819" s="7" t="n"/>
      <c r="H819" s="7" t="n"/>
      <c r="I819" s="6" t="n"/>
      <c r="J819" s="9">
        <f>IF(NOT(ISNUMBER($G819)),"",IF(AND(ASH_CORRECTED="Yes",ISNUMBER($H819)),$G819*(1-$H819),$G819))</f>
        <v/>
      </c>
      <c r="K819" s="9">
        <f>IF($B819="","",IFERROR(AVERAGEIFS('2. Soil Data'!$G$5:$G$604,'2. Soil Data'!$B$5:$B$604,$B819),""))</f>
        <v/>
      </c>
      <c r="L819" s="9">
        <f>IF(NOT(ISNUMBER($K819)),"",PI()*($K819/2)^2)</f>
        <v/>
      </c>
      <c r="M819" s="9">
        <f>IF(OR(NOT(ISNUMBER($J819)),NOT(ISNUMBER($L819)),$L819=0),"",$J819/$L819*10000)</f>
        <v/>
      </c>
      <c r="N819" s="9">
        <f>IF(NOT(ISNUMBER($M819)),"",$M819*CARBON_FRACTION_ROOT/1000)</f>
        <v/>
      </c>
      <c r="O819" s="11">
        <f>IF(AND($A819="",$B819="",$G819=""),"",IF(AND($B819&lt;&gt;"",COUNTIFS('2. Soil Data'!$B$5:$B$604,$B819)=0),"Core ID not found in Soil Data, so the corer diameter cannot be looked up. ","")&amp;IF(ASH_CORRECTED&lt;&gt;"Yes","Root mass is NOT ash-corrected, so it includes adhering mineral soil and is too high. Set ASH_CORRECTED once you have done it. ","")&amp;IF(AND(ASH_CORRECTED="Yes",NOT(ISNUMBER($H819))),"Ash correction is switched on but no ash fraction is given for this row. ","")&amp;IF($I819="","Sieve mesh not recorded — a fine-root figure cannot be interpreted without it. ","")&amp;IF(AND(ISNUMBER($H819),$H819&gt;0.5),"Ash fraction above 0.5 — over half this sample was mineral soil. Re-wash. ","")&amp;IF($F819="Not separated","Live and dead not separated. Fine for a stock, but "&amp;"note it in reporting. ",""))</f>
        <v/>
      </c>
      <c r="P819" s="6" t="n"/>
      <c r="Q819" s="9">
        <f>IF($B819="",0,IF(COUNTIFS($B$5:$B819,$B819)=1,1,0))</f>
        <v/>
      </c>
    </row>
    <row r="820">
      <c r="A820" s="6" t="n"/>
      <c r="B820" s="6" t="n"/>
      <c r="C820" s="6" t="n"/>
      <c r="D820" s="6" t="n"/>
      <c r="E820" s="6" t="n"/>
      <c r="F820" s="6" t="n"/>
      <c r="G820" s="7" t="n"/>
      <c r="H820" s="7" t="n"/>
      <c r="I820" s="6" t="n"/>
      <c r="J820" s="9">
        <f>IF(NOT(ISNUMBER($G820)),"",IF(AND(ASH_CORRECTED="Yes",ISNUMBER($H820)),$G820*(1-$H820),$G820))</f>
        <v/>
      </c>
      <c r="K820" s="9">
        <f>IF($B820="","",IFERROR(AVERAGEIFS('2. Soil Data'!$G$5:$G$604,'2. Soil Data'!$B$5:$B$604,$B820),""))</f>
        <v/>
      </c>
      <c r="L820" s="9">
        <f>IF(NOT(ISNUMBER($K820)),"",PI()*($K820/2)^2)</f>
        <v/>
      </c>
      <c r="M820" s="9">
        <f>IF(OR(NOT(ISNUMBER($J820)),NOT(ISNUMBER($L820)),$L820=0),"",$J820/$L820*10000)</f>
        <v/>
      </c>
      <c r="N820" s="9">
        <f>IF(NOT(ISNUMBER($M820)),"",$M820*CARBON_FRACTION_ROOT/1000)</f>
        <v/>
      </c>
      <c r="O820" s="11">
        <f>IF(AND($A820="",$B820="",$G820=""),"",IF(AND($B820&lt;&gt;"",COUNTIFS('2. Soil Data'!$B$5:$B$604,$B820)=0),"Core ID not found in Soil Data, so the corer diameter cannot be looked up. ","")&amp;IF(ASH_CORRECTED&lt;&gt;"Yes","Root mass is NOT ash-corrected, so it includes adhering mineral soil and is too high. Set ASH_CORRECTED once you have done it. ","")&amp;IF(AND(ASH_CORRECTED="Yes",NOT(ISNUMBER($H820))),"Ash correction is switched on but no ash fraction is given for this row. ","")&amp;IF($I820="","Sieve mesh not recorded — a fine-root figure cannot be interpreted without it. ","")&amp;IF(AND(ISNUMBER($H820),$H820&gt;0.5),"Ash fraction above 0.5 — over half this sample was mineral soil. Re-wash. ","")&amp;IF($F820="Not separated","Live and dead not separated. Fine for a stock, but "&amp;"note it in reporting. ",""))</f>
        <v/>
      </c>
      <c r="P820" s="6" t="n"/>
      <c r="Q820" s="9">
        <f>IF($B820="",0,IF(COUNTIFS($B$5:$B820,$B820)=1,1,0))</f>
        <v/>
      </c>
    </row>
    <row r="821">
      <c r="A821" s="6" t="n"/>
      <c r="B821" s="6" t="n"/>
      <c r="C821" s="6" t="n"/>
      <c r="D821" s="6" t="n"/>
      <c r="E821" s="6" t="n"/>
      <c r="F821" s="6" t="n"/>
      <c r="G821" s="7" t="n"/>
      <c r="H821" s="7" t="n"/>
      <c r="I821" s="6" t="n"/>
      <c r="J821" s="9">
        <f>IF(NOT(ISNUMBER($G821)),"",IF(AND(ASH_CORRECTED="Yes",ISNUMBER($H821)),$G821*(1-$H821),$G821))</f>
        <v/>
      </c>
      <c r="K821" s="9">
        <f>IF($B821="","",IFERROR(AVERAGEIFS('2. Soil Data'!$G$5:$G$604,'2. Soil Data'!$B$5:$B$604,$B821),""))</f>
        <v/>
      </c>
      <c r="L821" s="9">
        <f>IF(NOT(ISNUMBER($K821)),"",PI()*($K821/2)^2)</f>
        <v/>
      </c>
      <c r="M821" s="9">
        <f>IF(OR(NOT(ISNUMBER($J821)),NOT(ISNUMBER($L821)),$L821=0),"",$J821/$L821*10000)</f>
        <v/>
      </c>
      <c r="N821" s="9">
        <f>IF(NOT(ISNUMBER($M821)),"",$M821*CARBON_FRACTION_ROOT/1000)</f>
        <v/>
      </c>
      <c r="O821" s="11">
        <f>IF(AND($A821="",$B821="",$G821=""),"",IF(AND($B821&lt;&gt;"",COUNTIFS('2. Soil Data'!$B$5:$B$604,$B821)=0),"Core ID not found in Soil Data, so the corer diameter cannot be looked up. ","")&amp;IF(ASH_CORRECTED&lt;&gt;"Yes","Root mass is NOT ash-corrected, so it includes adhering mineral soil and is too high. Set ASH_CORRECTED once you have done it. ","")&amp;IF(AND(ASH_CORRECTED="Yes",NOT(ISNUMBER($H821))),"Ash correction is switched on but no ash fraction is given for this row. ","")&amp;IF($I821="","Sieve mesh not recorded — a fine-root figure cannot be interpreted without it. ","")&amp;IF(AND(ISNUMBER($H821),$H821&gt;0.5),"Ash fraction above 0.5 — over half this sample was mineral soil. Re-wash. ","")&amp;IF($F821="Not separated","Live and dead not separated. Fine for a stock, but "&amp;"note it in reporting. ",""))</f>
        <v/>
      </c>
      <c r="P821" s="6" t="n"/>
      <c r="Q821" s="9">
        <f>IF($B821="",0,IF(COUNTIFS($B$5:$B821,$B821)=1,1,0))</f>
        <v/>
      </c>
    </row>
    <row r="822">
      <c r="A822" s="6" t="n"/>
      <c r="B822" s="6" t="n"/>
      <c r="C822" s="6" t="n"/>
      <c r="D822" s="6" t="n"/>
      <c r="E822" s="6" t="n"/>
      <c r="F822" s="6" t="n"/>
      <c r="G822" s="7" t="n"/>
      <c r="H822" s="7" t="n"/>
      <c r="I822" s="6" t="n"/>
      <c r="J822" s="9">
        <f>IF(NOT(ISNUMBER($G822)),"",IF(AND(ASH_CORRECTED="Yes",ISNUMBER($H822)),$G822*(1-$H822),$G822))</f>
        <v/>
      </c>
      <c r="K822" s="9">
        <f>IF($B822="","",IFERROR(AVERAGEIFS('2. Soil Data'!$G$5:$G$604,'2. Soil Data'!$B$5:$B$604,$B822),""))</f>
        <v/>
      </c>
      <c r="L822" s="9">
        <f>IF(NOT(ISNUMBER($K822)),"",PI()*($K822/2)^2)</f>
        <v/>
      </c>
      <c r="M822" s="9">
        <f>IF(OR(NOT(ISNUMBER($J822)),NOT(ISNUMBER($L822)),$L822=0),"",$J822/$L822*10000)</f>
        <v/>
      </c>
      <c r="N822" s="9">
        <f>IF(NOT(ISNUMBER($M822)),"",$M822*CARBON_FRACTION_ROOT/1000)</f>
        <v/>
      </c>
      <c r="O822" s="11">
        <f>IF(AND($A822="",$B822="",$G822=""),"",IF(AND($B822&lt;&gt;"",COUNTIFS('2. Soil Data'!$B$5:$B$604,$B822)=0),"Core ID not found in Soil Data, so the corer diameter cannot be looked up. ","")&amp;IF(ASH_CORRECTED&lt;&gt;"Yes","Root mass is NOT ash-corrected, so it includes adhering mineral soil and is too high. Set ASH_CORRECTED once you have done it. ","")&amp;IF(AND(ASH_CORRECTED="Yes",NOT(ISNUMBER($H822))),"Ash correction is switched on but no ash fraction is given for this row. ","")&amp;IF($I822="","Sieve mesh not recorded — a fine-root figure cannot be interpreted without it. ","")&amp;IF(AND(ISNUMBER($H822),$H822&gt;0.5),"Ash fraction above 0.5 — over half this sample was mineral soil. Re-wash. ","")&amp;IF($F822="Not separated","Live and dead not separated. Fine for a stock, but "&amp;"note it in reporting. ",""))</f>
        <v/>
      </c>
      <c r="P822" s="6" t="n"/>
      <c r="Q822" s="9">
        <f>IF($B822="",0,IF(COUNTIFS($B$5:$B822,$B822)=1,1,0))</f>
        <v/>
      </c>
    </row>
    <row r="823">
      <c r="A823" s="6" t="n"/>
      <c r="B823" s="6" t="n"/>
      <c r="C823" s="6" t="n"/>
      <c r="D823" s="6" t="n"/>
      <c r="E823" s="6" t="n"/>
      <c r="F823" s="6" t="n"/>
      <c r="G823" s="7" t="n"/>
      <c r="H823" s="7" t="n"/>
      <c r="I823" s="6" t="n"/>
      <c r="J823" s="9">
        <f>IF(NOT(ISNUMBER($G823)),"",IF(AND(ASH_CORRECTED="Yes",ISNUMBER($H823)),$G823*(1-$H823),$G823))</f>
        <v/>
      </c>
      <c r="K823" s="9">
        <f>IF($B823="","",IFERROR(AVERAGEIFS('2. Soil Data'!$G$5:$G$604,'2. Soil Data'!$B$5:$B$604,$B823),""))</f>
        <v/>
      </c>
      <c r="L823" s="9">
        <f>IF(NOT(ISNUMBER($K823)),"",PI()*($K823/2)^2)</f>
        <v/>
      </c>
      <c r="M823" s="9">
        <f>IF(OR(NOT(ISNUMBER($J823)),NOT(ISNUMBER($L823)),$L823=0),"",$J823/$L823*10000)</f>
        <v/>
      </c>
      <c r="N823" s="9">
        <f>IF(NOT(ISNUMBER($M823)),"",$M823*CARBON_FRACTION_ROOT/1000)</f>
        <v/>
      </c>
      <c r="O823" s="11">
        <f>IF(AND($A823="",$B823="",$G823=""),"",IF(AND($B823&lt;&gt;"",COUNTIFS('2. Soil Data'!$B$5:$B$604,$B823)=0),"Core ID not found in Soil Data, so the corer diameter cannot be looked up. ","")&amp;IF(ASH_CORRECTED&lt;&gt;"Yes","Root mass is NOT ash-corrected, so it includes adhering mineral soil and is too high. Set ASH_CORRECTED once you have done it. ","")&amp;IF(AND(ASH_CORRECTED="Yes",NOT(ISNUMBER($H823))),"Ash correction is switched on but no ash fraction is given for this row. ","")&amp;IF($I823="","Sieve mesh not recorded — a fine-root figure cannot be interpreted without it. ","")&amp;IF(AND(ISNUMBER($H823),$H823&gt;0.5),"Ash fraction above 0.5 — over half this sample was mineral soil. Re-wash. ","")&amp;IF($F823="Not separated","Live and dead not separated. Fine for a stock, but "&amp;"note it in reporting. ",""))</f>
        <v/>
      </c>
      <c r="P823" s="6" t="n"/>
      <c r="Q823" s="9">
        <f>IF($B823="",0,IF(COUNTIFS($B$5:$B823,$B823)=1,1,0))</f>
        <v/>
      </c>
    </row>
    <row r="824">
      <c r="A824" s="6" t="n"/>
      <c r="B824" s="6" t="n"/>
      <c r="C824" s="6" t="n"/>
      <c r="D824" s="6" t="n"/>
      <c r="E824" s="6" t="n"/>
      <c r="F824" s="6" t="n"/>
      <c r="G824" s="7" t="n"/>
      <c r="H824" s="7" t="n"/>
      <c r="I824" s="6" t="n"/>
      <c r="J824" s="9">
        <f>IF(NOT(ISNUMBER($G824)),"",IF(AND(ASH_CORRECTED="Yes",ISNUMBER($H824)),$G824*(1-$H824),$G824))</f>
        <v/>
      </c>
      <c r="K824" s="9">
        <f>IF($B824="","",IFERROR(AVERAGEIFS('2. Soil Data'!$G$5:$G$604,'2. Soil Data'!$B$5:$B$604,$B824),""))</f>
        <v/>
      </c>
      <c r="L824" s="9">
        <f>IF(NOT(ISNUMBER($K824)),"",PI()*($K824/2)^2)</f>
        <v/>
      </c>
      <c r="M824" s="9">
        <f>IF(OR(NOT(ISNUMBER($J824)),NOT(ISNUMBER($L824)),$L824=0),"",$J824/$L824*10000)</f>
        <v/>
      </c>
      <c r="N824" s="9">
        <f>IF(NOT(ISNUMBER($M824)),"",$M824*CARBON_FRACTION_ROOT/1000)</f>
        <v/>
      </c>
      <c r="O824" s="11">
        <f>IF(AND($A824="",$B824="",$G824=""),"",IF(AND($B824&lt;&gt;"",COUNTIFS('2. Soil Data'!$B$5:$B$604,$B824)=0),"Core ID not found in Soil Data, so the corer diameter cannot be looked up. ","")&amp;IF(ASH_CORRECTED&lt;&gt;"Yes","Root mass is NOT ash-corrected, so it includes adhering mineral soil and is too high. Set ASH_CORRECTED once you have done it. ","")&amp;IF(AND(ASH_CORRECTED="Yes",NOT(ISNUMBER($H824))),"Ash correction is switched on but no ash fraction is given for this row. ","")&amp;IF($I824="","Sieve mesh not recorded — a fine-root figure cannot be interpreted without it. ","")&amp;IF(AND(ISNUMBER($H824),$H824&gt;0.5),"Ash fraction above 0.5 — over half this sample was mineral soil. Re-wash. ","")&amp;IF($F824="Not separated","Live and dead not separated. Fine for a stock, but "&amp;"note it in reporting. ",""))</f>
        <v/>
      </c>
      <c r="P824" s="6" t="n"/>
      <c r="Q824" s="9">
        <f>IF($B824="",0,IF(COUNTIFS($B$5:$B824,$B824)=1,1,0))</f>
        <v/>
      </c>
    </row>
    <row r="825">
      <c r="A825" s="6" t="n"/>
      <c r="B825" s="6" t="n"/>
      <c r="C825" s="6" t="n"/>
      <c r="D825" s="6" t="n"/>
      <c r="E825" s="6" t="n"/>
      <c r="F825" s="6" t="n"/>
      <c r="G825" s="7" t="n"/>
      <c r="H825" s="7" t="n"/>
      <c r="I825" s="6" t="n"/>
      <c r="J825" s="9">
        <f>IF(NOT(ISNUMBER($G825)),"",IF(AND(ASH_CORRECTED="Yes",ISNUMBER($H825)),$G825*(1-$H825),$G825))</f>
        <v/>
      </c>
      <c r="K825" s="9">
        <f>IF($B825="","",IFERROR(AVERAGEIFS('2. Soil Data'!$G$5:$G$604,'2. Soil Data'!$B$5:$B$604,$B825),""))</f>
        <v/>
      </c>
      <c r="L825" s="9">
        <f>IF(NOT(ISNUMBER($K825)),"",PI()*($K825/2)^2)</f>
        <v/>
      </c>
      <c r="M825" s="9">
        <f>IF(OR(NOT(ISNUMBER($J825)),NOT(ISNUMBER($L825)),$L825=0),"",$J825/$L825*10000)</f>
        <v/>
      </c>
      <c r="N825" s="9">
        <f>IF(NOT(ISNUMBER($M825)),"",$M825*CARBON_FRACTION_ROOT/1000)</f>
        <v/>
      </c>
      <c r="O825" s="11">
        <f>IF(AND($A825="",$B825="",$G825=""),"",IF(AND($B825&lt;&gt;"",COUNTIFS('2. Soil Data'!$B$5:$B$604,$B825)=0),"Core ID not found in Soil Data, so the corer diameter cannot be looked up. ","")&amp;IF(ASH_CORRECTED&lt;&gt;"Yes","Root mass is NOT ash-corrected, so it includes adhering mineral soil and is too high. Set ASH_CORRECTED once you have done it. ","")&amp;IF(AND(ASH_CORRECTED="Yes",NOT(ISNUMBER($H825))),"Ash correction is switched on but no ash fraction is given for this row. ","")&amp;IF($I825="","Sieve mesh not recorded — a fine-root figure cannot be interpreted without it. ","")&amp;IF(AND(ISNUMBER($H825),$H825&gt;0.5),"Ash fraction above 0.5 — over half this sample was mineral soil. Re-wash. ","")&amp;IF($F825="Not separated","Live and dead not separated. Fine for a stock, but "&amp;"note it in reporting. ",""))</f>
        <v/>
      </c>
      <c r="P825" s="6" t="n"/>
      <c r="Q825" s="9">
        <f>IF($B825="",0,IF(COUNTIFS($B$5:$B825,$B825)=1,1,0))</f>
        <v/>
      </c>
    </row>
    <row r="826">
      <c r="A826" s="6" t="n"/>
      <c r="B826" s="6" t="n"/>
      <c r="C826" s="6" t="n"/>
      <c r="D826" s="6" t="n"/>
      <c r="E826" s="6" t="n"/>
      <c r="F826" s="6" t="n"/>
      <c r="G826" s="7" t="n"/>
      <c r="H826" s="7" t="n"/>
      <c r="I826" s="6" t="n"/>
      <c r="J826" s="9">
        <f>IF(NOT(ISNUMBER($G826)),"",IF(AND(ASH_CORRECTED="Yes",ISNUMBER($H826)),$G826*(1-$H826),$G826))</f>
        <v/>
      </c>
      <c r="K826" s="9">
        <f>IF($B826="","",IFERROR(AVERAGEIFS('2. Soil Data'!$G$5:$G$604,'2. Soil Data'!$B$5:$B$604,$B826),""))</f>
        <v/>
      </c>
      <c r="L826" s="9">
        <f>IF(NOT(ISNUMBER($K826)),"",PI()*($K826/2)^2)</f>
        <v/>
      </c>
      <c r="M826" s="9">
        <f>IF(OR(NOT(ISNUMBER($J826)),NOT(ISNUMBER($L826)),$L826=0),"",$J826/$L826*10000)</f>
        <v/>
      </c>
      <c r="N826" s="9">
        <f>IF(NOT(ISNUMBER($M826)),"",$M826*CARBON_FRACTION_ROOT/1000)</f>
        <v/>
      </c>
      <c r="O826" s="11">
        <f>IF(AND($A826="",$B826="",$G826=""),"",IF(AND($B826&lt;&gt;"",COUNTIFS('2. Soil Data'!$B$5:$B$604,$B826)=0),"Core ID not found in Soil Data, so the corer diameter cannot be looked up. ","")&amp;IF(ASH_CORRECTED&lt;&gt;"Yes","Root mass is NOT ash-corrected, so it includes adhering mineral soil and is too high. Set ASH_CORRECTED once you have done it. ","")&amp;IF(AND(ASH_CORRECTED="Yes",NOT(ISNUMBER($H826))),"Ash correction is switched on but no ash fraction is given for this row. ","")&amp;IF($I826="","Sieve mesh not recorded — a fine-root figure cannot be interpreted without it. ","")&amp;IF(AND(ISNUMBER($H826),$H826&gt;0.5),"Ash fraction above 0.5 — over half this sample was mineral soil. Re-wash. ","")&amp;IF($F826="Not separated","Live and dead not separated. Fine for a stock, but "&amp;"note it in reporting. ",""))</f>
        <v/>
      </c>
      <c r="P826" s="6" t="n"/>
      <c r="Q826" s="9">
        <f>IF($B826="",0,IF(COUNTIFS($B$5:$B826,$B826)=1,1,0))</f>
        <v/>
      </c>
    </row>
    <row r="827">
      <c r="A827" s="6" t="n"/>
      <c r="B827" s="6" t="n"/>
      <c r="C827" s="6" t="n"/>
      <c r="D827" s="6" t="n"/>
      <c r="E827" s="6" t="n"/>
      <c r="F827" s="6" t="n"/>
      <c r="G827" s="7" t="n"/>
      <c r="H827" s="7" t="n"/>
      <c r="I827" s="6" t="n"/>
      <c r="J827" s="9">
        <f>IF(NOT(ISNUMBER($G827)),"",IF(AND(ASH_CORRECTED="Yes",ISNUMBER($H827)),$G827*(1-$H827),$G827))</f>
        <v/>
      </c>
      <c r="K827" s="9">
        <f>IF($B827="","",IFERROR(AVERAGEIFS('2. Soil Data'!$G$5:$G$604,'2. Soil Data'!$B$5:$B$604,$B827),""))</f>
        <v/>
      </c>
      <c r="L827" s="9">
        <f>IF(NOT(ISNUMBER($K827)),"",PI()*($K827/2)^2)</f>
        <v/>
      </c>
      <c r="M827" s="9">
        <f>IF(OR(NOT(ISNUMBER($J827)),NOT(ISNUMBER($L827)),$L827=0),"",$J827/$L827*10000)</f>
        <v/>
      </c>
      <c r="N827" s="9">
        <f>IF(NOT(ISNUMBER($M827)),"",$M827*CARBON_FRACTION_ROOT/1000)</f>
        <v/>
      </c>
      <c r="O827" s="11">
        <f>IF(AND($A827="",$B827="",$G827=""),"",IF(AND($B827&lt;&gt;"",COUNTIFS('2. Soil Data'!$B$5:$B$604,$B827)=0),"Core ID not found in Soil Data, so the corer diameter cannot be looked up. ","")&amp;IF(ASH_CORRECTED&lt;&gt;"Yes","Root mass is NOT ash-corrected, so it includes adhering mineral soil and is too high. Set ASH_CORRECTED once you have done it. ","")&amp;IF(AND(ASH_CORRECTED="Yes",NOT(ISNUMBER($H827))),"Ash correction is switched on but no ash fraction is given for this row. ","")&amp;IF($I827="","Sieve mesh not recorded — a fine-root figure cannot be interpreted without it. ","")&amp;IF(AND(ISNUMBER($H827),$H827&gt;0.5),"Ash fraction above 0.5 — over half this sample was mineral soil. Re-wash. ","")&amp;IF($F827="Not separated","Live and dead not separated. Fine for a stock, but "&amp;"note it in reporting. ",""))</f>
        <v/>
      </c>
      <c r="P827" s="6" t="n"/>
      <c r="Q827" s="9">
        <f>IF($B827="",0,IF(COUNTIFS($B$5:$B827,$B827)=1,1,0))</f>
        <v/>
      </c>
    </row>
    <row r="828">
      <c r="A828" s="6" t="n"/>
      <c r="B828" s="6" t="n"/>
      <c r="C828" s="6" t="n"/>
      <c r="D828" s="6" t="n"/>
      <c r="E828" s="6" t="n"/>
      <c r="F828" s="6" t="n"/>
      <c r="G828" s="7" t="n"/>
      <c r="H828" s="7" t="n"/>
      <c r="I828" s="6" t="n"/>
      <c r="J828" s="9">
        <f>IF(NOT(ISNUMBER($G828)),"",IF(AND(ASH_CORRECTED="Yes",ISNUMBER($H828)),$G828*(1-$H828),$G828))</f>
        <v/>
      </c>
      <c r="K828" s="9">
        <f>IF($B828="","",IFERROR(AVERAGEIFS('2. Soil Data'!$G$5:$G$604,'2. Soil Data'!$B$5:$B$604,$B828),""))</f>
        <v/>
      </c>
      <c r="L828" s="9">
        <f>IF(NOT(ISNUMBER($K828)),"",PI()*($K828/2)^2)</f>
        <v/>
      </c>
      <c r="M828" s="9">
        <f>IF(OR(NOT(ISNUMBER($J828)),NOT(ISNUMBER($L828)),$L828=0),"",$J828/$L828*10000)</f>
        <v/>
      </c>
      <c r="N828" s="9">
        <f>IF(NOT(ISNUMBER($M828)),"",$M828*CARBON_FRACTION_ROOT/1000)</f>
        <v/>
      </c>
      <c r="O828" s="11">
        <f>IF(AND($A828="",$B828="",$G828=""),"",IF(AND($B828&lt;&gt;"",COUNTIFS('2. Soil Data'!$B$5:$B$604,$B828)=0),"Core ID not found in Soil Data, so the corer diameter cannot be looked up. ","")&amp;IF(ASH_CORRECTED&lt;&gt;"Yes","Root mass is NOT ash-corrected, so it includes adhering mineral soil and is too high. Set ASH_CORRECTED once you have done it. ","")&amp;IF(AND(ASH_CORRECTED="Yes",NOT(ISNUMBER($H828))),"Ash correction is switched on but no ash fraction is given for this row. ","")&amp;IF($I828="","Sieve mesh not recorded — a fine-root figure cannot be interpreted without it. ","")&amp;IF(AND(ISNUMBER($H828),$H828&gt;0.5),"Ash fraction above 0.5 — over half this sample was mineral soil. Re-wash. ","")&amp;IF($F828="Not separated","Live and dead not separated. Fine for a stock, but "&amp;"note it in reporting. ",""))</f>
        <v/>
      </c>
      <c r="P828" s="6" t="n"/>
      <c r="Q828" s="9">
        <f>IF($B828="",0,IF(COUNTIFS($B$5:$B828,$B828)=1,1,0))</f>
        <v/>
      </c>
    </row>
    <row r="829">
      <c r="A829" s="6" t="n"/>
      <c r="B829" s="6" t="n"/>
      <c r="C829" s="6" t="n"/>
      <c r="D829" s="6" t="n"/>
      <c r="E829" s="6" t="n"/>
      <c r="F829" s="6" t="n"/>
      <c r="G829" s="7" t="n"/>
      <c r="H829" s="7" t="n"/>
      <c r="I829" s="6" t="n"/>
      <c r="J829" s="9">
        <f>IF(NOT(ISNUMBER($G829)),"",IF(AND(ASH_CORRECTED="Yes",ISNUMBER($H829)),$G829*(1-$H829),$G829))</f>
        <v/>
      </c>
      <c r="K829" s="9">
        <f>IF($B829="","",IFERROR(AVERAGEIFS('2. Soil Data'!$G$5:$G$604,'2. Soil Data'!$B$5:$B$604,$B829),""))</f>
        <v/>
      </c>
      <c r="L829" s="9">
        <f>IF(NOT(ISNUMBER($K829)),"",PI()*($K829/2)^2)</f>
        <v/>
      </c>
      <c r="M829" s="9">
        <f>IF(OR(NOT(ISNUMBER($J829)),NOT(ISNUMBER($L829)),$L829=0),"",$J829/$L829*10000)</f>
        <v/>
      </c>
      <c r="N829" s="9">
        <f>IF(NOT(ISNUMBER($M829)),"",$M829*CARBON_FRACTION_ROOT/1000)</f>
        <v/>
      </c>
      <c r="O829" s="11">
        <f>IF(AND($A829="",$B829="",$G829=""),"",IF(AND($B829&lt;&gt;"",COUNTIFS('2. Soil Data'!$B$5:$B$604,$B829)=0),"Core ID not found in Soil Data, so the corer diameter cannot be looked up. ","")&amp;IF(ASH_CORRECTED&lt;&gt;"Yes","Root mass is NOT ash-corrected, so it includes adhering mineral soil and is too high. Set ASH_CORRECTED once you have done it. ","")&amp;IF(AND(ASH_CORRECTED="Yes",NOT(ISNUMBER($H829))),"Ash correction is switched on but no ash fraction is given for this row. ","")&amp;IF($I829="","Sieve mesh not recorded — a fine-root figure cannot be interpreted without it. ","")&amp;IF(AND(ISNUMBER($H829),$H829&gt;0.5),"Ash fraction above 0.5 — over half this sample was mineral soil. Re-wash. ","")&amp;IF($F829="Not separated","Live and dead not separated. Fine for a stock, but "&amp;"note it in reporting. ",""))</f>
        <v/>
      </c>
      <c r="P829" s="6" t="n"/>
      <c r="Q829" s="9">
        <f>IF($B829="",0,IF(COUNTIFS($B$5:$B829,$B829)=1,1,0))</f>
        <v/>
      </c>
    </row>
    <row r="830">
      <c r="A830" s="6" t="n"/>
      <c r="B830" s="6" t="n"/>
      <c r="C830" s="6" t="n"/>
      <c r="D830" s="6" t="n"/>
      <c r="E830" s="6" t="n"/>
      <c r="F830" s="6" t="n"/>
      <c r="G830" s="7" t="n"/>
      <c r="H830" s="7" t="n"/>
      <c r="I830" s="6" t="n"/>
      <c r="J830" s="9">
        <f>IF(NOT(ISNUMBER($G830)),"",IF(AND(ASH_CORRECTED="Yes",ISNUMBER($H830)),$G830*(1-$H830),$G830))</f>
        <v/>
      </c>
      <c r="K830" s="9">
        <f>IF($B830="","",IFERROR(AVERAGEIFS('2. Soil Data'!$G$5:$G$604,'2. Soil Data'!$B$5:$B$604,$B830),""))</f>
        <v/>
      </c>
      <c r="L830" s="9">
        <f>IF(NOT(ISNUMBER($K830)),"",PI()*($K830/2)^2)</f>
        <v/>
      </c>
      <c r="M830" s="9">
        <f>IF(OR(NOT(ISNUMBER($J830)),NOT(ISNUMBER($L830)),$L830=0),"",$J830/$L830*10000)</f>
        <v/>
      </c>
      <c r="N830" s="9">
        <f>IF(NOT(ISNUMBER($M830)),"",$M830*CARBON_FRACTION_ROOT/1000)</f>
        <v/>
      </c>
      <c r="O830" s="11">
        <f>IF(AND($A830="",$B830="",$G830=""),"",IF(AND($B830&lt;&gt;"",COUNTIFS('2. Soil Data'!$B$5:$B$604,$B830)=0),"Core ID not found in Soil Data, so the corer diameter cannot be looked up. ","")&amp;IF(ASH_CORRECTED&lt;&gt;"Yes","Root mass is NOT ash-corrected, so it includes adhering mineral soil and is too high. Set ASH_CORRECTED once you have done it. ","")&amp;IF(AND(ASH_CORRECTED="Yes",NOT(ISNUMBER($H830))),"Ash correction is switched on but no ash fraction is given for this row. ","")&amp;IF($I830="","Sieve mesh not recorded — a fine-root figure cannot be interpreted without it. ","")&amp;IF(AND(ISNUMBER($H830),$H830&gt;0.5),"Ash fraction above 0.5 — over half this sample was mineral soil. Re-wash. ","")&amp;IF($F830="Not separated","Live and dead not separated. Fine for a stock, but "&amp;"note it in reporting. ",""))</f>
        <v/>
      </c>
      <c r="P830" s="6" t="n"/>
      <c r="Q830" s="9">
        <f>IF($B830="",0,IF(COUNTIFS($B$5:$B830,$B830)=1,1,0))</f>
        <v/>
      </c>
    </row>
    <row r="831">
      <c r="A831" s="6" t="n"/>
      <c r="B831" s="6" t="n"/>
      <c r="C831" s="6" t="n"/>
      <c r="D831" s="6" t="n"/>
      <c r="E831" s="6" t="n"/>
      <c r="F831" s="6" t="n"/>
      <c r="G831" s="7" t="n"/>
      <c r="H831" s="7" t="n"/>
      <c r="I831" s="6" t="n"/>
      <c r="J831" s="9">
        <f>IF(NOT(ISNUMBER($G831)),"",IF(AND(ASH_CORRECTED="Yes",ISNUMBER($H831)),$G831*(1-$H831),$G831))</f>
        <v/>
      </c>
      <c r="K831" s="9">
        <f>IF($B831="","",IFERROR(AVERAGEIFS('2. Soil Data'!$G$5:$G$604,'2. Soil Data'!$B$5:$B$604,$B831),""))</f>
        <v/>
      </c>
      <c r="L831" s="9">
        <f>IF(NOT(ISNUMBER($K831)),"",PI()*($K831/2)^2)</f>
        <v/>
      </c>
      <c r="M831" s="9">
        <f>IF(OR(NOT(ISNUMBER($J831)),NOT(ISNUMBER($L831)),$L831=0),"",$J831/$L831*10000)</f>
        <v/>
      </c>
      <c r="N831" s="9">
        <f>IF(NOT(ISNUMBER($M831)),"",$M831*CARBON_FRACTION_ROOT/1000)</f>
        <v/>
      </c>
      <c r="O831" s="11">
        <f>IF(AND($A831="",$B831="",$G831=""),"",IF(AND($B831&lt;&gt;"",COUNTIFS('2. Soil Data'!$B$5:$B$604,$B831)=0),"Core ID not found in Soil Data, so the corer diameter cannot be looked up. ","")&amp;IF(ASH_CORRECTED&lt;&gt;"Yes","Root mass is NOT ash-corrected, so it includes adhering mineral soil and is too high. Set ASH_CORRECTED once you have done it. ","")&amp;IF(AND(ASH_CORRECTED="Yes",NOT(ISNUMBER($H831))),"Ash correction is switched on but no ash fraction is given for this row. ","")&amp;IF($I831="","Sieve mesh not recorded — a fine-root figure cannot be interpreted without it. ","")&amp;IF(AND(ISNUMBER($H831),$H831&gt;0.5),"Ash fraction above 0.5 — over half this sample was mineral soil. Re-wash. ","")&amp;IF($F831="Not separated","Live and dead not separated. Fine for a stock, but "&amp;"note it in reporting. ",""))</f>
        <v/>
      </c>
      <c r="P831" s="6" t="n"/>
      <c r="Q831" s="9">
        <f>IF($B831="",0,IF(COUNTIFS($B$5:$B831,$B831)=1,1,0))</f>
        <v/>
      </c>
    </row>
    <row r="832">
      <c r="A832" s="6" t="n"/>
      <c r="B832" s="6" t="n"/>
      <c r="C832" s="6" t="n"/>
      <c r="D832" s="6" t="n"/>
      <c r="E832" s="6" t="n"/>
      <c r="F832" s="6" t="n"/>
      <c r="G832" s="7" t="n"/>
      <c r="H832" s="7" t="n"/>
      <c r="I832" s="6" t="n"/>
      <c r="J832" s="9">
        <f>IF(NOT(ISNUMBER($G832)),"",IF(AND(ASH_CORRECTED="Yes",ISNUMBER($H832)),$G832*(1-$H832),$G832))</f>
        <v/>
      </c>
      <c r="K832" s="9">
        <f>IF($B832="","",IFERROR(AVERAGEIFS('2. Soil Data'!$G$5:$G$604,'2. Soil Data'!$B$5:$B$604,$B832),""))</f>
        <v/>
      </c>
      <c r="L832" s="9">
        <f>IF(NOT(ISNUMBER($K832)),"",PI()*($K832/2)^2)</f>
        <v/>
      </c>
      <c r="M832" s="9">
        <f>IF(OR(NOT(ISNUMBER($J832)),NOT(ISNUMBER($L832)),$L832=0),"",$J832/$L832*10000)</f>
        <v/>
      </c>
      <c r="N832" s="9">
        <f>IF(NOT(ISNUMBER($M832)),"",$M832*CARBON_FRACTION_ROOT/1000)</f>
        <v/>
      </c>
      <c r="O832" s="11">
        <f>IF(AND($A832="",$B832="",$G832=""),"",IF(AND($B832&lt;&gt;"",COUNTIFS('2. Soil Data'!$B$5:$B$604,$B832)=0),"Core ID not found in Soil Data, so the corer diameter cannot be looked up. ","")&amp;IF(ASH_CORRECTED&lt;&gt;"Yes","Root mass is NOT ash-corrected, so it includes adhering mineral soil and is too high. Set ASH_CORRECTED once you have done it. ","")&amp;IF(AND(ASH_CORRECTED="Yes",NOT(ISNUMBER($H832))),"Ash correction is switched on but no ash fraction is given for this row. ","")&amp;IF($I832="","Sieve mesh not recorded — a fine-root figure cannot be interpreted without it. ","")&amp;IF(AND(ISNUMBER($H832),$H832&gt;0.5),"Ash fraction above 0.5 — over half this sample was mineral soil. Re-wash. ","")&amp;IF($F832="Not separated","Live and dead not separated. Fine for a stock, but "&amp;"note it in reporting. ",""))</f>
        <v/>
      </c>
      <c r="P832" s="6" t="n"/>
      <c r="Q832" s="9">
        <f>IF($B832="",0,IF(COUNTIFS($B$5:$B832,$B832)=1,1,0))</f>
        <v/>
      </c>
    </row>
    <row r="833">
      <c r="A833" s="6" t="n"/>
      <c r="B833" s="6" t="n"/>
      <c r="C833" s="6" t="n"/>
      <c r="D833" s="6" t="n"/>
      <c r="E833" s="6" t="n"/>
      <c r="F833" s="6" t="n"/>
      <c r="G833" s="7" t="n"/>
      <c r="H833" s="7" t="n"/>
      <c r="I833" s="6" t="n"/>
      <c r="J833" s="9">
        <f>IF(NOT(ISNUMBER($G833)),"",IF(AND(ASH_CORRECTED="Yes",ISNUMBER($H833)),$G833*(1-$H833),$G833))</f>
        <v/>
      </c>
      <c r="K833" s="9">
        <f>IF($B833="","",IFERROR(AVERAGEIFS('2. Soil Data'!$G$5:$G$604,'2. Soil Data'!$B$5:$B$604,$B833),""))</f>
        <v/>
      </c>
      <c r="L833" s="9">
        <f>IF(NOT(ISNUMBER($K833)),"",PI()*($K833/2)^2)</f>
        <v/>
      </c>
      <c r="M833" s="9">
        <f>IF(OR(NOT(ISNUMBER($J833)),NOT(ISNUMBER($L833)),$L833=0),"",$J833/$L833*10000)</f>
        <v/>
      </c>
      <c r="N833" s="9">
        <f>IF(NOT(ISNUMBER($M833)),"",$M833*CARBON_FRACTION_ROOT/1000)</f>
        <v/>
      </c>
      <c r="O833" s="11">
        <f>IF(AND($A833="",$B833="",$G833=""),"",IF(AND($B833&lt;&gt;"",COUNTIFS('2. Soil Data'!$B$5:$B$604,$B833)=0),"Core ID not found in Soil Data, so the corer diameter cannot be looked up. ","")&amp;IF(ASH_CORRECTED&lt;&gt;"Yes","Root mass is NOT ash-corrected, so it includes adhering mineral soil and is too high. Set ASH_CORRECTED once you have done it. ","")&amp;IF(AND(ASH_CORRECTED="Yes",NOT(ISNUMBER($H833))),"Ash correction is switched on but no ash fraction is given for this row. ","")&amp;IF($I833="","Sieve mesh not recorded — a fine-root figure cannot be interpreted without it. ","")&amp;IF(AND(ISNUMBER($H833),$H833&gt;0.5),"Ash fraction above 0.5 — over half this sample was mineral soil. Re-wash. ","")&amp;IF($F833="Not separated","Live and dead not separated. Fine for a stock, but "&amp;"note it in reporting. ",""))</f>
        <v/>
      </c>
      <c r="P833" s="6" t="n"/>
      <c r="Q833" s="9">
        <f>IF($B833="",0,IF(COUNTIFS($B$5:$B833,$B833)=1,1,0))</f>
        <v/>
      </c>
    </row>
    <row r="834">
      <c r="A834" s="6" t="n"/>
      <c r="B834" s="6" t="n"/>
      <c r="C834" s="6" t="n"/>
      <c r="D834" s="6" t="n"/>
      <c r="E834" s="6" t="n"/>
      <c r="F834" s="6" t="n"/>
      <c r="G834" s="7" t="n"/>
      <c r="H834" s="7" t="n"/>
      <c r="I834" s="6" t="n"/>
      <c r="J834" s="9">
        <f>IF(NOT(ISNUMBER($G834)),"",IF(AND(ASH_CORRECTED="Yes",ISNUMBER($H834)),$G834*(1-$H834),$G834))</f>
        <v/>
      </c>
      <c r="K834" s="9">
        <f>IF($B834="","",IFERROR(AVERAGEIFS('2. Soil Data'!$G$5:$G$604,'2. Soil Data'!$B$5:$B$604,$B834),""))</f>
        <v/>
      </c>
      <c r="L834" s="9">
        <f>IF(NOT(ISNUMBER($K834)),"",PI()*($K834/2)^2)</f>
        <v/>
      </c>
      <c r="M834" s="9">
        <f>IF(OR(NOT(ISNUMBER($J834)),NOT(ISNUMBER($L834)),$L834=0),"",$J834/$L834*10000)</f>
        <v/>
      </c>
      <c r="N834" s="9">
        <f>IF(NOT(ISNUMBER($M834)),"",$M834*CARBON_FRACTION_ROOT/1000)</f>
        <v/>
      </c>
      <c r="O834" s="11">
        <f>IF(AND($A834="",$B834="",$G834=""),"",IF(AND($B834&lt;&gt;"",COUNTIFS('2. Soil Data'!$B$5:$B$604,$B834)=0),"Core ID not found in Soil Data, so the corer diameter cannot be looked up. ","")&amp;IF(ASH_CORRECTED&lt;&gt;"Yes","Root mass is NOT ash-corrected, so it includes adhering mineral soil and is too high. Set ASH_CORRECTED once you have done it. ","")&amp;IF(AND(ASH_CORRECTED="Yes",NOT(ISNUMBER($H834))),"Ash correction is switched on but no ash fraction is given for this row. ","")&amp;IF($I834="","Sieve mesh not recorded — a fine-root figure cannot be interpreted without it. ","")&amp;IF(AND(ISNUMBER($H834),$H834&gt;0.5),"Ash fraction above 0.5 — over half this sample was mineral soil. Re-wash. ","")&amp;IF($F834="Not separated","Live and dead not separated. Fine for a stock, but "&amp;"note it in reporting. ",""))</f>
        <v/>
      </c>
      <c r="P834" s="6" t="n"/>
      <c r="Q834" s="9">
        <f>IF($B834="",0,IF(COUNTIFS($B$5:$B834,$B834)=1,1,0))</f>
        <v/>
      </c>
    </row>
    <row r="835">
      <c r="A835" s="6" t="n"/>
      <c r="B835" s="6" t="n"/>
      <c r="C835" s="6" t="n"/>
      <c r="D835" s="6" t="n"/>
      <c r="E835" s="6" t="n"/>
      <c r="F835" s="6" t="n"/>
      <c r="G835" s="7" t="n"/>
      <c r="H835" s="7" t="n"/>
      <c r="I835" s="6" t="n"/>
      <c r="J835" s="9">
        <f>IF(NOT(ISNUMBER($G835)),"",IF(AND(ASH_CORRECTED="Yes",ISNUMBER($H835)),$G835*(1-$H835),$G835))</f>
        <v/>
      </c>
      <c r="K835" s="9">
        <f>IF($B835="","",IFERROR(AVERAGEIFS('2. Soil Data'!$G$5:$G$604,'2. Soil Data'!$B$5:$B$604,$B835),""))</f>
        <v/>
      </c>
      <c r="L835" s="9">
        <f>IF(NOT(ISNUMBER($K835)),"",PI()*($K835/2)^2)</f>
        <v/>
      </c>
      <c r="M835" s="9">
        <f>IF(OR(NOT(ISNUMBER($J835)),NOT(ISNUMBER($L835)),$L835=0),"",$J835/$L835*10000)</f>
        <v/>
      </c>
      <c r="N835" s="9">
        <f>IF(NOT(ISNUMBER($M835)),"",$M835*CARBON_FRACTION_ROOT/1000)</f>
        <v/>
      </c>
      <c r="O835" s="11">
        <f>IF(AND($A835="",$B835="",$G835=""),"",IF(AND($B835&lt;&gt;"",COUNTIFS('2. Soil Data'!$B$5:$B$604,$B835)=0),"Core ID not found in Soil Data, so the corer diameter cannot be looked up. ","")&amp;IF(ASH_CORRECTED&lt;&gt;"Yes","Root mass is NOT ash-corrected, so it includes adhering mineral soil and is too high. Set ASH_CORRECTED once you have done it. ","")&amp;IF(AND(ASH_CORRECTED="Yes",NOT(ISNUMBER($H835))),"Ash correction is switched on but no ash fraction is given for this row. ","")&amp;IF($I835="","Sieve mesh not recorded — a fine-root figure cannot be interpreted without it. ","")&amp;IF(AND(ISNUMBER($H835),$H835&gt;0.5),"Ash fraction above 0.5 — over half this sample was mineral soil. Re-wash. ","")&amp;IF($F835="Not separated","Live and dead not separated. Fine for a stock, but "&amp;"note it in reporting. ",""))</f>
        <v/>
      </c>
      <c r="P835" s="6" t="n"/>
      <c r="Q835" s="9">
        <f>IF($B835="",0,IF(COUNTIFS($B$5:$B835,$B835)=1,1,0))</f>
        <v/>
      </c>
    </row>
    <row r="836">
      <c r="A836" s="6" t="n"/>
      <c r="B836" s="6" t="n"/>
      <c r="C836" s="6" t="n"/>
      <c r="D836" s="6" t="n"/>
      <c r="E836" s="6" t="n"/>
      <c r="F836" s="6" t="n"/>
      <c r="G836" s="7" t="n"/>
      <c r="H836" s="7" t="n"/>
      <c r="I836" s="6" t="n"/>
      <c r="J836" s="9">
        <f>IF(NOT(ISNUMBER($G836)),"",IF(AND(ASH_CORRECTED="Yes",ISNUMBER($H836)),$G836*(1-$H836),$G836))</f>
        <v/>
      </c>
      <c r="K836" s="9">
        <f>IF($B836="","",IFERROR(AVERAGEIFS('2. Soil Data'!$G$5:$G$604,'2. Soil Data'!$B$5:$B$604,$B836),""))</f>
        <v/>
      </c>
      <c r="L836" s="9">
        <f>IF(NOT(ISNUMBER($K836)),"",PI()*($K836/2)^2)</f>
        <v/>
      </c>
      <c r="M836" s="9">
        <f>IF(OR(NOT(ISNUMBER($J836)),NOT(ISNUMBER($L836)),$L836=0),"",$J836/$L836*10000)</f>
        <v/>
      </c>
      <c r="N836" s="9">
        <f>IF(NOT(ISNUMBER($M836)),"",$M836*CARBON_FRACTION_ROOT/1000)</f>
        <v/>
      </c>
      <c r="O836" s="11">
        <f>IF(AND($A836="",$B836="",$G836=""),"",IF(AND($B836&lt;&gt;"",COUNTIFS('2. Soil Data'!$B$5:$B$604,$B836)=0),"Core ID not found in Soil Data, so the corer diameter cannot be looked up. ","")&amp;IF(ASH_CORRECTED&lt;&gt;"Yes","Root mass is NOT ash-corrected, so it includes adhering mineral soil and is too high. Set ASH_CORRECTED once you have done it. ","")&amp;IF(AND(ASH_CORRECTED="Yes",NOT(ISNUMBER($H836))),"Ash correction is switched on but no ash fraction is given for this row. ","")&amp;IF($I836="","Sieve mesh not recorded — a fine-root figure cannot be interpreted without it. ","")&amp;IF(AND(ISNUMBER($H836),$H836&gt;0.5),"Ash fraction above 0.5 — over half this sample was mineral soil. Re-wash. ","")&amp;IF($F836="Not separated","Live and dead not separated. Fine for a stock, but "&amp;"note it in reporting. ",""))</f>
        <v/>
      </c>
      <c r="P836" s="6" t="n"/>
      <c r="Q836" s="9">
        <f>IF($B836="",0,IF(COUNTIFS($B$5:$B836,$B836)=1,1,0))</f>
        <v/>
      </c>
    </row>
    <row r="837">
      <c r="A837" s="6" t="n"/>
      <c r="B837" s="6" t="n"/>
      <c r="C837" s="6" t="n"/>
      <c r="D837" s="6" t="n"/>
      <c r="E837" s="6" t="n"/>
      <c r="F837" s="6" t="n"/>
      <c r="G837" s="7" t="n"/>
      <c r="H837" s="7" t="n"/>
      <c r="I837" s="6" t="n"/>
      <c r="J837" s="9">
        <f>IF(NOT(ISNUMBER($G837)),"",IF(AND(ASH_CORRECTED="Yes",ISNUMBER($H837)),$G837*(1-$H837),$G837))</f>
        <v/>
      </c>
      <c r="K837" s="9">
        <f>IF($B837="","",IFERROR(AVERAGEIFS('2. Soil Data'!$G$5:$G$604,'2. Soil Data'!$B$5:$B$604,$B837),""))</f>
        <v/>
      </c>
      <c r="L837" s="9">
        <f>IF(NOT(ISNUMBER($K837)),"",PI()*($K837/2)^2)</f>
        <v/>
      </c>
      <c r="M837" s="9">
        <f>IF(OR(NOT(ISNUMBER($J837)),NOT(ISNUMBER($L837)),$L837=0),"",$J837/$L837*10000)</f>
        <v/>
      </c>
      <c r="N837" s="9">
        <f>IF(NOT(ISNUMBER($M837)),"",$M837*CARBON_FRACTION_ROOT/1000)</f>
        <v/>
      </c>
      <c r="O837" s="11">
        <f>IF(AND($A837="",$B837="",$G837=""),"",IF(AND($B837&lt;&gt;"",COUNTIFS('2. Soil Data'!$B$5:$B$604,$B837)=0),"Core ID not found in Soil Data, so the corer diameter cannot be looked up. ","")&amp;IF(ASH_CORRECTED&lt;&gt;"Yes","Root mass is NOT ash-corrected, so it includes adhering mineral soil and is too high. Set ASH_CORRECTED once you have done it. ","")&amp;IF(AND(ASH_CORRECTED="Yes",NOT(ISNUMBER($H837))),"Ash correction is switched on but no ash fraction is given for this row. ","")&amp;IF($I837="","Sieve mesh not recorded — a fine-root figure cannot be interpreted without it. ","")&amp;IF(AND(ISNUMBER($H837),$H837&gt;0.5),"Ash fraction above 0.5 — over half this sample was mineral soil. Re-wash. ","")&amp;IF($F837="Not separated","Live and dead not separated. Fine for a stock, but "&amp;"note it in reporting. ",""))</f>
        <v/>
      </c>
      <c r="P837" s="6" t="n"/>
      <c r="Q837" s="9">
        <f>IF($B837="",0,IF(COUNTIFS($B$5:$B837,$B837)=1,1,0))</f>
        <v/>
      </c>
    </row>
    <row r="838">
      <c r="A838" s="6" t="n"/>
      <c r="B838" s="6" t="n"/>
      <c r="C838" s="6" t="n"/>
      <c r="D838" s="6" t="n"/>
      <c r="E838" s="6" t="n"/>
      <c r="F838" s="6" t="n"/>
      <c r="G838" s="7" t="n"/>
      <c r="H838" s="7" t="n"/>
      <c r="I838" s="6" t="n"/>
      <c r="J838" s="9">
        <f>IF(NOT(ISNUMBER($G838)),"",IF(AND(ASH_CORRECTED="Yes",ISNUMBER($H838)),$G838*(1-$H838),$G838))</f>
        <v/>
      </c>
      <c r="K838" s="9">
        <f>IF($B838="","",IFERROR(AVERAGEIFS('2. Soil Data'!$G$5:$G$604,'2. Soil Data'!$B$5:$B$604,$B838),""))</f>
        <v/>
      </c>
      <c r="L838" s="9">
        <f>IF(NOT(ISNUMBER($K838)),"",PI()*($K838/2)^2)</f>
        <v/>
      </c>
      <c r="M838" s="9">
        <f>IF(OR(NOT(ISNUMBER($J838)),NOT(ISNUMBER($L838)),$L838=0),"",$J838/$L838*10000)</f>
        <v/>
      </c>
      <c r="N838" s="9">
        <f>IF(NOT(ISNUMBER($M838)),"",$M838*CARBON_FRACTION_ROOT/1000)</f>
        <v/>
      </c>
      <c r="O838" s="11">
        <f>IF(AND($A838="",$B838="",$G838=""),"",IF(AND($B838&lt;&gt;"",COUNTIFS('2. Soil Data'!$B$5:$B$604,$B838)=0),"Core ID not found in Soil Data, so the corer diameter cannot be looked up. ","")&amp;IF(ASH_CORRECTED&lt;&gt;"Yes","Root mass is NOT ash-corrected, so it includes adhering mineral soil and is too high. Set ASH_CORRECTED once you have done it. ","")&amp;IF(AND(ASH_CORRECTED="Yes",NOT(ISNUMBER($H838))),"Ash correction is switched on but no ash fraction is given for this row. ","")&amp;IF($I838="","Sieve mesh not recorded — a fine-root figure cannot be interpreted without it. ","")&amp;IF(AND(ISNUMBER($H838),$H838&gt;0.5),"Ash fraction above 0.5 — over half this sample was mineral soil. Re-wash. ","")&amp;IF($F838="Not separated","Live and dead not separated. Fine for a stock, but "&amp;"note it in reporting. ",""))</f>
        <v/>
      </c>
      <c r="P838" s="6" t="n"/>
      <c r="Q838" s="9">
        <f>IF($B838="",0,IF(COUNTIFS($B$5:$B838,$B838)=1,1,0))</f>
        <v/>
      </c>
    </row>
    <row r="839">
      <c r="A839" s="6" t="n"/>
      <c r="B839" s="6" t="n"/>
      <c r="C839" s="6" t="n"/>
      <c r="D839" s="6" t="n"/>
      <c r="E839" s="6" t="n"/>
      <c r="F839" s="6" t="n"/>
      <c r="G839" s="7" t="n"/>
      <c r="H839" s="7" t="n"/>
      <c r="I839" s="6" t="n"/>
      <c r="J839" s="9">
        <f>IF(NOT(ISNUMBER($G839)),"",IF(AND(ASH_CORRECTED="Yes",ISNUMBER($H839)),$G839*(1-$H839),$G839))</f>
        <v/>
      </c>
      <c r="K839" s="9">
        <f>IF($B839="","",IFERROR(AVERAGEIFS('2. Soil Data'!$G$5:$G$604,'2. Soil Data'!$B$5:$B$604,$B839),""))</f>
        <v/>
      </c>
      <c r="L839" s="9">
        <f>IF(NOT(ISNUMBER($K839)),"",PI()*($K839/2)^2)</f>
        <v/>
      </c>
      <c r="M839" s="9">
        <f>IF(OR(NOT(ISNUMBER($J839)),NOT(ISNUMBER($L839)),$L839=0),"",$J839/$L839*10000)</f>
        <v/>
      </c>
      <c r="N839" s="9">
        <f>IF(NOT(ISNUMBER($M839)),"",$M839*CARBON_FRACTION_ROOT/1000)</f>
        <v/>
      </c>
      <c r="O839" s="11">
        <f>IF(AND($A839="",$B839="",$G839=""),"",IF(AND($B839&lt;&gt;"",COUNTIFS('2. Soil Data'!$B$5:$B$604,$B839)=0),"Core ID not found in Soil Data, so the corer diameter cannot be looked up. ","")&amp;IF(ASH_CORRECTED&lt;&gt;"Yes","Root mass is NOT ash-corrected, so it includes adhering mineral soil and is too high. Set ASH_CORRECTED once you have done it. ","")&amp;IF(AND(ASH_CORRECTED="Yes",NOT(ISNUMBER($H839))),"Ash correction is switched on but no ash fraction is given for this row. ","")&amp;IF($I839="","Sieve mesh not recorded — a fine-root figure cannot be interpreted without it. ","")&amp;IF(AND(ISNUMBER($H839),$H839&gt;0.5),"Ash fraction above 0.5 — over half this sample was mineral soil. Re-wash. ","")&amp;IF($F839="Not separated","Live and dead not separated. Fine for a stock, but "&amp;"note it in reporting. ",""))</f>
        <v/>
      </c>
      <c r="P839" s="6" t="n"/>
      <c r="Q839" s="9">
        <f>IF($B839="",0,IF(COUNTIFS($B$5:$B839,$B839)=1,1,0))</f>
        <v/>
      </c>
    </row>
    <row r="840">
      <c r="A840" s="6" t="n"/>
      <c r="B840" s="6" t="n"/>
      <c r="C840" s="6" t="n"/>
      <c r="D840" s="6" t="n"/>
      <c r="E840" s="6" t="n"/>
      <c r="F840" s="6" t="n"/>
      <c r="G840" s="7" t="n"/>
      <c r="H840" s="7" t="n"/>
      <c r="I840" s="6" t="n"/>
      <c r="J840" s="9">
        <f>IF(NOT(ISNUMBER($G840)),"",IF(AND(ASH_CORRECTED="Yes",ISNUMBER($H840)),$G840*(1-$H840),$G840))</f>
        <v/>
      </c>
      <c r="K840" s="9">
        <f>IF($B840="","",IFERROR(AVERAGEIFS('2. Soil Data'!$G$5:$G$604,'2. Soil Data'!$B$5:$B$604,$B840),""))</f>
        <v/>
      </c>
      <c r="L840" s="9">
        <f>IF(NOT(ISNUMBER($K840)),"",PI()*($K840/2)^2)</f>
        <v/>
      </c>
      <c r="M840" s="9">
        <f>IF(OR(NOT(ISNUMBER($J840)),NOT(ISNUMBER($L840)),$L840=0),"",$J840/$L840*10000)</f>
        <v/>
      </c>
      <c r="N840" s="9">
        <f>IF(NOT(ISNUMBER($M840)),"",$M840*CARBON_FRACTION_ROOT/1000)</f>
        <v/>
      </c>
      <c r="O840" s="11">
        <f>IF(AND($A840="",$B840="",$G840=""),"",IF(AND($B840&lt;&gt;"",COUNTIFS('2. Soil Data'!$B$5:$B$604,$B840)=0),"Core ID not found in Soil Data, so the corer diameter cannot be looked up. ","")&amp;IF(ASH_CORRECTED&lt;&gt;"Yes","Root mass is NOT ash-corrected, so it includes adhering mineral soil and is too high. Set ASH_CORRECTED once you have done it. ","")&amp;IF(AND(ASH_CORRECTED="Yes",NOT(ISNUMBER($H840))),"Ash correction is switched on but no ash fraction is given for this row. ","")&amp;IF($I840="","Sieve mesh not recorded — a fine-root figure cannot be interpreted without it. ","")&amp;IF(AND(ISNUMBER($H840),$H840&gt;0.5),"Ash fraction above 0.5 — over half this sample was mineral soil. Re-wash. ","")&amp;IF($F840="Not separated","Live and dead not separated. Fine for a stock, but "&amp;"note it in reporting. ",""))</f>
        <v/>
      </c>
      <c r="P840" s="6" t="n"/>
      <c r="Q840" s="9">
        <f>IF($B840="",0,IF(COUNTIFS($B$5:$B840,$B840)=1,1,0))</f>
        <v/>
      </c>
    </row>
    <row r="841">
      <c r="A841" s="6" t="n"/>
      <c r="B841" s="6" t="n"/>
      <c r="C841" s="6" t="n"/>
      <c r="D841" s="6" t="n"/>
      <c r="E841" s="6" t="n"/>
      <c r="F841" s="6" t="n"/>
      <c r="G841" s="7" t="n"/>
      <c r="H841" s="7" t="n"/>
      <c r="I841" s="6" t="n"/>
      <c r="J841" s="9">
        <f>IF(NOT(ISNUMBER($G841)),"",IF(AND(ASH_CORRECTED="Yes",ISNUMBER($H841)),$G841*(1-$H841),$G841))</f>
        <v/>
      </c>
      <c r="K841" s="9">
        <f>IF($B841="","",IFERROR(AVERAGEIFS('2. Soil Data'!$G$5:$G$604,'2. Soil Data'!$B$5:$B$604,$B841),""))</f>
        <v/>
      </c>
      <c r="L841" s="9">
        <f>IF(NOT(ISNUMBER($K841)),"",PI()*($K841/2)^2)</f>
        <v/>
      </c>
      <c r="M841" s="9">
        <f>IF(OR(NOT(ISNUMBER($J841)),NOT(ISNUMBER($L841)),$L841=0),"",$J841/$L841*10000)</f>
        <v/>
      </c>
      <c r="N841" s="9">
        <f>IF(NOT(ISNUMBER($M841)),"",$M841*CARBON_FRACTION_ROOT/1000)</f>
        <v/>
      </c>
      <c r="O841" s="11">
        <f>IF(AND($A841="",$B841="",$G841=""),"",IF(AND($B841&lt;&gt;"",COUNTIFS('2. Soil Data'!$B$5:$B$604,$B841)=0),"Core ID not found in Soil Data, so the corer diameter cannot be looked up. ","")&amp;IF(ASH_CORRECTED&lt;&gt;"Yes","Root mass is NOT ash-corrected, so it includes adhering mineral soil and is too high. Set ASH_CORRECTED once you have done it. ","")&amp;IF(AND(ASH_CORRECTED="Yes",NOT(ISNUMBER($H841))),"Ash correction is switched on but no ash fraction is given for this row. ","")&amp;IF($I841="","Sieve mesh not recorded — a fine-root figure cannot be interpreted without it. ","")&amp;IF(AND(ISNUMBER($H841),$H841&gt;0.5),"Ash fraction above 0.5 — over half this sample was mineral soil. Re-wash. ","")&amp;IF($F841="Not separated","Live and dead not separated. Fine for a stock, but "&amp;"note it in reporting. ",""))</f>
        <v/>
      </c>
      <c r="P841" s="6" t="n"/>
      <c r="Q841" s="9">
        <f>IF($B841="",0,IF(COUNTIFS($B$5:$B841,$B841)=1,1,0))</f>
        <v/>
      </c>
    </row>
    <row r="842">
      <c r="A842" s="6" t="n"/>
      <c r="B842" s="6" t="n"/>
      <c r="C842" s="6" t="n"/>
      <c r="D842" s="6" t="n"/>
      <c r="E842" s="6" t="n"/>
      <c r="F842" s="6" t="n"/>
      <c r="G842" s="7" t="n"/>
      <c r="H842" s="7" t="n"/>
      <c r="I842" s="6" t="n"/>
      <c r="J842" s="9">
        <f>IF(NOT(ISNUMBER($G842)),"",IF(AND(ASH_CORRECTED="Yes",ISNUMBER($H842)),$G842*(1-$H842),$G842))</f>
        <v/>
      </c>
      <c r="K842" s="9">
        <f>IF($B842="","",IFERROR(AVERAGEIFS('2. Soil Data'!$G$5:$G$604,'2. Soil Data'!$B$5:$B$604,$B842),""))</f>
        <v/>
      </c>
      <c r="L842" s="9">
        <f>IF(NOT(ISNUMBER($K842)),"",PI()*($K842/2)^2)</f>
        <v/>
      </c>
      <c r="M842" s="9">
        <f>IF(OR(NOT(ISNUMBER($J842)),NOT(ISNUMBER($L842)),$L842=0),"",$J842/$L842*10000)</f>
        <v/>
      </c>
      <c r="N842" s="9">
        <f>IF(NOT(ISNUMBER($M842)),"",$M842*CARBON_FRACTION_ROOT/1000)</f>
        <v/>
      </c>
      <c r="O842" s="11">
        <f>IF(AND($A842="",$B842="",$G842=""),"",IF(AND($B842&lt;&gt;"",COUNTIFS('2. Soil Data'!$B$5:$B$604,$B842)=0),"Core ID not found in Soil Data, so the corer diameter cannot be looked up. ","")&amp;IF(ASH_CORRECTED&lt;&gt;"Yes","Root mass is NOT ash-corrected, so it includes adhering mineral soil and is too high. Set ASH_CORRECTED once you have done it. ","")&amp;IF(AND(ASH_CORRECTED="Yes",NOT(ISNUMBER($H842))),"Ash correction is switched on but no ash fraction is given for this row. ","")&amp;IF($I842="","Sieve mesh not recorded — a fine-root figure cannot be interpreted without it. ","")&amp;IF(AND(ISNUMBER($H842),$H842&gt;0.5),"Ash fraction above 0.5 — over half this sample was mineral soil. Re-wash. ","")&amp;IF($F842="Not separated","Live and dead not separated. Fine for a stock, but "&amp;"note it in reporting. ",""))</f>
        <v/>
      </c>
      <c r="P842" s="6" t="n"/>
      <c r="Q842" s="9">
        <f>IF($B842="",0,IF(COUNTIFS($B$5:$B842,$B842)=1,1,0))</f>
        <v/>
      </c>
    </row>
    <row r="843">
      <c r="A843" s="6" t="n"/>
      <c r="B843" s="6" t="n"/>
      <c r="C843" s="6" t="n"/>
      <c r="D843" s="6" t="n"/>
      <c r="E843" s="6" t="n"/>
      <c r="F843" s="6" t="n"/>
      <c r="G843" s="7" t="n"/>
      <c r="H843" s="7" t="n"/>
      <c r="I843" s="6" t="n"/>
      <c r="J843" s="9">
        <f>IF(NOT(ISNUMBER($G843)),"",IF(AND(ASH_CORRECTED="Yes",ISNUMBER($H843)),$G843*(1-$H843),$G843))</f>
        <v/>
      </c>
      <c r="K843" s="9">
        <f>IF($B843="","",IFERROR(AVERAGEIFS('2. Soil Data'!$G$5:$G$604,'2. Soil Data'!$B$5:$B$604,$B843),""))</f>
        <v/>
      </c>
      <c r="L843" s="9">
        <f>IF(NOT(ISNUMBER($K843)),"",PI()*($K843/2)^2)</f>
        <v/>
      </c>
      <c r="M843" s="9">
        <f>IF(OR(NOT(ISNUMBER($J843)),NOT(ISNUMBER($L843)),$L843=0),"",$J843/$L843*10000)</f>
        <v/>
      </c>
      <c r="N843" s="9">
        <f>IF(NOT(ISNUMBER($M843)),"",$M843*CARBON_FRACTION_ROOT/1000)</f>
        <v/>
      </c>
      <c r="O843" s="11">
        <f>IF(AND($A843="",$B843="",$G843=""),"",IF(AND($B843&lt;&gt;"",COUNTIFS('2. Soil Data'!$B$5:$B$604,$B843)=0),"Core ID not found in Soil Data, so the corer diameter cannot be looked up. ","")&amp;IF(ASH_CORRECTED&lt;&gt;"Yes","Root mass is NOT ash-corrected, so it includes adhering mineral soil and is too high. Set ASH_CORRECTED once you have done it. ","")&amp;IF(AND(ASH_CORRECTED="Yes",NOT(ISNUMBER($H843))),"Ash correction is switched on but no ash fraction is given for this row. ","")&amp;IF($I843="","Sieve mesh not recorded — a fine-root figure cannot be interpreted without it. ","")&amp;IF(AND(ISNUMBER($H843),$H843&gt;0.5),"Ash fraction above 0.5 — over half this sample was mineral soil. Re-wash. ","")&amp;IF($F843="Not separated","Live and dead not separated. Fine for a stock, but "&amp;"note it in reporting. ",""))</f>
        <v/>
      </c>
      <c r="P843" s="6" t="n"/>
      <c r="Q843" s="9">
        <f>IF($B843="",0,IF(COUNTIFS($B$5:$B843,$B843)=1,1,0))</f>
        <v/>
      </c>
    </row>
    <row r="844">
      <c r="A844" s="6" t="n"/>
      <c r="B844" s="6" t="n"/>
      <c r="C844" s="6" t="n"/>
      <c r="D844" s="6" t="n"/>
      <c r="E844" s="6" t="n"/>
      <c r="F844" s="6" t="n"/>
      <c r="G844" s="7" t="n"/>
      <c r="H844" s="7" t="n"/>
      <c r="I844" s="6" t="n"/>
      <c r="J844" s="9">
        <f>IF(NOT(ISNUMBER($G844)),"",IF(AND(ASH_CORRECTED="Yes",ISNUMBER($H844)),$G844*(1-$H844),$G844))</f>
        <v/>
      </c>
      <c r="K844" s="9">
        <f>IF($B844="","",IFERROR(AVERAGEIFS('2. Soil Data'!$G$5:$G$604,'2. Soil Data'!$B$5:$B$604,$B844),""))</f>
        <v/>
      </c>
      <c r="L844" s="9">
        <f>IF(NOT(ISNUMBER($K844)),"",PI()*($K844/2)^2)</f>
        <v/>
      </c>
      <c r="M844" s="9">
        <f>IF(OR(NOT(ISNUMBER($J844)),NOT(ISNUMBER($L844)),$L844=0),"",$J844/$L844*10000)</f>
        <v/>
      </c>
      <c r="N844" s="9">
        <f>IF(NOT(ISNUMBER($M844)),"",$M844*CARBON_FRACTION_ROOT/1000)</f>
        <v/>
      </c>
      <c r="O844" s="11">
        <f>IF(AND($A844="",$B844="",$G844=""),"",IF(AND($B844&lt;&gt;"",COUNTIFS('2. Soil Data'!$B$5:$B$604,$B844)=0),"Core ID not found in Soil Data, so the corer diameter cannot be looked up. ","")&amp;IF(ASH_CORRECTED&lt;&gt;"Yes","Root mass is NOT ash-corrected, so it includes adhering mineral soil and is too high. Set ASH_CORRECTED once you have done it. ","")&amp;IF(AND(ASH_CORRECTED="Yes",NOT(ISNUMBER($H844))),"Ash correction is switched on but no ash fraction is given for this row. ","")&amp;IF($I844="","Sieve mesh not recorded — a fine-root figure cannot be interpreted without it. ","")&amp;IF(AND(ISNUMBER($H844),$H844&gt;0.5),"Ash fraction above 0.5 — over half this sample was mineral soil. Re-wash. ","")&amp;IF($F844="Not separated","Live and dead not separated. Fine for a stock, but "&amp;"note it in reporting. ",""))</f>
        <v/>
      </c>
      <c r="P844" s="6" t="n"/>
      <c r="Q844" s="9">
        <f>IF($B844="",0,IF(COUNTIFS($B$5:$B844,$B844)=1,1,0))</f>
        <v/>
      </c>
    </row>
    <row r="845">
      <c r="A845" s="6" t="n"/>
      <c r="B845" s="6" t="n"/>
      <c r="C845" s="6" t="n"/>
      <c r="D845" s="6" t="n"/>
      <c r="E845" s="6" t="n"/>
      <c r="F845" s="6" t="n"/>
      <c r="G845" s="7" t="n"/>
      <c r="H845" s="7" t="n"/>
      <c r="I845" s="6" t="n"/>
      <c r="J845" s="9">
        <f>IF(NOT(ISNUMBER($G845)),"",IF(AND(ASH_CORRECTED="Yes",ISNUMBER($H845)),$G845*(1-$H845),$G845))</f>
        <v/>
      </c>
      <c r="K845" s="9">
        <f>IF($B845="","",IFERROR(AVERAGEIFS('2. Soil Data'!$G$5:$G$604,'2. Soil Data'!$B$5:$B$604,$B845),""))</f>
        <v/>
      </c>
      <c r="L845" s="9">
        <f>IF(NOT(ISNUMBER($K845)),"",PI()*($K845/2)^2)</f>
        <v/>
      </c>
      <c r="M845" s="9">
        <f>IF(OR(NOT(ISNUMBER($J845)),NOT(ISNUMBER($L845)),$L845=0),"",$J845/$L845*10000)</f>
        <v/>
      </c>
      <c r="N845" s="9">
        <f>IF(NOT(ISNUMBER($M845)),"",$M845*CARBON_FRACTION_ROOT/1000)</f>
        <v/>
      </c>
      <c r="O845" s="11">
        <f>IF(AND($A845="",$B845="",$G845=""),"",IF(AND($B845&lt;&gt;"",COUNTIFS('2. Soil Data'!$B$5:$B$604,$B845)=0),"Core ID not found in Soil Data, so the corer diameter cannot be looked up. ","")&amp;IF(ASH_CORRECTED&lt;&gt;"Yes","Root mass is NOT ash-corrected, so it includes adhering mineral soil and is too high. Set ASH_CORRECTED once you have done it. ","")&amp;IF(AND(ASH_CORRECTED="Yes",NOT(ISNUMBER($H845))),"Ash correction is switched on but no ash fraction is given for this row. ","")&amp;IF($I845="","Sieve mesh not recorded — a fine-root figure cannot be interpreted without it. ","")&amp;IF(AND(ISNUMBER($H845),$H845&gt;0.5),"Ash fraction above 0.5 — over half this sample was mineral soil. Re-wash. ","")&amp;IF($F845="Not separated","Live and dead not separated. Fine for a stock, but "&amp;"note it in reporting. ",""))</f>
        <v/>
      </c>
      <c r="P845" s="6" t="n"/>
      <c r="Q845" s="9">
        <f>IF($B845="",0,IF(COUNTIFS($B$5:$B845,$B845)=1,1,0))</f>
        <v/>
      </c>
    </row>
    <row r="846">
      <c r="A846" s="6" t="n"/>
      <c r="B846" s="6" t="n"/>
      <c r="C846" s="6" t="n"/>
      <c r="D846" s="6" t="n"/>
      <c r="E846" s="6" t="n"/>
      <c r="F846" s="6" t="n"/>
      <c r="G846" s="7" t="n"/>
      <c r="H846" s="7" t="n"/>
      <c r="I846" s="6" t="n"/>
      <c r="J846" s="9">
        <f>IF(NOT(ISNUMBER($G846)),"",IF(AND(ASH_CORRECTED="Yes",ISNUMBER($H846)),$G846*(1-$H846),$G846))</f>
        <v/>
      </c>
      <c r="K846" s="9">
        <f>IF($B846="","",IFERROR(AVERAGEIFS('2. Soil Data'!$G$5:$G$604,'2. Soil Data'!$B$5:$B$604,$B846),""))</f>
        <v/>
      </c>
      <c r="L846" s="9">
        <f>IF(NOT(ISNUMBER($K846)),"",PI()*($K846/2)^2)</f>
        <v/>
      </c>
      <c r="M846" s="9">
        <f>IF(OR(NOT(ISNUMBER($J846)),NOT(ISNUMBER($L846)),$L846=0),"",$J846/$L846*10000)</f>
        <v/>
      </c>
      <c r="N846" s="9">
        <f>IF(NOT(ISNUMBER($M846)),"",$M846*CARBON_FRACTION_ROOT/1000)</f>
        <v/>
      </c>
      <c r="O846" s="11">
        <f>IF(AND($A846="",$B846="",$G846=""),"",IF(AND($B846&lt;&gt;"",COUNTIFS('2. Soil Data'!$B$5:$B$604,$B846)=0),"Core ID not found in Soil Data, so the corer diameter cannot be looked up. ","")&amp;IF(ASH_CORRECTED&lt;&gt;"Yes","Root mass is NOT ash-corrected, so it includes adhering mineral soil and is too high. Set ASH_CORRECTED once you have done it. ","")&amp;IF(AND(ASH_CORRECTED="Yes",NOT(ISNUMBER($H846))),"Ash correction is switched on but no ash fraction is given for this row. ","")&amp;IF($I846="","Sieve mesh not recorded — a fine-root figure cannot be interpreted without it. ","")&amp;IF(AND(ISNUMBER($H846),$H846&gt;0.5),"Ash fraction above 0.5 — over half this sample was mineral soil. Re-wash. ","")&amp;IF($F846="Not separated","Live and dead not separated. Fine for a stock, but "&amp;"note it in reporting. ",""))</f>
        <v/>
      </c>
      <c r="P846" s="6" t="n"/>
      <c r="Q846" s="9">
        <f>IF($B846="",0,IF(COUNTIFS($B$5:$B846,$B846)=1,1,0))</f>
        <v/>
      </c>
    </row>
    <row r="847">
      <c r="A847" s="6" t="n"/>
      <c r="B847" s="6" t="n"/>
      <c r="C847" s="6" t="n"/>
      <c r="D847" s="6" t="n"/>
      <c r="E847" s="6" t="n"/>
      <c r="F847" s="6" t="n"/>
      <c r="G847" s="7" t="n"/>
      <c r="H847" s="7" t="n"/>
      <c r="I847" s="6" t="n"/>
      <c r="J847" s="9">
        <f>IF(NOT(ISNUMBER($G847)),"",IF(AND(ASH_CORRECTED="Yes",ISNUMBER($H847)),$G847*(1-$H847),$G847))</f>
        <v/>
      </c>
      <c r="K847" s="9">
        <f>IF($B847="","",IFERROR(AVERAGEIFS('2. Soil Data'!$G$5:$G$604,'2. Soil Data'!$B$5:$B$604,$B847),""))</f>
        <v/>
      </c>
      <c r="L847" s="9">
        <f>IF(NOT(ISNUMBER($K847)),"",PI()*($K847/2)^2)</f>
        <v/>
      </c>
      <c r="M847" s="9">
        <f>IF(OR(NOT(ISNUMBER($J847)),NOT(ISNUMBER($L847)),$L847=0),"",$J847/$L847*10000)</f>
        <v/>
      </c>
      <c r="N847" s="9">
        <f>IF(NOT(ISNUMBER($M847)),"",$M847*CARBON_FRACTION_ROOT/1000)</f>
        <v/>
      </c>
      <c r="O847" s="11">
        <f>IF(AND($A847="",$B847="",$G847=""),"",IF(AND($B847&lt;&gt;"",COUNTIFS('2. Soil Data'!$B$5:$B$604,$B847)=0),"Core ID not found in Soil Data, so the corer diameter cannot be looked up. ","")&amp;IF(ASH_CORRECTED&lt;&gt;"Yes","Root mass is NOT ash-corrected, so it includes adhering mineral soil and is too high. Set ASH_CORRECTED once you have done it. ","")&amp;IF(AND(ASH_CORRECTED="Yes",NOT(ISNUMBER($H847))),"Ash correction is switched on but no ash fraction is given for this row. ","")&amp;IF($I847="","Sieve mesh not recorded — a fine-root figure cannot be interpreted without it. ","")&amp;IF(AND(ISNUMBER($H847),$H847&gt;0.5),"Ash fraction above 0.5 — over half this sample was mineral soil. Re-wash. ","")&amp;IF($F847="Not separated","Live and dead not separated. Fine for a stock, but "&amp;"note it in reporting. ",""))</f>
        <v/>
      </c>
      <c r="P847" s="6" t="n"/>
      <c r="Q847" s="9">
        <f>IF($B847="",0,IF(COUNTIFS($B$5:$B847,$B847)=1,1,0))</f>
        <v/>
      </c>
    </row>
    <row r="848">
      <c r="A848" s="6" t="n"/>
      <c r="B848" s="6" t="n"/>
      <c r="C848" s="6" t="n"/>
      <c r="D848" s="6" t="n"/>
      <c r="E848" s="6" t="n"/>
      <c r="F848" s="6" t="n"/>
      <c r="G848" s="7" t="n"/>
      <c r="H848" s="7" t="n"/>
      <c r="I848" s="6" t="n"/>
      <c r="J848" s="9">
        <f>IF(NOT(ISNUMBER($G848)),"",IF(AND(ASH_CORRECTED="Yes",ISNUMBER($H848)),$G848*(1-$H848),$G848))</f>
        <v/>
      </c>
      <c r="K848" s="9">
        <f>IF($B848="","",IFERROR(AVERAGEIFS('2. Soil Data'!$G$5:$G$604,'2. Soil Data'!$B$5:$B$604,$B848),""))</f>
        <v/>
      </c>
      <c r="L848" s="9">
        <f>IF(NOT(ISNUMBER($K848)),"",PI()*($K848/2)^2)</f>
        <v/>
      </c>
      <c r="M848" s="9">
        <f>IF(OR(NOT(ISNUMBER($J848)),NOT(ISNUMBER($L848)),$L848=0),"",$J848/$L848*10000)</f>
        <v/>
      </c>
      <c r="N848" s="9">
        <f>IF(NOT(ISNUMBER($M848)),"",$M848*CARBON_FRACTION_ROOT/1000)</f>
        <v/>
      </c>
      <c r="O848" s="11">
        <f>IF(AND($A848="",$B848="",$G848=""),"",IF(AND($B848&lt;&gt;"",COUNTIFS('2. Soil Data'!$B$5:$B$604,$B848)=0),"Core ID not found in Soil Data, so the corer diameter cannot be looked up. ","")&amp;IF(ASH_CORRECTED&lt;&gt;"Yes","Root mass is NOT ash-corrected, so it includes adhering mineral soil and is too high. Set ASH_CORRECTED once you have done it. ","")&amp;IF(AND(ASH_CORRECTED="Yes",NOT(ISNUMBER($H848))),"Ash correction is switched on but no ash fraction is given for this row. ","")&amp;IF($I848="","Sieve mesh not recorded — a fine-root figure cannot be interpreted without it. ","")&amp;IF(AND(ISNUMBER($H848),$H848&gt;0.5),"Ash fraction above 0.5 — over half this sample was mineral soil. Re-wash. ","")&amp;IF($F848="Not separated","Live and dead not separated. Fine for a stock, but "&amp;"note it in reporting. ",""))</f>
        <v/>
      </c>
      <c r="P848" s="6" t="n"/>
      <c r="Q848" s="9">
        <f>IF($B848="",0,IF(COUNTIFS($B$5:$B848,$B848)=1,1,0))</f>
        <v/>
      </c>
    </row>
    <row r="849">
      <c r="A849" s="6" t="n"/>
      <c r="B849" s="6" t="n"/>
      <c r="C849" s="6" t="n"/>
      <c r="D849" s="6" t="n"/>
      <c r="E849" s="6" t="n"/>
      <c r="F849" s="6" t="n"/>
      <c r="G849" s="7" t="n"/>
      <c r="H849" s="7" t="n"/>
      <c r="I849" s="6" t="n"/>
      <c r="J849" s="9">
        <f>IF(NOT(ISNUMBER($G849)),"",IF(AND(ASH_CORRECTED="Yes",ISNUMBER($H849)),$G849*(1-$H849),$G849))</f>
        <v/>
      </c>
      <c r="K849" s="9">
        <f>IF($B849="","",IFERROR(AVERAGEIFS('2. Soil Data'!$G$5:$G$604,'2. Soil Data'!$B$5:$B$604,$B849),""))</f>
        <v/>
      </c>
      <c r="L849" s="9">
        <f>IF(NOT(ISNUMBER($K849)),"",PI()*($K849/2)^2)</f>
        <v/>
      </c>
      <c r="M849" s="9">
        <f>IF(OR(NOT(ISNUMBER($J849)),NOT(ISNUMBER($L849)),$L849=0),"",$J849/$L849*10000)</f>
        <v/>
      </c>
      <c r="N849" s="9">
        <f>IF(NOT(ISNUMBER($M849)),"",$M849*CARBON_FRACTION_ROOT/1000)</f>
        <v/>
      </c>
      <c r="O849" s="11">
        <f>IF(AND($A849="",$B849="",$G849=""),"",IF(AND($B849&lt;&gt;"",COUNTIFS('2. Soil Data'!$B$5:$B$604,$B849)=0),"Core ID not found in Soil Data, so the corer diameter cannot be looked up. ","")&amp;IF(ASH_CORRECTED&lt;&gt;"Yes","Root mass is NOT ash-corrected, so it includes adhering mineral soil and is too high. Set ASH_CORRECTED once you have done it. ","")&amp;IF(AND(ASH_CORRECTED="Yes",NOT(ISNUMBER($H849))),"Ash correction is switched on but no ash fraction is given for this row. ","")&amp;IF($I849="","Sieve mesh not recorded — a fine-root figure cannot be interpreted without it. ","")&amp;IF(AND(ISNUMBER($H849),$H849&gt;0.5),"Ash fraction above 0.5 — over half this sample was mineral soil. Re-wash. ","")&amp;IF($F849="Not separated","Live and dead not separated. Fine for a stock, but "&amp;"note it in reporting. ",""))</f>
        <v/>
      </c>
      <c r="P849" s="6" t="n"/>
      <c r="Q849" s="9">
        <f>IF($B849="",0,IF(COUNTIFS($B$5:$B849,$B849)=1,1,0))</f>
        <v/>
      </c>
    </row>
    <row r="850">
      <c r="A850" s="6" t="n"/>
      <c r="B850" s="6" t="n"/>
      <c r="C850" s="6" t="n"/>
      <c r="D850" s="6" t="n"/>
      <c r="E850" s="6" t="n"/>
      <c r="F850" s="6" t="n"/>
      <c r="G850" s="7" t="n"/>
      <c r="H850" s="7" t="n"/>
      <c r="I850" s="6" t="n"/>
      <c r="J850" s="9">
        <f>IF(NOT(ISNUMBER($G850)),"",IF(AND(ASH_CORRECTED="Yes",ISNUMBER($H850)),$G850*(1-$H850),$G850))</f>
        <v/>
      </c>
      <c r="K850" s="9">
        <f>IF($B850="","",IFERROR(AVERAGEIFS('2. Soil Data'!$G$5:$G$604,'2. Soil Data'!$B$5:$B$604,$B850),""))</f>
        <v/>
      </c>
      <c r="L850" s="9">
        <f>IF(NOT(ISNUMBER($K850)),"",PI()*($K850/2)^2)</f>
        <v/>
      </c>
      <c r="M850" s="9">
        <f>IF(OR(NOT(ISNUMBER($J850)),NOT(ISNUMBER($L850)),$L850=0),"",$J850/$L850*10000)</f>
        <v/>
      </c>
      <c r="N850" s="9">
        <f>IF(NOT(ISNUMBER($M850)),"",$M850*CARBON_FRACTION_ROOT/1000)</f>
        <v/>
      </c>
      <c r="O850" s="11">
        <f>IF(AND($A850="",$B850="",$G850=""),"",IF(AND($B850&lt;&gt;"",COUNTIFS('2. Soil Data'!$B$5:$B$604,$B850)=0),"Core ID not found in Soil Data, so the corer diameter cannot be looked up. ","")&amp;IF(ASH_CORRECTED&lt;&gt;"Yes","Root mass is NOT ash-corrected, so it includes adhering mineral soil and is too high. Set ASH_CORRECTED once you have done it. ","")&amp;IF(AND(ASH_CORRECTED="Yes",NOT(ISNUMBER($H850))),"Ash correction is switched on but no ash fraction is given for this row. ","")&amp;IF($I850="","Sieve mesh not recorded — a fine-root figure cannot be interpreted without it. ","")&amp;IF(AND(ISNUMBER($H850),$H850&gt;0.5),"Ash fraction above 0.5 — over half this sample was mineral soil. Re-wash. ","")&amp;IF($F850="Not separated","Live and dead not separated. Fine for a stock, but "&amp;"note it in reporting. ",""))</f>
        <v/>
      </c>
      <c r="P850" s="6" t="n"/>
      <c r="Q850" s="9">
        <f>IF($B850="",0,IF(COUNTIFS($B$5:$B850,$B850)=1,1,0))</f>
        <v/>
      </c>
    </row>
    <row r="851">
      <c r="A851" s="6" t="n"/>
      <c r="B851" s="6" t="n"/>
      <c r="C851" s="6" t="n"/>
      <c r="D851" s="6" t="n"/>
      <c r="E851" s="6" t="n"/>
      <c r="F851" s="6" t="n"/>
      <c r="G851" s="7" t="n"/>
      <c r="H851" s="7" t="n"/>
      <c r="I851" s="6" t="n"/>
      <c r="J851" s="9">
        <f>IF(NOT(ISNUMBER($G851)),"",IF(AND(ASH_CORRECTED="Yes",ISNUMBER($H851)),$G851*(1-$H851),$G851))</f>
        <v/>
      </c>
      <c r="K851" s="9">
        <f>IF($B851="","",IFERROR(AVERAGEIFS('2. Soil Data'!$G$5:$G$604,'2. Soil Data'!$B$5:$B$604,$B851),""))</f>
        <v/>
      </c>
      <c r="L851" s="9">
        <f>IF(NOT(ISNUMBER($K851)),"",PI()*($K851/2)^2)</f>
        <v/>
      </c>
      <c r="M851" s="9">
        <f>IF(OR(NOT(ISNUMBER($J851)),NOT(ISNUMBER($L851)),$L851=0),"",$J851/$L851*10000)</f>
        <v/>
      </c>
      <c r="N851" s="9">
        <f>IF(NOT(ISNUMBER($M851)),"",$M851*CARBON_FRACTION_ROOT/1000)</f>
        <v/>
      </c>
      <c r="O851" s="11">
        <f>IF(AND($A851="",$B851="",$G851=""),"",IF(AND($B851&lt;&gt;"",COUNTIFS('2. Soil Data'!$B$5:$B$604,$B851)=0),"Core ID not found in Soil Data, so the corer diameter cannot be looked up. ","")&amp;IF(ASH_CORRECTED&lt;&gt;"Yes","Root mass is NOT ash-corrected, so it includes adhering mineral soil and is too high. Set ASH_CORRECTED once you have done it. ","")&amp;IF(AND(ASH_CORRECTED="Yes",NOT(ISNUMBER($H851))),"Ash correction is switched on but no ash fraction is given for this row. ","")&amp;IF($I851="","Sieve mesh not recorded — a fine-root figure cannot be interpreted without it. ","")&amp;IF(AND(ISNUMBER($H851),$H851&gt;0.5),"Ash fraction above 0.5 — over half this sample was mineral soil. Re-wash. ","")&amp;IF($F851="Not separated","Live and dead not separated. Fine for a stock, but "&amp;"note it in reporting. ",""))</f>
        <v/>
      </c>
      <c r="P851" s="6" t="n"/>
      <c r="Q851" s="9">
        <f>IF($B851="",0,IF(COUNTIFS($B$5:$B851,$B851)=1,1,0))</f>
        <v/>
      </c>
    </row>
    <row r="852">
      <c r="A852" s="6" t="n"/>
      <c r="B852" s="6" t="n"/>
      <c r="C852" s="6" t="n"/>
      <c r="D852" s="6" t="n"/>
      <c r="E852" s="6" t="n"/>
      <c r="F852" s="6" t="n"/>
      <c r="G852" s="7" t="n"/>
      <c r="H852" s="7" t="n"/>
      <c r="I852" s="6" t="n"/>
      <c r="J852" s="9">
        <f>IF(NOT(ISNUMBER($G852)),"",IF(AND(ASH_CORRECTED="Yes",ISNUMBER($H852)),$G852*(1-$H852),$G852))</f>
        <v/>
      </c>
      <c r="K852" s="9">
        <f>IF($B852="","",IFERROR(AVERAGEIFS('2. Soil Data'!$G$5:$G$604,'2. Soil Data'!$B$5:$B$604,$B852),""))</f>
        <v/>
      </c>
      <c r="L852" s="9">
        <f>IF(NOT(ISNUMBER($K852)),"",PI()*($K852/2)^2)</f>
        <v/>
      </c>
      <c r="M852" s="9">
        <f>IF(OR(NOT(ISNUMBER($J852)),NOT(ISNUMBER($L852)),$L852=0),"",$J852/$L852*10000)</f>
        <v/>
      </c>
      <c r="N852" s="9">
        <f>IF(NOT(ISNUMBER($M852)),"",$M852*CARBON_FRACTION_ROOT/1000)</f>
        <v/>
      </c>
      <c r="O852" s="11">
        <f>IF(AND($A852="",$B852="",$G852=""),"",IF(AND($B852&lt;&gt;"",COUNTIFS('2. Soil Data'!$B$5:$B$604,$B852)=0),"Core ID not found in Soil Data, so the corer diameter cannot be looked up. ","")&amp;IF(ASH_CORRECTED&lt;&gt;"Yes","Root mass is NOT ash-corrected, so it includes adhering mineral soil and is too high. Set ASH_CORRECTED once you have done it. ","")&amp;IF(AND(ASH_CORRECTED="Yes",NOT(ISNUMBER($H852))),"Ash correction is switched on but no ash fraction is given for this row. ","")&amp;IF($I852="","Sieve mesh not recorded — a fine-root figure cannot be interpreted without it. ","")&amp;IF(AND(ISNUMBER($H852),$H852&gt;0.5),"Ash fraction above 0.5 — over half this sample was mineral soil. Re-wash. ","")&amp;IF($F852="Not separated","Live and dead not separated. Fine for a stock, but "&amp;"note it in reporting. ",""))</f>
        <v/>
      </c>
      <c r="P852" s="6" t="n"/>
      <c r="Q852" s="9">
        <f>IF($B852="",0,IF(COUNTIFS($B$5:$B852,$B852)=1,1,0))</f>
        <v/>
      </c>
    </row>
    <row r="853">
      <c r="A853" s="6" t="n"/>
      <c r="B853" s="6" t="n"/>
      <c r="C853" s="6" t="n"/>
      <c r="D853" s="6" t="n"/>
      <c r="E853" s="6" t="n"/>
      <c r="F853" s="6" t="n"/>
      <c r="G853" s="7" t="n"/>
      <c r="H853" s="7" t="n"/>
      <c r="I853" s="6" t="n"/>
      <c r="J853" s="9">
        <f>IF(NOT(ISNUMBER($G853)),"",IF(AND(ASH_CORRECTED="Yes",ISNUMBER($H853)),$G853*(1-$H853),$G853))</f>
        <v/>
      </c>
      <c r="K853" s="9">
        <f>IF($B853="","",IFERROR(AVERAGEIFS('2. Soil Data'!$G$5:$G$604,'2. Soil Data'!$B$5:$B$604,$B853),""))</f>
        <v/>
      </c>
      <c r="L853" s="9">
        <f>IF(NOT(ISNUMBER($K853)),"",PI()*($K853/2)^2)</f>
        <v/>
      </c>
      <c r="M853" s="9">
        <f>IF(OR(NOT(ISNUMBER($J853)),NOT(ISNUMBER($L853)),$L853=0),"",$J853/$L853*10000)</f>
        <v/>
      </c>
      <c r="N853" s="9">
        <f>IF(NOT(ISNUMBER($M853)),"",$M853*CARBON_FRACTION_ROOT/1000)</f>
        <v/>
      </c>
      <c r="O853" s="11">
        <f>IF(AND($A853="",$B853="",$G853=""),"",IF(AND($B853&lt;&gt;"",COUNTIFS('2. Soil Data'!$B$5:$B$604,$B853)=0),"Core ID not found in Soil Data, so the corer diameter cannot be looked up. ","")&amp;IF(ASH_CORRECTED&lt;&gt;"Yes","Root mass is NOT ash-corrected, so it includes adhering mineral soil and is too high. Set ASH_CORRECTED once you have done it. ","")&amp;IF(AND(ASH_CORRECTED="Yes",NOT(ISNUMBER($H853))),"Ash correction is switched on but no ash fraction is given for this row. ","")&amp;IF($I853="","Sieve mesh not recorded — a fine-root figure cannot be interpreted without it. ","")&amp;IF(AND(ISNUMBER($H853),$H853&gt;0.5),"Ash fraction above 0.5 — over half this sample was mineral soil. Re-wash. ","")&amp;IF($F853="Not separated","Live and dead not separated. Fine for a stock, but "&amp;"note it in reporting. ",""))</f>
        <v/>
      </c>
      <c r="P853" s="6" t="n"/>
      <c r="Q853" s="9">
        <f>IF($B853="",0,IF(COUNTIFS($B$5:$B853,$B853)=1,1,0))</f>
        <v/>
      </c>
    </row>
    <row r="854">
      <c r="A854" s="6" t="n"/>
      <c r="B854" s="6" t="n"/>
      <c r="C854" s="6" t="n"/>
      <c r="D854" s="6" t="n"/>
      <c r="E854" s="6" t="n"/>
      <c r="F854" s="6" t="n"/>
      <c r="G854" s="7" t="n"/>
      <c r="H854" s="7" t="n"/>
      <c r="I854" s="6" t="n"/>
      <c r="J854" s="9">
        <f>IF(NOT(ISNUMBER($G854)),"",IF(AND(ASH_CORRECTED="Yes",ISNUMBER($H854)),$G854*(1-$H854),$G854))</f>
        <v/>
      </c>
      <c r="K854" s="9">
        <f>IF($B854="","",IFERROR(AVERAGEIFS('2. Soil Data'!$G$5:$G$604,'2. Soil Data'!$B$5:$B$604,$B854),""))</f>
        <v/>
      </c>
      <c r="L854" s="9">
        <f>IF(NOT(ISNUMBER($K854)),"",PI()*($K854/2)^2)</f>
        <v/>
      </c>
      <c r="M854" s="9">
        <f>IF(OR(NOT(ISNUMBER($J854)),NOT(ISNUMBER($L854)),$L854=0),"",$J854/$L854*10000)</f>
        <v/>
      </c>
      <c r="N854" s="9">
        <f>IF(NOT(ISNUMBER($M854)),"",$M854*CARBON_FRACTION_ROOT/1000)</f>
        <v/>
      </c>
      <c r="O854" s="11">
        <f>IF(AND($A854="",$B854="",$G854=""),"",IF(AND($B854&lt;&gt;"",COUNTIFS('2. Soil Data'!$B$5:$B$604,$B854)=0),"Core ID not found in Soil Data, so the corer diameter cannot be looked up. ","")&amp;IF(ASH_CORRECTED&lt;&gt;"Yes","Root mass is NOT ash-corrected, so it includes adhering mineral soil and is too high. Set ASH_CORRECTED once you have done it. ","")&amp;IF(AND(ASH_CORRECTED="Yes",NOT(ISNUMBER($H854))),"Ash correction is switched on but no ash fraction is given for this row. ","")&amp;IF($I854="","Sieve mesh not recorded — a fine-root figure cannot be interpreted without it. ","")&amp;IF(AND(ISNUMBER($H854),$H854&gt;0.5),"Ash fraction above 0.5 — over half this sample was mineral soil. Re-wash. ","")&amp;IF($F854="Not separated","Live and dead not separated. Fine for a stock, but "&amp;"note it in reporting. ",""))</f>
        <v/>
      </c>
      <c r="P854" s="6" t="n"/>
      <c r="Q854" s="9">
        <f>IF($B854="",0,IF(COUNTIFS($B$5:$B854,$B854)=1,1,0))</f>
        <v/>
      </c>
    </row>
    <row r="855">
      <c r="A855" s="6" t="n"/>
      <c r="B855" s="6" t="n"/>
      <c r="C855" s="6" t="n"/>
      <c r="D855" s="6" t="n"/>
      <c r="E855" s="6" t="n"/>
      <c r="F855" s="6" t="n"/>
      <c r="G855" s="7" t="n"/>
      <c r="H855" s="7" t="n"/>
      <c r="I855" s="6" t="n"/>
      <c r="J855" s="9">
        <f>IF(NOT(ISNUMBER($G855)),"",IF(AND(ASH_CORRECTED="Yes",ISNUMBER($H855)),$G855*(1-$H855),$G855))</f>
        <v/>
      </c>
      <c r="K855" s="9">
        <f>IF($B855="","",IFERROR(AVERAGEIFS('2. Soil Data'!$G$5:$G$604,'2. Soil Data'!$B$5:$B$604,$B855),""))</f>
        <v/>
      </c>
      <c r="L855" s="9">
        <f>IF(NOT(ISNUMBER($K855)),"",PI()*($K855/2)^2)</f>
        <v/>
      </c>
      <c r="M855" s="9">
        <f>IF(OR(NOT(ISNUMBER($J855)),NOT(ISNUMBER($L855)),$L855=0),"",$J855/$L855*10000)</f>
        <v/>
      </c>
      <c r="N855" s="9">
        <f>IF(NOT(ISNUMBER($M855)),"",$M855*CARBON_FRACTION_ROOT/1000)</f>
        <v/>
      </c>
      <c r="O855" s="11">
        <f>IF(AND($A855="",$B855="",$G855=""),"",IF(AND($B855&lt;&gt;"",COUNTIFS('2. Soil Data'!$B$5:$B$604,$B855)=0),"Core ID not found in Soil Data, so the corer diameter cannot be looked up. ","")&amp;IF(ASH_CORRECTED&lt;&gt;"Yes","Root mass is NOT ash-corrected, so it includes adhering mineral soil and is too high. Set ASH_CORRECTED once you have done it. ","")&amp;IF(AND(ASH_CORRECTED="Yes",NOT(ISNUMBER($H855))),"Ash correction is switched on but no ash fraction is given for this row. ","")&amp;IF($I855="","Sieve mesh not recorded — a fine-root figure cannot be interpreted without it. ","")&amp;IF(AND(ISNUMBER($H855),$H855&gt;0.5),"Ash fraction above 0.5 — over half this sample was mineral soil. Re-wash. ","")&amp;IF($F855="Not separated","Live and dead not separated. Fine for a stock, but "&amp;"note it in reporting. ",""))</f>
        <v/>
      </c>
      <c r="P855" s="6" t="n"/>
      <c r="Q855" s="9">
        <f>IF($B855="",0,IF(COUNTIFS($B$5:$B855,$B855)=1,1,0))</f>
        <v/>
      </c>
    </row>
    <row r="856">
      <c r="A856" s="6" t="n"/>
      <c r="B856" s="6" t="n"/>
      <c r="C856" s="6" t="n"/>
      <c r="D856" s="6" t="n"/>
      <c r="E856" s="6" t="n"/>
      <c r="F856" s="6" t="n"/>
      <c r="G856" s="7" t="n"/>
      <c r="H856" s="7" t="n"/>
      <c r="I856" s="6" t="n"/>
      <c r="J856" s="9">
        <f>IF(NOT(ISNUMBER($G856)),"",IF(AND(ASH_CORRECTED="Yes",ISNUMBER($H856)),$G856*(1-$H856),$G856))</f>
        <v/>
      </c>
      <c r="K856" s="9">
        <f>IF($B856="","",IFERROR(AVERAGEIFS('2. Soil Data'!$G$5:$G$604,'2. Soil Data'!$B$5:$B$604,$B856),""))</f>
        <v/>
      </c>
      <c r="L856" s="9">
        <f>IF(NOT(ISNUMBER($K856)),"",PI()*($K856/2)^2)</f>
        <v/>
      </c>
      <c r="M856" s="9">
        <f>IF(OR(NOT(ISNUMBER($J856)),NOT(ISNUMBER($L856)),$L856=0),"",$J856/$L856*10000)</f>
        <v/>
      </c>
      <c r="N856" s="9">
        <f>IF(NOT(ISNUMBER($M856)),"",$M856*CARBON_FRACTION_ROOT/1000)</f>
        <v/>
      </c>
      <c r="O856" s="11">
        <f>IF(AND($A856="",$B856="",$G856=""),"",IF(AND($B856&lt;&gt;"",COUNTIFS('2. Soil Data'!$B$5:$B$604,$B856)=0),"Core ID not found in Soil Data, so the corer diameter cannot be looked up. ","")&amp;IF(ASH_CORRECTED&lt;&gt;"Yes","Root mass is NOT ash-corrected, so it includes adhering mineral soil and is too high. Set ASH_CORRECTED once you have done it. ","")&amp;IF(AND(ASH_CORRECTED="Yes",NOT(ISNUMBER($H856))),"Ash correction is switched on but no ash fraction is given for this row. ","")&amp;IF($I856="","Sieve mesh not recorded — a fine-root figure cannot be interpreted without it. ","")&amp;IF(AND(ISNUMBER($H856),$H856&gt;0.5),"Ash fraction above 0.5 — over half this sample was mineral soil. Re-wash. ","")&amp;IF($F856="Not separated","Live and dead not separated. Fine for a stock, but "&amp;"note it in reporting. ",""))</f>
        <v/>
      </c>
      <c r="P856" s="6" t="n"/>
      <c r="Q856" s="9">
        <f>IF($B856="",0,IF(COUNTIFS($B$5:$B856,$B856)=1,1,0))</f>
        <v/>
      </c>
    </row>
    <row r="857">
      <c r="A857" s="6" t="n"/>
      <c r="B857" s="6" t="n"/>
      <c r="C857" s="6" t="n"/>
      <c r="D857" s="6" t="n"/>
      <c r="E857" s="6" t="n"/>
      <c r="F857" s="6" t="n"/>
      <c r="G857" s="7" t="n"/>
      <c r="H857" s="7" t="n"/>
      <c r="I857" s="6" t="n"/>
      <c r="J857" s="9">
        <f>IF(NOT(ISNUMBER($G857)),"",IF(AND(ASH_CORRECTED="Yes",ISNUMBER($H857)),$G857*(1-$H857),$G857))</f>
        <v/>
      </c>
      <c r="K857" s="9">
        <f>IF($B857="","",IFERROR(AVERAGEIFS('2. Soil Data'!$G$5:$G$604,'2. Soil Data'!$B$5:$B$604,$B857),""))</f>
        <v/>
      </c>
      <c r="L857" s="9">
        <f>IF(NOT(ISNUMBER($K857)),"",PI()*($K857/2)^2)</f>
        <v/>
      </c>
      <c r="M857" s="9">
        <f>IF(OR(NOT(ISNUMBER($J857)),NOT(ISNUMBER($L857)),$L857=0),"",$J857/$L857*10000)</f>
        <v/>
      </c>
      <c r="N857" s="9">
        <f>IF(NOT(ISNUMBER($M857)),"",$M857*CARBON_FRACTION_ROOT/1000)</f>
        <v/>
      </c>
      <c r="O857" s="11">
        <f>IF(AND($A857="",$B857="",$G857=""),"",IF(AND($B857&lt;&gt;"",COUNTIFS('2. Soil Data'!$B$5:$B$604,$B857)=0),"Core ID not found in Soil Data, so the corer diameter cannot be looked up. ","")&amp;IF(ASH_CORRECTED&lt;&gt;"Yes","Root mass is NOT ash-corrected, so it includes adhering mineral soil and is too high. Set ASH_CORRECTED once you have done it. ","")&amp;IF(AND(ASH_CORRECTED="Yes",NOT(ISNUMBER($H857))),"Ash correction is switched on but no ash fraction is given for this row. ","")&amp;IF($I857="","Sieve mesh not recorded — a fine-root figure cannot be interpreted without it. ","")&amp;IF(AND(ISNUMBER($H857),$H857&gt;0.5),"Ash fraction above 0.5 — over half this sample was mineral soil. Re-wash. ","")&amp;IF($F857="Not separated","Live and dead not separated. Fine for a stock, but "&amp;"note it in reporting. ",""))</f>
        <v/>
      </c>
      <c r="P857" s="6" t="n"/>
      <c r="Q857" s="9">
        <f>IF($B857="",0,IF(COUNTIFS($B$5:$B857,$B857)=1,1,0))</f>
        <v/>
      </c>
    </row>
    <row r="858">
      <c r="A858" s="6" t="n"/>
      <c r="B858" s="6" t="n"/>
      <c r="C858" s="6" t="n"/>
      <c r="D858" s="6" t="n"/>
      <c r="E858" s="6" t="n"/>
      <c r="F858" s="6" t="n"/>
      <c r="G858" s="7" t="n"/>
      <c r="H858" s="7" t="n"/>
      <c r="I858" s="6" t="n"/>
      <c r="J858" s="9">
        <f>IF(NOT(ISNUMBER($G858)),"",IF(AND(ASH_CORRECTED="Yes",ISNUMBER($H858)),$G858*(1-$H858),$G858))</f>
        <v/>
      </c>
      <c r="K858" s="9">
        <f>IF($B858="","",IFERROR(AVERAGEIFS('2. Soil Data'!$G$5:$G$604,'2. Soil Data'!$B$5:$B$604,$B858),""))</f>
        <v/>
      </c>
      <c r="L858" s="9">
        <f>IF(NOT(ISNUMBER($K858)),"",PI()*($K858/2)^2)</f>
        <v/>
      </c>
      <c r="M858" s="9">
        <f>IF(OR(NOT(ISNUMBER($J858)),NOT(ISNUMBER($L858)),$L858=0),"",$J858/$L858*10000)</f>
        <v/>
      </c>
      <c r="N858" s="9">
        <f>IF(NOT(ISNUMBER($M858)),"",$M858*CARBON_FRACTION_ROOT/1000)</f>
        <v/>
      </c>
      <c r="O858" s="11">
        <f>IF(AND($A858="",$B858="",$G858=""),"",IF(AND($B858&lt;&gt;"",COUNTIFS('2. Soil Data'!$B$5:$B$604,$B858)=0),"Core ID not found in Soil Data, so the corer diameter cannot be looked up. ","")&amp;IF(ASH_CORRECTED&lt;&gt;"Yes","Root mass is NOT ash-corrected, so it includes adhering mineral soil and is too high. Set ASH_CORRECTED once you have done it. ","")&amp;IF(AND(ASH_CORRECTED="Yes",NOT(ISNUMBER($H858))),"Ash correction is switched on but no ash fraction is given for this row. ","")&amp;IF($I858="","Sieve mesh not recorded — a fine-root figure cannot be interpreted without it. ","")&amp;IF(AND(ISNUMBER($H858),$H858&gt;0.5),"Ash fraction above 0.5 — over half this sample was mineral soil. Re-wash. ","")&amp;IF($F858="Not separated","Live and dead not separated. Fine for a stock, but "&amp;"note it in reporting. ",""))</f>
        <v/>
      </c>
      <c r="P858" s="6" t="n"/>
      <c r="Q858" s="9">
        <f>IF($B858="",0,IF(COUNTIFS($B$5:$B858,$B858)=1,1,0))</f>
        <v/>
      </c>
    </row>
    <row r="859">
      <c r="A859" s="6" t="n"/>
      <c r="B859" s="6" t="n"/>
      <c r="C859" s="6" t="n"/>
      <c r="D859" s="6" t="n"/>
      <c r="E859" s="6" t="n"/>
      <c r="F859" s="6" t="n"/>
      <c r="G859" s="7" t="n"/>
      <c r="H859" s="7" t="n"/>
      <c r="I859" s="6" t="n"/>
      <c r="J859" s="9">
        <f>IF(NOT(ISNUMBER($G859)),"",IF(AND(ASH_CORRECTED="Yes",ISNUMBER($H859)),$G859*(1-$H859),$G859))</f>
        <v/>
      </c>
      <c r="K859" s="9">
        <f>IF($B859="","",IFERROR(AVERAGEIFS('2. Soil Data'!$G$5:$G$604,'2. Soil Data'!$B$5:$B$604,$B859),""))</f>
        <v/>
      </c>
      <c r="L859" s="9">
        <f>IF(NOT(ISNUMBER($K859)),"",PI()*($K859/2)^2)</f>
        <v/>
      </c>
      <c r="M859" s="9">
        <f>IF(OR(NOT(ISNUMBER($J859)),NOT(ISNUMBER($L859)),$L859=0),"",$J859/$L859*10000)</f>
        <v/>
      </c>
      <c r="N859" s="9">
        <f>IF(NOT(ISNUMBER($M859)),"",$M859*CARBON_FRACTION_ROOT/1000)</f>
        <v/>
      </c>
      <c r="O859" s="11">
        <f>IF(AND($A859="",$B859="",$G859=""),"",IF(AND($B859&lt;&gt;"",COUNTIFS('2. Soil Data'!$B$5:$B$604,$B859)=0),"Core ID not found in Soil Data, so the corer diameter cannot be looked up. ","")&amp;IF(ASH_CORRECTED&lt;&gt;"Yes","Root mass is NOT ash-corrected, so it includes adhering mineral soil and is too high. Set ASH_CORRECTED once you have done it. ","")&amp;IF(AND(ASH_CORRECTED="Yes",NOT(ISNUMBER($H859))),"Ash correction is switched on but no ash fraction is given for this row. ","")&amp;IF($I859="","Sieve mesh not recorded — a fine-root figure cannot be interpreted without it. ","")&amp;IF(AND(ISNUMBER($H859),$H859&gt;0.5),"Ash fraction above 0.5 — over half this sample was mineral soil. Re-wash. ","")&amp;IF($F859="Not separated","Live and dead not separated. Fine for a stock, but "&amp;"note it in reporting. ",""))</f>
        <v/>
      </c>
      <c r="P859" s="6" t="n"/>
      <c r="Q859" s="9">
        <f>IF($B859="",0,IF(COUNTIFS($B$5:$B859,$B859)=1,1,0))</f>
        <v/>
      </c>
    </row>
    <row r="860">
      <c r="A860" s="6" t="n"/>
      <c r="B860" s="6" t="n"/>
      <c r="C860" s="6" t="n"/>
      <c r="D860" s="6" t="n"/>
      <c r="E860" s="6" t="n"/>
      <c r="F860" s="6" t="n"/>
      <c r="G860" s="7" t="n"/>
      <c r="H860" s="7" t="n"/>
      <c r="I860" s="6" t="n"/>
      <c r="J860" s="9">
        <f>IF(NOT(ISNUMBER($G860)),"",IF(AND(ASH_CORRECTED="Yes",ISNUMBER($H860)),$G860*(1-$H860),$G860))</f>
        <v/>
      </c>
      <c r="K860" s="9">
        <f>IF($B860="","",IFERROR(AVERAGEIFS('2. Soil Data'!$G$5:$G$604,'2. Soil Data'!$B$5:$B$604,$B860),""))</f>
        <v/>
      </c>
      <c r="L860" s="9">
        <f>IF(NOT(ISNUMBER($K860)),"",PI()*($K860/2)^2)</f>
        <v/>
      </c>
      <c r="M860" s="9">
        <f>IF(OR(NOT(ISNUMBER($J860)),NOT(ISNUMBER($L860)),$L860=0),"",$J860/$L860*10000)</f>
        <v/>
      </c>
      <c r="N860" s="9">
        <f>IF(NOT(ISNUMBER($M860)),"",$M860*CARBON_FRACTION_ROOT/1000)</f>
        <v/>
      </c>
      <c r="O860" s="11">
        <f>IF(AND($A860="",$B860="",$G860=""),"",IF(AND($B860&lt;&gt;"",COUNTIFS('2. Soil Data'!$B$5:$B$604,$B860)=0),"Core ID not found in Soil Data, so the corer diameter cannot be looked up. ","")&amp;IF(ASH_CORRECTED&lt;&gt;"Yes","Root mass is NOT ash-corrected, so it includes adhering mineral soil and is too high. Set ASH_CORRECTED once you have done it. ","")&amp;IF(AND(ASH_CORRECTED="Yes",NOT(ISNUMBER($H860))),"Ash correction is switched on but no ash fraction is given for this row. ","")&amp;IF($I860="","Sieve mesh not recorded — a fine-root figure cannot be interpreted without it. ","")&amp;IF(AND(ISNUMBER($H860),$H860&gt;0.5),"Ash fraction above 0.5 — over half this sample was mineral soil. Re-wash. ","")&amp;IF($F860="Not separated","Live and dead not separated. Fine for a stock, but "&amp;"note it in reporting. ",""))</f>
        <v/>
      </c>
      <c r="P860" s="6" t="n"/>
      <c r="Q860" s="9">
        <f>IF($B860="",0,IF(COUNTIFS($B$5:$B860,$B860)=1,1,0))</f>
        <v/>
      </c>
    </row>
    <row r="861">
      <c r="A861" s="6" t="n"/>
      <c r="B861" s="6" t="n"/>
      <c r="C861" s="6" t="n"/>
      <c r="D861" s="6" t="n"/>
      <c r="E861" s="6" t="n"/>
      <c r="F861" s="6" t="n"/>
      <c r="G861" s="7" t="n"/>
      <c r="H861" s="7" t="n"/>
      <c r="I861" s="6" t="n"/>
      <c r="J861" s="9">
        <f>IF(NOT(ISNUMBER($G861)),"",IF(AND(ASH_CORRECTED="Yes",ISNUMBER($H861)),$G861*(1-$H861),$G861))</f>
        <v/>
      </c>
      <c r="K861" s="9">
        <f>IF($B861="","",IFERROR(AVERAGEIFS('2. Soil Data'!$G$5:$G$604,'2. Soil Data'!$B$5:$B$604,$B861),""))</f>
        <v/>
      </c>
      <c r="L861" s="9">
        <f>IF(NOT(ISNUMBER($K861)),"",PI()*($K861/2)^2)</f>
        <v/>
      </c>
      <c r="M861" s="9">
        <f>IF(OR(NOT(ISNUMBER($J861)),NOT(ISNUMBER($L861)),$L861=0),"",$J861/$L861*10000)</f>
        <v/>
      </c>
      <c r="N861" s="9">
        <f>IF(NOT(ISNUMBER($M861)),"",$M861*CARBON_FRACTION_ROOT/1000)</f>
        <v/>
      </c>
      <c r="O861" s="11">
        <f>IF(AND($A861="",$B861="",$G861=""),"",IF(AND($B861&lt;&gt;"",COUNTIFS('2. Soil Data'!$B$5:$B$604,$B861)=0),"Core ID not found in Soil Data, so the corer diameter cannot be looked up. ","")&amp;IF(ASH_CORRECTED&lt;&gt;"Yes","Root mass is NOT ash-corrected, so it includes adhering mineral soil and is too high. Set ASH_CORRECTED once you have done it. ","")&amp;IF(AND(ASH_CORRECTED="Yes",NOT(ISNUMBER($H861))),"Ash correction is switched on but no ash fraction is given for this row. ","")&amp;IF($I861="","Sieve mesh not recorded — a fine-root figure cannot be interpreted without it. ","")&amp;IF(AND(ISNUMBER($H861),$H861&gt;0.5),"Ash fraction above 0.5 — over half this sample was mineral soil. Re-wash. ","")&amp;IF($F861="Not separated","Live and dead not separated. Fine for a stock, but "&amp;"note it in reporting. ",""))</f>
        <v/>
      </c>
      <c r="P861" s="6" t="n"/>
      <c r="Q861" s="9">
        <f>IF($B861="",0,IF(COUNTIFS($B$5:$B861,$B861)=1,1,0))</f>
        <v/>
      </c>
    </row>
    <row r="862">
      <c r="A862" s="6" t="n"/>
      <c r="B862" s="6" t="n"/>
      <c r="C862" s="6" t="n"/>
      <c r="D862" s="6" t="n"/>
      <c r="E862" s="6" t="n"/>
      <c r="F862" s="6" t="n"/>
      <c r="G862" s="7" t="n"/>
      <c r="H862" s="7" t="n"/>
      <c r="I862" s="6" t="n"/>
      <c r="J862" s="9">
        <f>IF(NOT(ISNUMBER($G862)),"",IF(AND(ASH_CORRECTED="Yes",ISNUMBER($H862)),$G862*(1-$H862),$G862))</f>
        <v/>
      </c>
      <c r="K862" s="9">
        <f>IF($B862="","",IFERROR(AVERAGEIFS('2. Soil Data'!$G$5:$G$604,'2. Soil Data'!$B$5:$B$604,$B862),""))</f>
        <v/>
      </c>
      <c r="L862" s="9">
        <f>IF(NOT(ISNUMBER($K862)),"",PI()*($K862/2)^2)</f>
        <v/>
      </c>
      <c r="M862" s="9">
        <f>IF(OR(NOT(ISNUMBER($J862)),NOT(ISNUMBER($L862)),$L862=0),"",$J862/$L862*10000)</f>
        <v/>
      </c>
      <c r="N862" s="9">
        <f>IF(NOT(ISNUMBER($M862)),"",$M862*CARBON_FRACTION_ROOT/1000)</f>
        <v/>
      </c>
      <c r="O862" s="11">
        <f>IF(AND($A862="",$B862="",$G862=""),"",IF(AND($B862&lt;&gt;"",COUNTIFS('2. Soil Data'!$B$5:$B$604,$B862)=0),"Core ID not found in Soil Data, so the corer diameter cannot be looked up. ","")&amp;IF(ASH_CORRECTED&lt;&gt;"Yes","Root mass is NOT ash-corrected, so it includes adhering mineral soil and is too high. Set ASH_CORRECTED once you have done it. ","")&amp;IF(AND(ASH_CORRECTED="Yes",NOT(ISNUMBER($H862))),"Ash correction is switched on but no ash fraction is given for this row. ","")&amp;IF($I862="","Sieve mesh not recorded — a fine-root figure cannot be interpreted without it. ","")&amp;IF(AND(ISNUMBER($H862),$H862&gt;0.5),"Ash fraction above 0.5 — over half this sample was mineral soil. Re-wash. ","")&amp;IF($F862="Not separated","Live and dead not separated. Fine for a stock, but "&amp;"note it in reporting. ",""))</f>
        <v/>
      </c>
      <c r="P862" s="6" t="n"/>
      <c r="Q862" s="9">
        <f>IF($B862="",0,IF(COUNTIFS($B$5:$B862,$B862)=1,1,0))</f>
        <v/>
      </c>
    </row>
    <row r="863">
      <c r="A863" s="6" t="n"/>
      <c r="B863" s="6" t="n"/>
      <c r="C863" s="6" t="n"/>
      <c r="D863" s="6" t="n"/>
      <c r="E863" s="6" t="n"/>
      <c r="F863" s="6" t="n"/>
      <c r="G863" s="7" t="n"/>
      <c r="H863" s="7" t="n"/>
      <c r="I863" s="6" t="n"/>
      <c r="J863" s="9">
        <f>IF(NOT(ISNUMBER($G863)),"",IF(AND(ASH_CORRECTED="Yes",ISNUMBER($H863)),$G863*(1-$H863),$G863))</f>
        <v/>
      </c>
      <c r="K863" s="9">
        <f>IF($B863="","",IFERROR(AVERAGEIFS('2. Soil Data'!$G$5:$G$604,'2. Soil Data'!$B$5:$B$604,$B863),""))</f>
        <v/>
      </c>
      <c r="L863" s="9">
        <f>IF(NOT(ISNUMBER($K863)),"",PI()*($K863/2)^2)</f>
        <v/>
      </c>
      <c r="M863" s="9">
        <f>IF(OR(NOT(ISNUMBER($J863)),NOT(ISNUMBER($L863)),$L863=0),"",$J863/$L863*10000)</f>
        <v/>
      </c>
      <c r="N863" s="9">
        <f>IF(NOT(ISNUMBER($M863)),"",$M863*CARBON_FRACTION_ROOT/1000)</f>
        <v/>
      </c>
      <c r="O863" s="11">
        <f>IF(AND($A863="",$B863="",$G863=""),"",IF(AND($B863&lt;&gt;"",COUNTIFS('2. Soil Data'!$B$5:$B$604,$B863)=0),"Core ID not found in Soil Data, so the corer diameter cannot be looked up. ","")&amp;IF(ASH_CORRECTED&lt;&gt;"Yes","Root mass is NOT ash-corrected, so it includes adhering mineral soil and is too high. Set ASH_CORRECTED once you have done it. ","")&amp;IF(AND(ASH_CORRECTED="Yes",NOT(ISNUMBER($H863))),"Ash correction is switched on but no ash fraction is given for this row. ","")&amp;IF($I863="","Sieve mesh not recorded — a fine-root figure cannot be interpreted without it. ","")&amp;IF(AND(ISNUMBER($H863),$H863&gt;0.5),"Ash fraction above 0.5 — over half this sample was mineral soil. Re-wash. ","")&amp;IF($F863="Not separated","Live and dead not separated. Fine for a stock, but "&amp;"note it in reporting. ",""))</f>
        <v/>
      </c>
      <c r="P863" s="6" t="n"/>
      <c r="Q863" s="9">
        <f>IF($B863="",0,IF(COUNTIFS($B$5:$B863,$B863)=1,1,0))</f>
        <v/>
      </c>
    </row>
    <row r="864">
      <c r="A864" s="6" t="n"/>
      <c r="B864" s="6" t="n"/>
      <c r="C864" s="6" t="n"/>
      <c r="D864" s="6" t="n"/>
      <c r="E864" s="6" t="n"/>
      <c r="F864" s="6" t="n"/>
      <c r="G864" s="7" t="n"/>
      <c r="H864" s="7" t="n"/>
      <c r="I864" s="6" t="n"/>
      <c r="J864" s="9">
        <f>IF(NOT(ISNUMBER($G864)),"",IF(AND(ASH_CORRECTED="Yes",ISNUMBER($H864)),$G864*(1-$H864),$G864))</f>
        <v/>
      </c>
      <c r="K864" s="9">
        <f>IF($B864="","",IFERROR(AVERAGEIFS('2. Soil Data'!$G$5:$G$604,'2. Soil Data'!$B$5:$B$604,$B864),""))</f>
        <v/>
      </c>
      <c r="L864" s="9">
        <f>IF(NOT(ISNUMBER($K864)),"",PI()*($K864/2)^2)</f>
        <v/>
      </c>
      <c r="M864" s="9">
        <f>IF(OR(NOT(ISNUMBER($J864)),NOT(ISNUMBER($L864)),$L864=0),"",$J864/$L864*10000)</f>
        <v/>
      </c>
      <c r="N864" s="9">
        <f>IF(NOT(ISNUMBER($M864)),"",$M864*CARBON_FRACTION_ROOT/1000)</f>
        <v/>
      </c>
      <c r="O864" s="11">
        <f>IF(AND($A864="",$B864="",$G864=""),"",IF(AND($B864&lt;&gt;"",COUNTIFS('2. Soil Data'!$B$5:$B$604,$B864)=0),"Core ID not found in Soil Data, so the corer diameter cannot be looked up. ","")&amp;IF(ASH_CORRECTED&lt;&gt;"Yes","Root mass is NOT ash-corrected, so it includes adhering mineral soil and is too high. Set ASH_CORRECTED once you have done it. ","")&amp;IF(AND(ASH_CORRECTED="Yes",NOT(ISNUMBER($H864))),"Ash correction is switched on but no ash fraction is given for this row. ","")&amp;IF($I864="","Sieve mesh not recorded — a fine-root figure cannot be interpreted without it. ","")&amp;IF(AND(ISNUMBER($H864),$H864&gt;0.5),"Ash fraction above 0.5 — over half this sample was mineral soil. Re-wash. ","")&amp;IF($F864="Not separated","Live and dead not separated. Fine for a stock, but "&amp;"note it in reporting. ",""))</f>
        <v/>
      </c>
      <c r="P864" s="6" t="n"/>
      <c r="Q864" s="9">
        <f>IF($B864="",0,IF(COUNTIFS($B$5:$B864,$B864)=1,1,0))</f>
        <v/>
      </c>
    </row>
    <row r="865">
      <c r="A865" s="6" t="n"/>
      <c r="B865" s="6" t="n"/>
      <c r="C865" s="6" t="n"/>
      <c r="D865" s="6" t="n"/>
      <c r="E865" s="6" t="n"/>
      <c r="F865" s="6" t="n"/>
      <c r="G865" s="7" t="n"/>
      <c r="H865" s="7" t="n"/>
      <c r="I865" s="6" t="n"/>
      <c r="J865" s="9">
        <f>IF(NOT(ISNUMBER($G865)),"",IF(AND(ASH_CORRECTED="Yes",ISNUMBER($H865)),$G865*(1-$H865),$G865))</f>
        <v/>
      </c>
      <c r="K865" s="9">
        <f>IF($B865="","",IFERROR(AVERAGEIFS('2. Soil Data'!$G$5:$G$604,'2. Soil Data'!$B$5:$B$604,$B865),""))</f>
        <v/>
      </c>
      <c r="L865" s="9">
        <f>IF(NOT(ISNUMBER($K865)),"",PI()*($K865/2)^2)</f>
        <v/>
      </c>
      <c r="M865" s="9">
        <f>IF(OR(NOT(ISNUMBER($J865)),NOT(ISNUMBER($L865)),$L865=0),"",$J865/$L865*10000)</f>
        <v/>
      </c>
      <c r="N865" s="9">
        <f>IF(NOT(ISNUMBER($M865)),"",$M865*CARBON_FRACTION_ROOT/1000)</f>
        <v/>
      </c>
      <c r="O865" s="11">
        <f>IF(AND($A865="",$B865="",$G865=""),"",IF(AND($B865&lt;&gt;"",COUNTIFS('2. Soil Data'!$B$5:$B$604,$B865)=0),"Core ID not found in Soil Data, so the corer diameter cannot be looked up. ","")&amp;IF(ASH_CORRECTED&lt;&gt;"Yes","Root mass is NOT ash-corrected, so it includes adhering mineral soil and is too high. Set ASH_CORRECTED once you have done it. ","")&amp;IF(AND(ASH_CORRECTED="Yes",NOT(ISNUMBER($H865))),"Ash correction is switched on but no ash fraction is given for this row. ","")&amp;IF($I865="","Sieve mesh not recorded — a fine-root figure cannot be interpreted without it. ","")&amp;IF(AND(ISNUMBER($H865),$H865&gt;0.5),"Ash fraction above 0.5 — over half this sample was mineral soil. Re-wash. ","")&amp;IF($F865="Not separated","Live and dead not separated. Fine for a stock, but "&amp;"note it in reporting. ",""))</f>
        <v/>
      </c>
      <c r="P865" s="6" t="n"/>
      <c r="Q865" s="9">
        <f>IF($B865="",0,IF(COUNTIFS($B$5:$B865,$B865)=1,1,0))</f>
        <v/>
      </c>
    </row>
    <row r="866">
      <c r="A866" s="6" t="n"/>
      <c r="B866" s="6" t="n"/>
      <c r="C866" s="6" t="n"/>
      <c r="D866" s="6" t="n"/>
      <c r="E866" s="6" t="n"/>
      <c r="F866" s="6" t="n"/>
      <c r="G866" s="7" t="n"/>
      <c r="H866" s="7" t="n"/>
      <c r="I866" s="6" t="n"/>
      <c r="J866" s="9">
        <f>IF(NOT(ISNUMBER($G866)),"",IF(AND(ASH_CORRECTED="Yes",ISNUMBER($H866)),$G866*(1-$H866),$G866))</f>
        <v/>
      </c>
      <c r="K866" s="9">
        <f>IF($B866="","",IFERROR(AVERAGEIFS('2. Soil Data'!$G$5:$G$604,'2. Soil Data'!$B$5:$B$604,$B866),""))</f>
        <v/>
      </c>
      <c r="L866" s="9">
        <f>IF(NOT(ISNUMBER($K866)),"",PI()*($K866/2)^2)</f>
        <v/>
      </c>
      <c r="M866" s="9">
        <f>IF(OR(NOT(ISNUMBER($J866)),NOT(ISNUMBER($L866)),$L866=0),"",$J866/$L866*10000)</f>
        <v/>
      </c>
      <c r="N866" s="9">
        <f>IF(NOT(ISNUMBER($M866)),"",$M866*CARBON_FRACTION_ROOT/1000)</f>
        <v/>
      </c>
      <c r="O866" s="11">
        <f>IF(AND($A866="",$B866="",$G866=""),"",IF(AND($B866&lt;&gt;"",COUNTIFS('2. Soil Data'!$B$5:$B$604,$B866)=0),"Core ID not found in Soil Data, so the corer diameter cannot be looked up. ","")&amp;IF(ASH_CORRECTED&lt;&gt;"Yes","Root mass is NOT ash-corrected, so it includes adhering mineral soil and is too high. Set ASH_CORRECTED once you have done it. ","")&amp;IF(AND(ASH_CORRECTED="Yes",NOT(ISNUMBER($H866))),"Ash correction is switched on but no ash fraction is given for this row. ","")&amp;IF($I866="","Sieve mesh not recorded — a fine-root figure cannot be interpreted without it. ","")&amp;IF(AND(ISNUMBER($H866),$H866&gt;0.5),"Ash fraction above 0.5 — over half this sample was mineral soil. Re-wash. ","")&amp;IF($F866="Not separated","Live and dead not separated. Fine for a stock, but "&amp;"note it in reporting. ",""))</f>
        <v/>
      </c>
      <c r="P866" s="6" t="n"/>
      <c r="Q866" s="9">
        <f>IF($B866="",0,IF(COUNTIFS($B$5:$B866,$B866)=1,1,0))</f>
        <v/>
      </c>
    </row>
    <row r="867">
      <c r="A867" s="6" t="n"/>
      <c r="B867" s="6" t="n"/>
      <c r="C867" s="6" t="n"/>
      <c r="D867" s="6" t="n"/>
      <c r="E867" s="6" t="n"/>
      <c r="F867" s="6" t="n"/>
      <c r="G867" s="7" t="n"/>
      <c r="H867" s="7" t="n"/>
      <c r="I867" s="6" t="n"/>
      <c r="J867" s="9">
        <f>IF(NOT(ISNUMBER($G867)),"",IF(AND(ASH_CORRECTED="Yes",ISNUMBER($H867)),$G867*(1-$H867),$G867))</f>
        <v/>
      </c>
      <c r="K867" s="9">
        <f>IF($B867="","",IFERROR(AVERAGEIFS('2. Soil Data'!$G$5:$G$604,'2. Soil Data'!$B$5:$B$604,$B867),""))</f>
        <v/>
      </c>
      <c r="L867" s="9">
        <f>IF(NOT(ISNUMBER($K867)),"",PI()*($K867/2)^2)</f>
        <v/>
      </c>
      <c r="M867" s="9">
        <f>IF(OR(NOT(ISNUMBER($J867)),NOT(ISNUMBER($L867)),$L867=0),"",$J867/$L867*10000)</f>
        <v/>
      </c>
      <c r="N867" s="9">
        <f>IF(NOT(ISNUMBER($M867)),"",$M867*CARBON_FRACTION_ROOT/1000)</f>
        <v/>
      </c>
      <c r="O867" s="11">
        <f>IF(AND($A867="",$B867="",$G867=""),"",IF(AND($B867&lt;&gt;"",COUNTIFS('2. Soil Data'!$B$5:$B$604,$B867)=0),"Core ID not found in Soil Data, so the corer diameter cannot be looked up. ","")&amp;IF(ASH_CORRECTED&lt;&gt;"Yes","Root mass is NOT ash-corrected, so it includes adhering mineral soil and is too high. Set ASH_CORRECTED once you have done it. ","")&amp;IF(AND(ASH_CORRECTED="Yes",NOT(ISNUMBER($H867))),"Ash correction is switched on but no ash fraction is given for this row. ","")&amp;IF($I867="","Sieve mesh not recorded — a fine-root figure cannot be interpreted without it. ","")&amp;IF(AND(ISNUMBER($H867),$H867&gt;0.5),"Ash fraction above 0.5 — over half this sample was mineral soil. Re-wash. ","")&amp;IF($F867="Not separated","Live and dead not separated. Fine for a stock, but "&amp;"note it in reporting. ",""))</f>
        <v/>
      </c>
      <c r="P867" s="6" t="n"/>
      <c r="Q867" s="9">
        <f>IF($B867="",0,IF(COUNTIFS($B$5:$B867,$B867)=1,1,0))</f>
        <v/>
      </c>
    </row>
    <row r="868">
      <c r="A868" s="6" t="n"/>
      <c r="B868" s="6" t="n"/>
      <c r="C868" s="6" t="n"/>
      <c r="D868" s="6" t="n"/>
      <c r="E868" s="6" t="n"/>
      <c r="F868" s="6" t="n"/>
      <c r="G868" s="7" t="n"/>
      <c r="H868" s="7" t="n"/>
      <c r="I868" s="6" t="n"/>
      <c r="J868" s="9">
        <f>IF(NOT(ISNUMBER($G868)),"",IF(AND(ASH_CORRECTED="Yes",ISNUMBER($H868)),$G868*(1-$H868),$G868))</f>
        <v/>
      </c>
      <c r="K868" s="9">
        <f>IF($B868="","",IFERROR(AVERAGEIFS('2. Soil Data'!$G$5:$G$604,'2. Soil Data'!$B$5:$B$604,$B868),""))</f>
        <v/>
      </c>
      <c r="L868" s="9">
        <f>IF(NOT(ISNUMBER($K868)),"",PI()*($K868/2)^2)</f>
        <v/>
      </c>
      <c r="M868" s="9">
        <f>IF(OR(NOT(ISNUMBER($J868)),NOT(ISNUMBER($L868)),$L868=0),"",$J868/$L868*10000)</f>
        <v/>
      </c>
      <c r="N868" s="9">
        <f>IF(NOT(ISNUMBER($M868)),"",$M868*CARBON_FRACTION_ROOT/1000)</f>
        <v/>
      </c>
      <c r="O868" s="11">
        <f>IF(AND($A868="",$B868="",$G868=""),"",IF(AND($B868&lt;&gt;"",COUNTIFS('2. Soil Data'!$B$5:$B$604,$B868)=0),"Core ID not found in Soil Data, so the corer diameter cannot be looked up. ","")&amp;IF(ASH_CORRECTED&lt;&gt;"Yes","Root mass is NOT ash-corrected, so it includes adhering mineral soil and is too high. Set ASH_CORRECTED once you have done it. ","")&amp;IF(AND(ASH_CORRECTED="Yes",NOT(ISNUMBER($H868))),"Ash correction is switched on but no ash fraction is given for this row. ","")&amp;IF($I868="","Sieve mesh not recorded — a fine-root figure cannot be interpreted without it. ","")&amp;IF(AND(ISNUMBER($H868),$H868&gt;0.5),"Ash fraction above 0.5 — over half this sample was mineral soil. Re-wash. ","")&amp;IF($F868="Not separated","Live and dead not separated. Fine for a stock, but "&amp;"note it in reporting. ",""))</f>
        <v/>
      </c>
      <c r="P868" s="6" t="n"/>
      <c r="Q868" s="9">
        <f>IF($B868="",0,IF(COUNTIFS($B$5:$B868,$B868)=1,1,0))</f>
        <v/>
      </c>
    </row>
    <row r="869">
      <c r="A869" s="6" t="n"/>
      <c r="B869" s="6" t="n"/>
      <c r="C869" s="6" t="n"/>
      <c r="D869" s="6" t="n"/>
      <c r="E869" s="6" t="n"/>
      <c r="F869" s="6" t="n"/>
      <c r="G869" s="7" t="n"/>
      <c r="H869" s="7" t="n"/>
      <c r="I869" s="6" t="n"/>
      <c r="J869" s="9">
        <f>IF(NOT(ISNUMBER($G869)),"",IF(AND(ASH_CORRECTED="Yes",ISNUMBER($H869)),$G869*(1-$H869),$G869))</f>
        <v/>
      </c>
      <c r="K869" s="9">
        <f>IF($B869="","",IFERROR(AVERAGEIFS('2. Soil Data'!$G$5:$G$604,'2. Soil Data'!$B$5:$B$604,$B869),""))</f>
        <v/>
      </c>
      <c r="L869" s="9">
        <f>IF(NOT(ISNUMBER($K869)),"",PI()*($K869/2)^2)</f>
        <v/>
      </c>
      <c r="M869" s="9">
        <f>IF(OR(NOT(ISNUMBER($J869)),NOT(ISNUMBER($L869)),$L869=0),"",$J869/$L869*10000)</f>
        <v/>
      </c>
      <c r="N869" s="9">
        <f>IF(NOT(ISNUMBER($M869)),"",$M869*CARBON_FRACTION_ROOT/1000)</f>
        <v/>
      </c>
      <c r="O869" s="11">
        <f>IF(AND($A869="",$B869="",$G869=""),"",IF(AND($B869&lt;&gt;"",COUNTIFS('2. Soil Data'!$B$5:$B$604,$B869)=0),"Core ID not found in Soil Data, so the corer diameter cannot be looked up. ","")&amp;IF(ASH_CORRECTED&lt;&gt;"Yes","Root mass is NOT ash-corrected, so it includes adhering mineral soil and is too high. Set ASH_CORRECTED once you have done it. ","")&amp;IF(AND(ASH_CORRECTED="Yes",NOT(ISNUMBER($H869))),"Ash correction is switched on but no ash fraction is given for this row. ","")&amp;IF($I869="","Sieve mesh not recorded — a fine-root figure cannot be interpreted without it. ","")&amp;IF(AND(ISNUMBER($H869),$H869&gt;0.5),"Ash fraction above 0.5 — over half this sample was mineral soil. Re-wash. ","")&amp;IF($F869="Not separated","Live and dead not separated. Fine for a stock, but "&amp;"note it in reporting. ",""))</f>
        <v/>
      </c>
      <c r="P869" s="6" t="n"/>
      <c r="Q869" s="9">
        <f>IF($B869="",0,IF(COUNTIFS($B$5:$B869,$B869)=1,1,0))</f>
        <v/>
      </c>
    </row>
    <row r="870">
      <c r="A870" s="6" t="n"/>
      <c r="B870" s="6" t="n"/>
      <c r="C870" s="6" t="n"/>
      <c r="D870" s="6" t="n"/>
      <c r="E870" s="6" t="n"/>
      <c r="F870" s="6" t="n"/>
      <c r="G870" s="7" t="n"/>
      <c r="H870" s="7" t="n"/>
      <c r="I870" s="6" t="n"/>
      <c r="J870" s="9">
        <f>IF(NOT(ISNUMBER($G870)),"",IF(AND(ASH_CORRECTED="Yes",ISNUMBER($H870)),$G870*(1-$H870),$G870))</f>
        <v/>
      </c>
      <c r="K870" s="9">
        <f>IF($B870="","",IFERROR(AVERAGEIFS('2. Soil Data'!$G$5:$G$604,'2. Soil Data'!$B$5:$B$604,$B870),""))</f>
        <v/>
      </c>
      <c r="L870" s="9">
        <f>IF(NOT(ISNUMBER($K870)),"",PI()*($K870/2)^2)</f>
        <v/>
      </c>
      <c r="M870" s="9">
        <f>IF(OR(NOT(ISNUMBER($J870)),NOT(ISNUMBER($L870)),$L870=0),"",$J870/$L870*10000)</f>
        <v/>
      </c>
      <c r="N870" s="9">
        <f>IF(NOT(ISNUMBER($M870)),"",$M870*CARBON_FRACTION_ROOT/1000)</f>
        <v/>
      </c>
      <c r="O870" s="11">
        <f>IF(AND($A870="",$B870="",$G870=""),"",IF(AND($B870&lt;&gt;"",COUNTIFS('2. Soil Data'!$B$5:$B$604,$B870)=0),"Core ID not found in Soil Data, so the corer diameter cannot be looked up. ","")&amp;IF(ASH_CORRECTED&lt;&gt;"Yes","Root mass is NOT ash-corrected, so it includes adhering mineral soil and is too high. Set ASH_CORRECTED once you have done it. ","")&amp;IF(AND(ASH_CORRECTED="Yes",NOT(ISNUMBER($H870))),"Ash correction is switched on but no ash fraction is given for this row. ","")&amp;IF($I870="","Sieve mesh not recorded — a fine-root figure cannot be interpreted without it. ","")&amp;IF(AND(ISNUMBER($H870),$H870&gt;0.5),"Ash fraction above 0.5 — over half this sample was mineral soil. Re-wash. ","")&amp;IF($F870="Not separated","Live and dead not separated. Fine for a stock, but "&amp;"note it in reporting. ",""))</f>
        <v/>
      </c>
      <c r="P870" s="6" t="n"/>
      <c r="Q870" s="9">
        <f>IF($B870="",0,IF(COUNTIFS($B$5:$B870,$B870)=1,1,0))</f>
        <v/>
      </c>
    </row>
    <row r="871">
      <c r="A871" s="6" t="n"/>
      <c r="B871" s="6" t="n"/>
      <c r="C871" s="6" t="n"/>
      <c r="D871" s="6" t="n"/>
      <c r="E871" s="6" t="n"/>
      <c r="F871" s="6" t="n"/>
      <c r="G871" s="7" t="n"/>
      <c r="H871" s="7" t="n"/>
      <c r="I871" s="6" t="n"/>
      <c r="J871" s="9">
        <f>IF(NOT(ISNUMBER($G871)),"",IF(AND(ASH_CORRECTED="Yes",ISNUMBER($H871)),$G871*(1-$H871),$G871))</f>
        <v/>
      </c>
      <c r="K871" s="9">
        <f>IF($B871="","",IFERROR(AVERAGEIFS('2. Soil Data'!$G$5:$G$604,'2. Soil Data'!$B$5:$B$604,$B871),""))</f>
        <v/>
      </c>
      <c r="L871" s="9">
        <f>IF(NOT(ISNUMBER($K871)),"",PI()*($K871/2)^2)</f>
        <v/>
      </c>
      <c r="M871" s="9">
        <f>IF(OR(NOT(ISNUMBER($J871)),NOT(ISNUMBER($L871)),$L871=0),"",$J871/$L871*10000)</f>
        <v/>
      </c>
      <c r="N871" s="9">
        <f>IF(NOT(ISNUMBER($M871)),"",$M871*CARBON_FRACTION_ROOT/1000)</f>
        <v/>
      </c>
      <c r="O871" s="11">
        <f>IF(AND($A871="",$B871="",$G871=""),"",IF(AND($B871&lt;&gt;"",COUNTIFS('2. Soil Data'!$B$5:$B$604,$B871)=0),"Core ID not found in Soil Data, so the corer diameter cannot be looked up. ","")&amp;IF(ASH_CORRECTED&lt;&gt;"Yes","Root mass is NOT ash-corrected, so it includes adhering mineral soil and is too high. Set ASH_CORRECTED once you have done it. ","")&amp;IF(AND(ASH_CORRECTED="Yes",NOT(ISNUMBER($H871))),"Ash correction is switched on but no ash fraction is given for this row. ","")&amp;IF($I871="","Sieve mesh not recorded — a fine-root figure cannot be interpreted without it. ","")&amp;IF(AND(ISNUMBER($H871),$H871&gt;0.5),"Ash fraction above 0.5 — over half this sample was mineral soil. Re-wash. ","")&amp;IF($F871="Not separated","Live and dead not separated. Fine for a stock, but "&amp;"note it in reporting. ",""))</f>
        <v/>
      </c>
      <c r="P871" s="6" t="n"/>
      <c r="Q871" s="9">
        <f>IF($B871="",0,IF(COUNTIFS($B$5:$B871,$B871)=1,1,0))</f>
        <v/>
      </c>
    </row>
    <row r="872">
      <c r="A872" s="6" t="n"/>
      <c r="B872" s="6" t="n"/>
      <c r="C872" s="6" t="n"/>
      <c r="D872" s="6" t="n"/>
      <c r="E872" s="6" t="n"/>
      <c r="F872" s="6" t="n"/>
      <c r="G872" s="7" t="n"/>
      <c r="H872" s="7" t="n"/>
      <c r="I872" s="6" t="n"/>
      <c r="J872" s="9">
        <f>IF(NOT(ISNUMBER($G872)),"",IF(AND(ASH_CORRECTED="Yes",ISNUMBER($H872)),$G872*(1-$H872),$G872))</f>
        <v/>
      </c>
      <c r="K872" s="9">
        <f>IF($B872="","",IFERROR(AVERAGEIFS('2. Soil Data'!$G$5:$G$604,'2. Soil Data'!$B$5:$B$604,$B872),""))</f>
        <v/>
      </c>
      <c r="L872" s="9">
        <f>IF(NOT(ISNUMBER($K872)),"",PI()*($K872/2)^2)</f>
        <v/>
      </c>
      <c r="M872" s="9">
        <f>IF(OR(NOT(ISNUMBER($J872)),NOT(ISNUMBER($L872)),$L872=0),"",$J872/$L872*10000)</f>
        <v/>
      </c>
      <c r="N872" s="9">
        <f>IF(NOT(ISNUMBER($M872)),"",$M872*CARBON_FRACTION_ROOT/1000)</f>
        <v/>
      </c>
      <c r="O872" s="11">
        <f>IF(AND($A872="",$B872="",$G872=""),"",IF(AND($B872&lt;&gt;"",COUNTIFS('2. Soil Data'!$B$5:$B$604,$B872)=0),"Core ID not found in Soil Data, so the corer diameter cannot be looked up. ","")&amp;IF(ASH_CORRECTED&lt;&gt;"Yes","Root mass is NOT ash-corrected, so it includes adhering mineral soil and is too high. Set ASH_CORRECTED once you have done it. ","")&amp;IF(AND(ASH_CORRECTED="Yes",NOT(ISNUMBER($H872))),"Ash correction is switched on but no ash fraction is given for this row. ","")&amp;IF($I872="","Sieve mesh not recorded — a fine-root figure cannot be interpreted without it. ","")&amp;IF(AND(ISNUMBER($H872),$H872&gt;0.5),"Ash fraction above 0.5 — over half this sample was mineral soil. Re-wash. ","")&amp;IF($F872="Not separated","Live and dead not separated. Fine for a stock, but "&amp;"note it in reporting. ",""))</f>
        <v/>
      </c>
      <c r="P872" s="6" t="n"/>
      <c r="Q872" s="9">
        <f>IF($B872="",0,IF(COUNTIFS($B$5:$B872,$B872)=1,1,0))</f>
        <v/>
      </c>
    </row>
    <row r="873">
      <c r="A873" s="6" t="n"/>
      <c r="B873" s="6" t="n"/>
      <c r="C873" s="6" t="n"/>
      <c r="D873" s="6" t="n"/>
      <c r="E873" s="6" t="n"/>
      <c r="F873" s="6" t="n"/>
      <c r="G873" s="7" t="n"/>
      <c r="H873" s="7" t="n"/>
      <c r="I873" s="6" t="n"/>
      <c r="J873" s="9">
        <f>IF(NOT(ISNUMBER($G873)),"",IF(AND(ASH_CORRECTED="Yes",ISNUMBER($H873)),$G873*(1-$H873),$G873))</f>
        <v/>
      </c>
      <c r="K873" s="9">
        <f>IF($B873="","",IFERROR(AVERAGEIFS('2. Soil Data'!$G$5:$G$604,'2. Soil Data'!$B$5:$B$604,$B873),""))</f>
        <v/>
      </c>
      <c r="L873" s="9">
        <f>IF(NOT(ISNUMBER($K873)),"",PI()*($K873/2)^2)</f>
        <v/>
      </c>
      <c r="M873" s="9">
        <f>IF(OR(NOT(ISNUMBER($J873)),NOT(ISNUMBER($L873)),$L873=0),"",$J873/$L873*10000)</f>
        <v/>
      </c>
      <c r="N873" s="9">
        <f>IF(NOT(ISNUMBER($M873)),"",$M873*CARBON_FRACTION_ROOT/1000)</f>
        <v/>
      </c>
      <c r="O873" s="11">
        <f>IF(AND($A873="",$B873="",$G873=""),"",IF(AND($B873&lt;&gt;"",COUNTIFS('2. Soil Data'!$B$5:$B$604,$B873)=0),"Core ID not found in Soil Data, so the corer diameter cannot be looked up. ","")&amp;IF(ASH_CORRECTED&lt;&gt;"Yes","Root mass is NOT ash-corrected, so it includes adhering mineral soil and is too high. Set ASH_CORRECTED once you have done it. ","")&amp;IF(AND(ASH_CORRECTED="Yes",NOT(ISNUMBER($H873))),"Ash correction is switched on but no ash fraction is given for this row. ","")&amp;IF($I873="","Sieve mesh not recorded — a fine-root figure cannot be interpreted without it. ","")&amp;IF(AND(ISNUMBER($H873),$H873&gt;0.5),"Ash fraction above 0.5 — over half this sample was mineral soil. Re-wash. ","")&amp;IF($F873="Not separated","Live and dead not separated. Fine for a stock, but "&amp;"note it in reporting. ",""))</f>
        <v/>
      </c>
      <c r="P873" s="6" t="n"/>
      <c r="Q873" s="9">
        <f>IF($B873="",0,IF(COUNTIFS($B$5:$B873,$B873)=1,1,0))</f>
        <v/>
      </c>
    </row>
    <row r="874">
      <c r="A874" s="6" t="n"/>
      <c r="B874" s="6" t="n"/>
      <c r="C874" s="6" t="n"/>
      <c r="D874" s="6" t="n"/>
      <c r="E874" s="6" t="n"/>
      <c r="F874" s="6" t="n"/>
      <c r="G874" s="7" t="n"/>
      <c r="H874" s="7" t="n"/>
      <c r="I874" s="6" t="n"/>
      <c r="J874" s="9">
        <f>IF(NOT(ISNUMBER($G874)),"",IF(AND(ASH_CORRECTED="Yes",ISNUMBER($H874)),$G874*(1-$H874),$G874))</f>
        <v/>
      </c>
      <c r="K874" s="9">
        <f>IF($B874="","",IFERROR(AVERAGEIFS('2. Soil Data'!$G$5:$G$604,'2. Soil Data'!$B$5:$B$604,$B874),""))</f>
        <v/>
      </c>
      <c r="L874" s="9">
        <f>IF(NOT(ISNUMBER($K874)),"",PI()*($K874/2)^2)</f>
        <v/>
      </c>
      <c r="M874" s="9">
        <f>IF(OR(NOT(ISNUMBER($J874)),NOT(ISNUMBER($L874)),$L874=0),"",$J874/$L874*10000)</f>
        <v/>
      </c>
      <c r="N874" s="9">
        <f>IF(NOT(ISNUMBER($M874)),"",$M874*CARBON_FRACTION_ROOT/1000)</f>
        <v/>
      </c>
      <c r="O874" s="11">
        <f>IF(AND($A874="",$B874="",$G874=""),"",IF(AND($B874&lt;&gt;"",COUNTIFS('2. Soil Data'!$B$5:$B$604,$B874)=0),"Core ID not found in Soil Data, so the corer diameter cannot be looked up. ","")&amp;IF(ASH_CORRECTED&lt;&gt;"Yes","Root mass is NOT ash-corrected, so it includes adhering mineral soil and is too high. Set ASH_CORRECTED once you have done it. ","")&amp;IF(AND(ASH_CORRECTED="Yes",NOT(ISNUMBER($H874))),"Ash correction is switched on but no ash fraction is given for this row. ","")&amp;IF($I874="","Sieve mesh not recorded — a fine-root figure cannot be interpreted without it. ","")&amp;IF(AND(ISNUMBER($H874),$H874&gt;0.5),"Ash fraction above 0.5 — over half this sample was mineral soil. Re-wash. ","")&amp;IF($F874="Not separated","Live and dead not separated. Fine for a stock, but "&amp;"note it in reporting. ",""))</f>
        <v/>
      </c>
      <c r="P874" s="6" t="n"/>
      <c r="Q874" s="9">
        <f>IF($B874="",0,IF(COUNTIFS($B$5:$B874,$B874)=1,1,0))</f>
        <v/>
      </c>
    </row>
    <row r="875">
      <c r="A875" s="6" t="n"/>
      <c r="B875" s="6" t="n"/>
      <c r="C875" s="6" t="n"/>
      <c r="D875" s="6" t="n"/>
      <c r="E875" s="6" t="n"/>
      <c r="F875" s="6" t="n"/>
      <c r="G875" s="7" t="n"/>
      <c r="H875" s="7" t="n"/>
      <c r="I875" s="6" t="n"/>
      <c r="J875" s="9">
        <f>IF(NOT(ISNUMBER($G875)),"",IF(AND(ASH_CORRECTED="Yes",ISNUMBER($H875)),$G875*(1-$H875),$G875))</f>
        <v/>
      </c>
      <c r="K875" s="9">
        <f>IF($B875="","",IFERROR(AVERAGEIFS('2. Soil Data'!$G$5:$G$604,'2. Soil Data'!$B$5:$B$604,$B875),""))</f>
        <v/>
      </c>
      <c r="L875" s="9">
        <f>IF(NOT(ISNUMBER($K875)),"",PI()*($K875/2)^2)</f>
        <v/>
      </c>
      <c r="M875" s="9">
        <f>IF(OR(NOT(ISNUMBER($J875)),NOT(ISNUMBER($L875)),$L875=0),"",$J875/$L875*10000)</f>
        <v/>
      </c>
      <c r="N875" s="9">
        <f>IF(NOT(ISNUMBER($M875)),"",$M875*CARBON_FRACTION_ROOT/1000)</f>
        <v/>
      </c>
      <c r="O875" s="11">
        <f>IF(AND($A875="",$B875="",$G875=""),"",IF(AND($B875&lt;&gt;"",COUNTIFS('2. Soil Data'!$B$5:$B$604,$B875)=0),"Core ID not found in Soil Data, so the corer diameter cannot be looked up. ","")&amp;IF(ASH_CORRECTED&lt;&gt;"Yes","Root mass is NOT ash-corrected, so it includes adhering mineral soil and is too high. Set ASH_CORRECTED once you have done it. ","")&amp;IF(AND(ASH_CORRECTED="Yes",NOT(ISNUMBER($H875))),"Ash correction is switched on but no ash fraction is given for this row. ","")&amp;IF($I875="","Sieve mesh not recorded — a fine-root figure cannot be interpreted without it. ","")&amp;IF(AND(ISNUMBER($H875),$H875&gt;0.5),"Ash fraction above 0.5 — over half this sample was mineral soil. Re-wash. ","")&amp;IF($F875="Not separated","Live and dead not separated. Fine for a stock, but "&amp;"note it in reporting. ",""))</f>
        <v/>
      </c>
      <c r="P875" s="6" t="n"/>
      <c r="Q875" s="9">
        <f>IF($B875="",0,IF(COUNTIFS($B$5:$B875,$B875)=1,1,0))</f>
        <v/>
      </c>
    </row>
    <row r="876">
      <c r="A876" s="6" t="n"/>
      <c r="B876" s="6" t="n"/>
      <c r="C876" s="6" t="n"/>
      <c r="D876" s="6" t="n"/>
      <c r="E876" s="6" t="n"/>
      <c r="F876" s="6" t="n"/>
      <c r="G876" s="7" t="n"/>
      <c r="H876" s="7" t="n"/>
      <c r="I876" s="6" t="n"/>
      <c r="J876" s="9">
        <f>IF(NOT(ISNUMBER($G876)),"",IF(AND(ASH_CORRECTED="Yes",ISNUMBER($H876)),$G876*(1-$H876),$G876))</f>
        <v/>
      </c>
      <c r="K876" s="9">
        <f>IF($B876="","",IFERROR(AVERAGEIFS('2. Soil Data'!$G$5:$G$604,'2. Soil Data'!$B$5:$B$604,$B876),""))</f>
        <v/>
      </c>
      <c r="L876" s="9">
        <f>IF(NOT(ISNUMBER($K876)),"",PI()*($K876/2)^2)</f>
        <v/>
      </c>
      <c r="M876" s="9">
        <f>IF(OR(NOT(ISNUMBER($J876)),NOT(ISNUMBER($L876)),$L876=0),"",$J876/$L876*10000)</f>
        <v/>
      </c>
      <c r="N876" s="9">
        <f>IF(NOT(ISNUMBER($M876)),"",$M876*CARBON_FRACTION_ROOT/1000)</f>
        <v/>
      </c>
      <c r="O876" s="11">
        <f>IF(AND($A876="",$B876="",$G876=""),"",IF(AND($B876&lt;&gt;"",COUNTIFS('2. Soil Data'!$B$5:$B$604,$B876)=0),"Core ID not found in Soil Data, so the corer diameter cannot be looked up. ","")&amp;IF(ASH_CORRECTED&lt;&gt;"Yes","Root mass is NOT ash-corrected, so it includes adhering mineral soil and is too high. Set ASH_CORRECTED once you have done it. ","")&amp;IF(AND(ASH_CORRECTED="Yes",NOT(ISNUMBER($H876))),"Ash correction is switched on but no ash fraction is given for this row. ","")&amp;IF($I876="","Sieve mesh not recorded — a fine-root figure cannot be interpreted without it. ","")&amp;IF(AND(ISNUMBER($H876),$H876&gt;0.5),"Ash fraction above 0.5 — over half this sample was mineral soil. Re-wash. ","")&amp;IF($F876="Not separated","Live and dead not separated. Fine for a stock, but "&amp;"note it in reporting. ",""))</f>
        <v/>
      </c>
      <c r="P876" s="6" t="n"/>
      <c r="Q876" s="9">
        <f>IF($B876="",0,IF(COUNTIFS($B$5:$B876,$B876)=1,1,0))</f>
        <v/>
      </c>
    </row>
    <row r="877">
      <c r="A877" s="6" t="n"/>
      <c r="B877" s="6" t="n"/>
      <c r="C877" s="6" t="n"/>
      <c r="D877" s="6" t="n"/>
      <c r="E877" s="6" t="n"/>
      <c r="F877" s="6" t="n"/>
      <c r="G877" s="7" t="n"/>
      <c r="H877" s="7" t="n"/>
      <c r="I877" s="6" t="n"/>
      <c r="J877" s="9">
        <f>IF(NOT(ISNUMBER($G877)),"",IF(AND(ASH_CORRECTED="Yes",ISNUMBER($H877)),$G877*(1-$H877),$G877))</f>
        <v/>
      </c>
      <c r="K877" s="9">
        <f>IF($B877="","",IFERROR(AVERAGEIFS('2. Soil Data'!$G$5:$G$604,'2. Soil Data'!$B$5:$B$604,$B877),""))</f>
        <v/>
      </c>
      <c r="L877" s="9">
        <f>IF(NOT(ISNUMBER($K877)),"",PI()*($K877/2)^2)</f>
        <v/>
      </c>
      <c r="M877" s="9">
        <f>IF(OR(NOT(ISNUMBER($J877)),NOT(ISNUMBER($L877)),$L877=0),"",$J877/$L877*10000)</f>
        <v/>
      </c>
      <c r="N877" s="9">
        <f>IF(NOT(ISNUMBER($M877)),"",$M877*CARBON_FRACTION_ROOT/1000)</f>
        <v/>
      </c>
      <c r="O877" s="11">
        <f>IF(AND($A877="",$B877="",$G877=""),"",IF(AND($B877&lt;&gt;"",COUNTIFS('2. Soil Data'!$B$5:$B$604,$B877)=0),"Core ID not found in Soil Data, so the corer diameter cannot be looked up. ","")&amp;IF(ASH_CORRECTED&lt;&gt;"Yes","Root mass is NOT ash-corrected, so it includes adhering mineral soil and is too high. Set ASH_CORRECTED once you have done it. ","")&amp;IF(AND(ASH_CORRECTED="Yes",NOT(ISNUMBER($H877))),"Ash correction is switched on but no ash fraction is given for this row. ","")&amp;IF($I877="","Sieve mesh not recorded — a fine-root figure cannot be interpreted without it. ","")&amp;IF(AND(ISNUMBER($H877),$H877&gt;0.5),"Ash fraction above 0.5 — over half this sample was mineral soil. Re-wash. ","")&amp;IF($F877="Not separated","Live and dead not separated. Fine for a stock, but "&amp;"note it in reporting. ",""))</f>
        <v/>
      </c>
      <c r="P877" s="6" t="n"/>
      <c r="Q877" s="9">
        <f>IF($B877="",0,IF(COUNTIFS($B$5:$B877,$B877)=1,1,0))</f>
        <v/>
      </c>
    </row>
    <row r="878">
      <c r="A878" s="6" t="n"/>
      <c r="B878" s="6" t="n"/>
      <c r="C878" s="6" t="n"/>
      <c r="D878" s="6" t="n"/>
      <c r="E878" s="6" t="n"/>
      <c r="F878" s="6" t="n"/>
      <c r="G878" s="7" t="n"/>
      <c r="H878" s="7" t="n"/>
      <c r="I878" s="6" t="n"/>
      <c r="J878" s="9">
        <f>IF(NOT(ISNUMBER($G878)),"",IF(AND(ASH_CORRECTED="Yes",ISNUMBER($H878)),$G878*(1-$H878),$G878))</f>
        <v/>
      </c>
      <c r="K878" s="9">
        <f>IF($B878="","",IFERROR(AVERAGEIFS('2. Soil Data'!$G$5:$G$604,'2. Soil Data'!$B$5:$B$604,$B878),""))</f>
        <v/>
      </c>
      <c r="L878" s="9">
        <f>IF(NOT(ISNUMBER($K878)),"",PI()*($K878/2)^2)</f>
        <v/>
      </c>
      <c r="M878" s="9">
        <f>IF(OR(NOT(ISNUMBER($J878)),NOT(ISNUMBER($L878)),$L878=0),"",$J878/$L878*10000)</f>
        <v/>
      </c>
      <c r="N878" s="9">
        <f>IF(NOT(ISNUMBER($M878)),"",$M878*CARBON_FRACTION_ROOT/1000)</f>
        <v/>
      </c>
      <c r="O878" s="11">
        <f>IF(AND($A878="",$B878="",$G878=""),"",IF(AND($B878&lt;&gt;"",COUNTIFS('2. Soil Data'!$B$5:$B$604,$B878)=0),"Core ID not found in Soil Data, so the corer diameter cannot be looked up. ","")&amp;IF(ASH_CORRECTED&lt;&gt;"Yes","Root mass is NOT ash-corrected, so it includes adhering mineral soil and is too high. Set ASH_CORRECTED once you have done it. ","")&amp;IF(AND(ASH_CORRECTED="Yes",NOT(ISNUMBER($H878))),"Ash correction is switched on but no ash fraction is given for this row. ","")&amp;IF($I878="","Sieve mesh not recorded — a fine-root figure cannot be interpreted without it. ","")&amp;IF(AND(ISNUMBER($H878),$H878&gt;0.5),"Ash fraction above 0.5 — over half this sample was mineral soil. Re-wash. ","")&amp;IF($F878="Not separated","Live and dead not separated. Fine for a stock, but "&amp;"note it in reporting. ",""))</f>
        <v/>
      </c>
      <c r="P878" s="6" t="n"/>
      <c r="Q878" s="9">
        <f>IF($B878="",0,IF(COUNTIFS($B$5:$B878,$B878)=1,1,0))</f>
        <v/>
      </c>
    </row>
    <row r="879">
      <c r="A879" s="6" t="n"/>
      <c r="B879" s="6" t="n"/>
      <c r="C879" s="6" t="n"/>
      <c r="D879" s="6" t="n"/>
      <c r="E879" s="6" t="n"/>
      <c r="F879" s="6" t="n"/>
      <c r="G879" s="7" t="n"/>
      <c r="H879" s="7" t="n"/>
      <c r="I879" s="6" t="n"/>
      <c r="J879" s="9">
        <f>IF(NOT(ISNUMBER($G879)),"",IF(AND(ASH_CORRECTED="Yes",ISNUMBER($H879)),$G879*(1-$H879),$G879))</f>
        <v/>
      </c>
      <c r="K879" s="9">
        <f>IF($B879="","",IFERROR(AVERAGEIFS('2. Soil Data'!$G$5:$G$604,'2. Soil Data'!$B$5:$B$604,$B879),""))</f>
        <v/>
      </c>
      <c r="L879" s="9">
        <f>IF(NOT(ISNUMBER($K879)),"",PI()*($K879/2)^2)</f>
        <v/>
      </c>
      <c r="M879" s="9">
        <f>IF(OR(NOT(ISNUMBER($J879)),NOT(ISNUMBER($L879)),$L879=0),"",$J879/$L879*10000)</f>
        <v/>
      </c>
      <c r="N879" s="9">
        <f>IF(NOT(ISNUMBER($M879)),"",$M879*CARBON_FRACTION_ROOT/1000)</f>
        <v/>
      </c>
      <c r="O879" s="11">
        <f>IF(AND($A879="",$B879="",$G879=""),"",IF(AND($B879&lt;&gt;"",COUNTIFS('2. Soil Data'!$B$5:$B$604,$B879)=0),"Core ID not found in Soil Data, so the corer diameter cannot be looked up. ","")&amp;IF(ASH_CORRECTED&lt;&gt;"Yes","Root mass is NOT ash-corrected, so it includes adhering mineral soil and is too high. Set ASH_CORRECTED once you have done it. ","")&amp;IF(AND(ASH_CORRECTED="Yes",NOT(ISNUMBER($H879))),"Ash correction is switched on but no ash fraction is given for this row. ","")&amp;IF($I879="","Sieve mesh not recorded — a fine-root figure cannot be interpreted without it. ","")&amp;IF(AND(ISNUMBER($H879),$H879&gt;0.5),"Ash fraction above 0.5 — over half this sample was mineral soil. Re-wash. ","")&amp;IF($F879="Not separated","Live and dead not separated. Fine for a stock, but "&amp;"note it in reporting. ",""))</f>
        <v/>
      </c>
      <c r="P879" s="6" t="n"/>
      <c r="Q879" s="9">
        <f>IF($B879="",0,IF(COUNTIFS($B$5:$B879,$B879)=1,1,0))</f>
        <v/>
      </c>
    </row>
    <row r="880">
      <c r="A880" s="6" t="n"/>
      <c r="B880" s="6" t="n"/>
      <c r="C880" s="6" t="n"/>
      <c r="D880" s="6" t="n"/>
      <c r="E880" s="6" t="n"/>
      <c r="F880" s="6" t="n"/>
      <c r="G880" s="7" t="n"/>
      <c r="H880" s="7" t="n"/>
      <c r="I880" s="6" t="n"/>
      <c r="J880" s="9">
        <f>IF(NOT(ISNUMBER($G880)),"",IF(AND(ASH_CORRECTED="Yes",ISNUMBER($H880)),$G880*(1-$H880),$G880))</f>
        <v/>
      </c>
      <c r="K880" s="9">
        <f>IF($B880="","",IFERROR(AVERAGEIFS('2. Soil Data'!$G$5:$G$604,'2. Soil Data'!$B$5:$B$604,$B880),""))</f>
        <v/>
      </c>
      <c r="L880" s="9">
        <f>IF(NOT(ISNUMBER($K880)),"",PI()*($K880/2)^2)</f>
        <v/>
      </c>
      <c r="M880" s="9">
        <f>IF(OR(NOT(ISNUMBER($J880)),NOT(ISNUMBER($L880)),$L880=0),"",$J880/$L880*10000)</f>
        <v/>
      </c>
      <c r="N880" s="9">
        <f>IF(NOT(ISNUMBER($M880)),"",$M880*CARBON_FRACTION_ROOT/1000)</f>
        <v/>
      </c>
      <c r="O880" s="11">
        <f>IF(AND($A880="",$B880="",$G880=""),"",IF(AND($B880&lt;&gt;"",COUNTIFS('2. Soil Data'!$B$5:$B$604,$B880)=0),"Core ID not found in Soil Data, so the corer diameter cannot be looked up. ","")&amp;IF(ASH_CORRECTED&lt;&gt;"Yes","Root mass is NOT ash-corrected, so it includes adhering mineral soil and is too high. Set ASH_CORRECTED once you have done it. ","")&amp;IF(AND(ASH_CORRECTED="Yes",NOT(ISNUMBER($H880))),"Ash correction is switched on but no ash fraction is given for this row. ","")&amp;IF($I880="","Sieve mesh not recorded — a fine-root figure cannot be interpreted without it. ","")&amp;IF(AND(ISNUMBER($H880),$H880&gt;0.5),"Ash fraction above 0.5 — over half this sample was mineral soil. Re-wash. ","")&amp;IF($F880="Not separated","Live and dead not separated. Fine for a stock, but "&amp;"note it in reporting. ",""))</f>
        <v/>
      </c>
      <c r="P880" s="6" t="n"/>
      <c r="Q880" s="9">
        <f>IF($B880="",0,IF(COUNTIFS($B$5:$B880,$B880)=1,1,0))</f>
        <v/>
      </c>
    </row>
    <row r="881">
      <c r="A881" s="6" t="n"/>
      <c r="B881" s="6" t="n"/>
      <c r="C881" s="6" t="n"/>
      <c r="D881" s="6" t="n"/>
      <c r="E881" s="6" t="n"/>
      <c r="F881" s="6" t="n"/>
      <c r="G881" s="7" t="n"/>
      <c r="H881" s="7" t="n"/>
      <c r="I881" s="6" t="n"/>
      <c r="J881" s="9">
        <f>IF(NOT(ISNUMBER($G881)),"",IF(AND(ASH_CORRECTED="Yes",ISNUMBER($H881)),$G881*(1-$H881),$G881))</f>
        <v/>
      </c>
      <c r="K881" s="9">
        <f>IF($B881="","",IFERROR(AVERAGEIFS('2. Soil Data'!$G$5:$G$604,'2. Soil Data'!$B$5:$B$604,$B881),""))</f>
        <v/>
      </c>
      <c r="L881" s="9">
        <f>IF(NOT(ISNUMBER($K881)),"",PI()*($K881/2)^2)</f>
        <v/>
      </c>
      <c r="M881" s="9">
        <f>IF(OR(NOT(ISNUMBER($J881)),NOT(ISNUMBER($L881)),$L881=0),"",$J881/$L881*10000)</f>
        <v/>
      </c>
      <c r="N881" s="9">
        <f>IF(NOT(ISNUMBER($M881)),"",$M881*CARBON_FRACTION_ROOT/1000)</f>
        <v/>
      </c>
      <c r="O881" s="11">
        <f>IF(AND($A881="",$B881="",$G881=""),"",IF(AND($B881&lt;&gt;"",COUNTIFS('2. Soil Data'!$B$5:$B$604,$B881)=0),"Core ID not found in Soil Data, so the corer diameter cannot be looked up. ","")&amp;IF(ASH_CORRECTED&lt;&gt;"Yes","Root mass is NOT ash-corrected, so it includes adhering mineral soil and is too high. Set ASH_CORRECTED once you have done it. ","")&amp;IF(AND(ASH_CORRECTED="Yes",NOT(ISNUMBER($H881))),"Ash correction is switched on but no ash fraction is given for this row. ","")&amp;IF($I881="","Sieve mesh not recorded — a fine-root figure cannot be interpreted without it. ","")&amp;IF(AND(ISNUMBER($H881),$H881&gt;0.5),"Ash fraction above 0.5 — over half this sample was mineral soil. Re-wash. ","")&amp;IF($F881="Not separated","Live and dead not separated. Fine for a stock, but "&amp;"note it in reporting. ",""))</f>
        <v/>
      </c>
      <c r="P881" s="6" t="n"/>
      <c r="Q881" s="9">
        <f>IF($B881="",0,IF(COUNTIFS($B$5:$B881,$B881)=1,1,0))</f>
        <v/>
      </c>
    </row>
    <row r="882">
      <c r="A882" s="6" t="n"/>
      <c r="B882" s="6" t="n"/>
      <c r="C882" s="6" t="n"/>
      <c r="D882" s="6" t="n"/>
      <c r="E882" s="6" t="n"/>
      <c r="F882" s="6" t="n"/>
      <c r="G882" s="7" t="n"/>
      <c r="H882" s="7" t="n"/>
      <c r="I882" s="6" t="n"/>
      <c r="J882" s="9">
        <f>IF(NOT(ISNUMBER($G882)),"",IF(AND(ASH_CORRECTED="Yes",ISNUMBER($H882)),$G882*(1-$H882),$G882))</f>
        <v/>
      </c>
      <c r="K882" s="9">
        <f>IF($B882="","",IFERROR(AVERAGEIFS('2. Soil Data'!$G$5:$G$604,'2. Soil Data'!$B$5:$B$604,$B882),""))</f>
        <v/>
      </c>
      <c r="L882" s="9">
        <f>IF(NOT(ISNUMBER($K882)),"",PI()*($K882/2)^2)</f>
        <v/>
      </c>
      <c r="M882" s="9">
        <f>IF(OR(NOT(ISNUMBER($J882)),NOT(ISNUMBER($L882)),$L882=0),"",$J882/$L882*10000)</f>
        <v/>
      </c>
      <c r="N882" s="9">
        <f>IF(NOT(ISNUMBER($M882)),"",$M882*CARBON_FRACTION_ROOT/1000)</f>
        <v/>
      </c>
      <c r="O882" s="11">
        <f>IF(AND($A882="",$B882="",$G882=""),"",IF(AND($B882&lt;&gt;"",COUNTIFS('2. Soil Data'!$B$5:$B$604,$B882)=0),"Core ID not found in Soil Data, so the corer diameter cannot be looked up. ","")&amp;IF(ASH_CORRECTED&lt;&gt;"Yes","Root mass is NOT ash-corrected, so it includes adhering mineral soil and is too high. Set ASH_CORRECTED once you have done it. ","")&amp;IF(AND(ASH_CORRECTED="Yes",NOT(ISNUMBER($H882))),"Ash correction is switched on but no ash fraction is given for this row. ","")&amp;IF($I882="","Sieve mesh not recorded — a fine-root figure cannot be interpreted without it. ","")&amp;IF(AND(ISNUMBER($H882),$H882&gt;0.5),"Ash fraction above 0.5 — over half this sample was mineral soil. Re-wash. ","")&amp;IF($F882="Not separated","Live and dead not separated. Fine for a stock, but "&amp;"note it in reporting. ",""))</f>
        <v/>
      </c>
      <c r="P882" s="6" t="n"/>
      <c r="Q882" s="9">
        <f>IF($B882="",0,IF(COUNTIFS($B$5:$B882,$B882)=1,1,0))</f>
        <v/>
      </c>
    </row>
    <row r="883">
      <c r="A883" s="6" t="n"/>
      <c r="B883" s="6" t="n"/>
      <c r="C883" s="6" t="n"/>
      <c r="D883" s="6" t="n"/>
      <c r="E883" s="6" t="n"/>
      <c r="F883" s="6" t="n"/>
      <c r="G883" s="7" t="n"/>
      <c r="H883" s="7" t="n"/>
      <c r="I883" s="6" t="n"/>
      <c r="J883" s="9">
        <f>IF(NOT(ISNUMBER($G883)),"",IF(AND(ASH_CORRECTED="Yes",ISNUMBER($H883)),$G883*(1-$H883),$G883))</f>
        <v/>
      </c>
      <c r="K883" s="9">
        <f>IF($B883="","",IFERROR(AVERAGEIFS('2. Soil Data'!$G$5:$G$604,'2. Soil Data'!$B$5:$B$604,$B883),""))</f>
        <v/>
      </c>
      <c r="L883" s="9">
        <f>IF(NOT(ISNUMBER($K883)),"",PI()*($K883/2)^2)</f>
        <v/>
      </c>
      <c r="M883" s="9">
        <f>IF(OR(NOT(ISNUMBER($J883)),NOT(ISNUMBER($L883)),$L883=0),"",$J883/$L883*10000)</f>
        <v/>
      </c>
      <c r="N883" s="9">
        <f>IF(NOT(ISNUMBER($M883)),"",$M883*CARBON_FRACTION_ROOT/1000)</f>
        <v/>
      </c>
      <c r="O883" s="11">
        <f>IF(AND($A883="",$B883="",$G883=""),"",IF(AND($B883&lt;&gt;"",COUNTIFS('2. Soil Data'!$B$5:$B$604,$B883)=0),"Core ID not found in Soil Data, so the corer diameter cannot be looked up. ","")&amp;IF(ASH_CORRECTED&lt;&gt;"Yes","Root mass is NOT ash-corrected, so it includes adhering mineral soil and is too high. Set ASH_CORRECTED once you have done it. ","")&amp;IF(AND(ASH_CORRECTED="Yes",NOT(ISNUMBER($H883))),"Ash correction is switched on but no ash fraction is given for this row. ","")&amp;IF($I883="","Sieve mesh not recorded — a fine-root figure cannot be interpreted without it. ","")&amp;IF(AND(ISNUMBER($H883),$H883&gt;0.5),"Ash fraction above 0.5 — over half this sample was mineral soil. Re-wash. ","")&amp;IF($F883="Not separated","Live and dead not separated. Fine for a stock, but "&amp;"note it in reporting. ",""))</f>
        <v/>
      </c>
      <c r="P883" s="6" t="n"/>
      <c r="Q883" s="9">
        <f>IF($B883="",0,IF(COUNTIFS($B$5:$B883,$B883)=1,1,0))</f>
        <v/>
      </c>
    </row>
    <row r="884">
      <c r="A884" s="6" t="n"/>
      <c r="B884" s="6" t="n"/>
      <c r="C884" s="6" t="n"/>
      <c r="D884" s="6" t="n"/>
      <c r="E884" s="6" t="n"/>
      <c r="F884" s="6" t="n"/>
      <c r="G884" s="7" t="n"/>
      <c r="H884" s="7" t="n"/>
      <c r="I884" s="6" t="n"/>
      <c r="J884" s="9">
        <f>IF(NOT(ISNUMBER($G884)),"",IF(AND(ASH_CORRECTED="Yes",ISNUMBER($H884)),$G884*(1-$H884),$G884))</f>
        <v/>
      </c>
      <c r="K884" s="9">
        <f>IF($B884="","",IFERROR(AVERAGEIFS('2. Soil Data'!$G$5:$G$604,'2. Soil Data'!$B$5:$B$604,$B884),""))</f>
        <v/>
      </c>
      <c r="L884" s="9">
        <f>IF(NOT(ISNUMBER($K884)),"",PI()*($K884/2)^2)</f>
        <v/>
      </c>
      <c r="M884" s="9">
        <f>IF(OR(NOT(ISNUMBER($J884)),NOT(ISNUMBER($L884)),$L884=0),"",$J884/$L884*10000)</f>
        <v/>
      </c>
      <c r="N884" s="9">
        <f>IF(NOT(ISNUMBER($M884)),"",$M884*CARBON_FRACTION_ROOT/1000)</f>
        <v/>
      </c>
      <c r="O884" s="11">
        <f>IF(AND($A884="",$B884="",$G884=""),"",IF(AND($B884&lt;&gt;"",COUNTIFS('2. Soil Data'!$B$5:$B$604,$B884)=0),"Core ID not found in Soil Data, so the corer diameter cannot be looked up. ","")&amp;IF(ASH_CORRECTED&lt;&gt;"Yes","Root mass is NOT ash-corrected, so it includes adhering mineral soil and is too high. Set ASH_CORRECTED once you have done it. ","")&amp;IF(AND(ASH_CORRECTED="Yes",NOT(ISNUMBER($H884))),"Ash correction is switched on but no ash fraction is given for this row. ","")&amp;IF($I884="","Sieve mesh not recorded — a fine-root figure cannot be interpreted without it. ","")&amp;IF(AND(ISNUMBER($H884),$H884&gt;0.5),"Ash fraction above 0.5 — over half this sample was mineral soil. Re-wash. ","")&amp;IF($F884="Not separated","Live and dead not separated. Fine for a stock, but "&amp;"note it in reporting. ",""))</f>
        <v/>
      </c>
      <c r="P884" s="6" t="n"/>
      <c r="Q884" s="9">
        <f>IF($B884="",0,IF(COUNTIFS($B$5:$B884,$B884)=1,1,0))</f>
        <v/>
      </c>
    </row>
    <row r="885">
      <c r="A885" s="6" t="n"/>
      <c r="B885" s="6" t="n"/>
      <c r="C885" s="6" t="n"/>
      <c r="D885" s="6" t="n"/>
      <c r="E885" s="6" t="n"/>
      <c r="F885" s="6" t="n"/>
      <c r="G885" s="7" t="n"/>
      <c r="H885" s="7" t="n"/>
      <c r="I885" s="6" t="n"/>
      <c r="J885" s="9">
        <f>IF(NOT(ISNUMBER($G885)),"",IF(AND(ASH_CORRECTED="Yes",ISNUMBER($H885)),$G885*(1-$H885),$G885))</f>
        <v/>
      </c>
      <c r="K885" s="9">
        <f>IF($B885="","",IFERROR(AVERAGEIFS('2. Soil Data'!$G$5:$G$604,'2. Soil Data'!$B$5:$B$604,$B885),""))</f>
        <v/>
      </c>
      <c r="L885" s="9">
        <f>IF(NOT(ISNUMBER($K885)),"",PI()*($K885/2)^2)</f>
        <v/>
      </c>
      <c r="M885" s="9">
        <f>IF(OR(NOT(ISNUMBER($J885)),NOT(ISNUMBER($L885)),$L885=0),"",$J885/$L885*10000)</f>
        <v/>
      </c>
      <c r="N885" s="9">
        <f>IF(NOT(ISNUMBER($M885)),"",$M885*CARBON_FRACTION_ROOT/1000)</f>
        <v/>
      </c>
      <c r="O885" s="11">
        <f>IF(AND($A885="",$B885="",$G885=""),"",IF(AND($B885&lt;&gt;"",COUNTIFS('2. Soil Data'!$B$5:$B$604,$B885)=0),"Core ID not found in Soil Data, so the corer diameter cannot be looked up. ","")&amp;IF(ASH_CORRECTED&lt;&gt;"Yes","Root mass is NOT ash-corrected, so it includes adhering mineral soil and is too high. Set ASH_CORRECTED once you have done it. ","")&amp;IF(AND(ASH_CORRECTED="Yes",NOT(ISNUMBER($H885))),"Ash correction is switched on but no ash fraction is given for this row. ","")&amp;IF($I885="","Sieve mesh not recorded — a fine-root figure cannot be interpreted without it. ","")&amp;IF(AND(ISNUMBER($H885),$H885&gt;0.5),"Ash fraction above 0.5 — over half this sample was mineral soil. Re-wash. ","")&amp;IF($F885="Not separated","Live and dead not separated. Fine for a stock, but "&amp;"note it in reporting. ",""))</f>
        <v/>
      </c>
      <c r="P885" s="6" t="n"/>
      <c r="Q885" s="9">
        <f>IF($B885="",0,IF(COUNTIFS($B$5:$B885,$B885)=1,1,0))</f>
        <v/>
      </c>
    </row>
    <row r="886">
      <c r="A886" s="6" t="n"/>
      <c r="B886" s="6" t="n"/>
      <c r="C886" s="6" t="n"/>
      <c r="D886" s="6" t="n"/>
      <c r="E886" s="6" t="n"/>
      <c r="F886" s="6" t="n"/>
      <c r="G886" s="7" t="n"/>
      <c r="H886" s="7" t="n"/>
      <c r="I886" s="6" t="n"/>
      <c r="J886" s="9">
        <f>IF(NOT(ISNUMBER($G886)),"",IF(AND(ASH_CORRECTED="Yes",ISNUMBER($H886)),$G886*(1-$H886),$G886))</f>
        <v/>
      </c>
      <c r="K886" s="9">
        <f>IF($B886="","",IFERROR(AVERAGEIFS('2. Soil Data'!$G$5:$G$604,'2. Soil Data'!$B$5:$B$604,$B886),""))</f>
        <v/>
      </c>
      <c r="L886" s="9">
        <f>IF(NOT(ISNUMBER($K886)),"",PI()*($K886/2)^2)</f>
        <v/>
      </c>
      <c r="M886" s="9">
        <f>IF(OR(NOT(ISNUMBER($J886)),NOT(ISNUMBER($L886)),$L886=0),"",$J886/$L886*10000)</f>
        <v/>
      </c>
      <c r="N886" s="9">
        <f>IF(NOT(ISNUMBER($M886)),"",$M886*CARBON_FRACTION_ROOT/1000)</f>
        <v/>
      </c>
      <c r="O886" s="11">
        <f>IF(AND($A886="",$B886="",$G886=""),"",IF(AND($B886&lt;&gt;"",COUNTIFS('2. Soil Data'!$B$5:$B$604,$B886)=0),"Core ID not found in Soil Data, so the corer diameter cannot be looked up. ","")&amp;IF(ASH_CORRECTED&lt;&gt;"Yes","Root mass is NOT ash-corrected, so it includes adhering mineral soil and is too high. Set ASH_CORRECTED once you have done it. ","")&amp;IF(AND(ASH_CORRECTED="Yes",NOT(ISNUMBER($H886))),"Ash correction is switched on but no ash fraction is given for this row. ","")&amp;IF($I886="","Sieve mesh not recorded — a fine-root figure cannot be interpreted without it. ","")&amp;IF(AND(ISNUMBER($H886),$H886&gt;0.5),"Ash fraction above 0.5 — over half this sample was mineral soil. Re-wash. ","")&amp;IF($F886="Not separated","Live and dead not separated. Fine for a stock, but "&amp;"note it in reporting. ",""))</f>
        <v/>
      </c>
      <c r="P886" s="6" t="n"/>
      <c r="Q886" s="9">
        <f>IF($B886="",0,IF(COUNTIFS($B$5:$B886,$B886)=1,1,0))</f>
        <v/>
      </c>
    </row>
    <row r="887">
      <c r="A887" s="6" t="n"/>
      <c r="B887" s="6" t="n"/>
      <c r="C887" s="6" t="n"/>
      <c r="D887" s="6" t="n"/>
      <c r="E887" s="6" t="n"/>
      <c r="F887" s="6" t="n"/>
      <c r="G887" s="7" t="n"/>
      <c r="H887" s="7" t="n"/>
      <c r="I887" s="6" t="n"/>
      <c r="J887" s="9">
        <f>IF(NOT(ISNUMBER($G887)),"",IF(AND(ASH_CORRECTED="Yes",ISNUMBER($H887)),$G887*(1-$H887),$G887))</f>
        <v/>
      </c>
      <c r="K887" s="9">
        <f>IF($B887="","",IFERROR(AVERAGEIFS('2. Soil Data'!$G$5:$G$604,'2. Soil Data'!$B$5:$B$604,$B887),""))</f>
        <v/>
      </c>
      <c r="L887" s="9">
        <f>IF(NOT(ISNUMBER($K887)),"",PI()*($K887/2)^2)</f>
        <v/>
      </c>
      <c r="M887" s="9">
        <f>IF(OR(NOT(ISNUMBER($J887)),NOT(ISNUMBER($L887)),$L887=0),"",$J887/$L887*10000)</f>
        <v/>
      </c>
      <c r="N887" s="9">
        <f>IF(NOT(ISNUMBER($M887)),"",$M887*CARBON_FRACTION_ROOT/1000)</f>
        <v/>
      </c>
      <c r="O887" s="11">
        <f>IF(AND($A887="",$B887="",$G887=""),"",IF(AND($B887&lt;&gt;"",COUNTIFS('2. Soil Data'!$B$5:$B$604,$B887)=0),"Core ID not found in Soil Data, so the corer diameter cannot be looked up. ","")&amp;IF(ASH_CORRECTED&lt;&gt;"Yes","Root mass is NOT ash-corrected, so it includes adhering mineral soil and is too high. Set ASH_CORRECTED once you have done it. ","")&amp;IF(AND(ASH_CORRECTED="Yes",NOT(ISNUMBER($H887))),"Ash correction is switched on but no ash fraction is given for this row. ","")&amp;IF($I887="","Sieve mesh not recorded — a fine-root figure cannot be interpreted without it. ","")&amp;IF(AND(ISNUMBER($H887),$H887&gt;0.5),"Ash fraction above 0.5 — over half this sample was mineral soil. Re-wash. ","")&amp;IF($F887="Not separated","Live and dead not separated. Fine for a stock, but "&amp;"note it in reporting. ",""))</f>
        <v/>
      </c>
      <c r="P887" s="6" t="n"/>
      <c r="Q887" s="9">
        <f>IF($B887="",0,IF(COUNTIFS($B$5:$B887,$B887)=1,1,0))</f>
        <v/>
      </c>
    </row>
    <row r="888">
      <c r="A888" s="6" t="n"/>
      <c r="B888" s="6" t="n"/>
      <c r="C888" s="6" t="n"/>
      <c r="D888" s="6" t="n"/>
      <c r="E888" s="6" t="n"/>
      <c r="F888" s="6" t="n"/>
      <c r="G888" s="7" t="n"/>
      <c r="H888" s="7" t="n"/>
      <c r="I888" s="6" t="n"/>
      <c r="J888" s="9">
        <f>IF(NOT(ISNUMBER($G888)),"",IF(AND(ASH_CORRECTED="Yes",ISNUMBER($H888)),$G888*(1-$H888),$G888))</f>
        <v/>
      </c>
      <c r="K888" s="9">
        <f>IF($B888="","",IFERROR(AVERAGEIFS('2. Soil Data'!$G$5:$G$604,'2. Soil Data'!$B$5:$B$604,$B888),""))</f>
        <v/>
      </c>
      <c r="L888" s="9">
        <f>IF(NOT(ISNUMBER($K888)),"",PI()*($K888/2)^2)</f>
        <v/>
      </c>
      <c r="M888" s="9">
        <f>IF(OR(NOT(ISNUMBER($J888)),NOT(ISNUMBER($L888)),$L888=0),"",$J888/$L888*10000)</f>
        <v/>
      </c>
      <c r="N888" s="9">
        <f>IF(NOT(ISNUMBER($M888)),"",$M888*CARBON_FRACTION_ROOT/1000)</f>
        <v/>
      </c>
      <c r="O888" s="11">
        <f>IF(AND($A888="",$B888="",$G888=""),"",IF(AND($B888&lt;&gt;"",COUNTIFS('2. Soil Data'!$B$5:$B$604,$B888)=0),"Core ID not found in Soil Data, so the corer diameter cannot be looked up. ","")&amp;IF(ASH_CORRECTED&lt;&gt;"Yes","Root mass is NOT ash-corrected, so it includes adhering mineral soil and is too high. Set ASH_CORRECTED once you have done it. ","")&amp;IF(AND(ASH_CORRECTED="Yes",NOT(ISNUMBER($H888))),"Ash correction is switched on but no ash fraction is given for this row. ","")&amp;IF($I888="","Sieve mesh not recorded — a fine-root figure cannot be interpreted without it. ","")&amp;IF(AND(ISNUMBER($H888),$H888&gt;0.5),"Ash fraction above 0.5 — over half this sample was mineral soil. Re-wash. ","")&amp;IF($F888="Not separated","Live and dead not separated. Fine for a stock, but "&amp;"note it in reporting. ",""))</f>
        <v/>
      </c>
      <c r="P888" s="6" t="n"/>
      <c r="Q888" s="9">
        <f>IF($B888="",0,IF(COUNTIFS($B$5:$B888,$B888)=1,1,0))</f>
        <v/>
      </c>
    </row>
    <row r="889">
      <c r="A889" s="6" t="n"/>
      <c r="B889" s="6" t="n"/>
      <c r="C889" s="6" t="n"/>
      <c r="D889" s="6" t="n"/>
      <c r="E889" s="6" t="n"/>
      <c r="F889" s="6" t="n"/>
      <c r="G889" s="7" t="n"/>
      <c r="H889" s="7" t="n"/>
      <c r="I889" s="6" t="n"/>
      <c r="J889" s="9">
        <f>IF(NOT(ISNUMBER($G889)),"",IF(AND(ASH_CORRECTED="Yes",ISNUMBER($H889)),$G889*(1-$H889),$G889))</f>
        <v/>
      </c>
      <c r="K889" s="9">
        <f>IF($B889="","",IFERROR(AVERAGEIFS('2. Soil Data'!$G$5:$G$604,'2. Soil Data'!$B$5:$B$604,$B889),""))</f>
        <v/>
      </c>
      <c r="L889" s="9">
        <f>IF(NOT(ISNUMBER($K889)),"",PI()*($K889/2)^2)</f>
        <v/>
      </c>
      <c r="M889" s="9">
        <f>IF(OR(NOT(ISNUMBER($J889)),NOT(ISNUMBER($L889)),$L889=0),"",$J889/$L889*10000)</f>
        <v/>
      </c>
      <c r="N889" s="9">
        <f>IF(NOT(ISNUMBER($M889)),"",$M889*CARBON_FRACTION_ROOT/1000)</f>
        <v/>
      </c>
      <c r="O889" s="11">
        <f>IF(AND($A889="",$B889="",$G889=""),"",IF(AND($B889&lt;&gt;"",COUNTIFS('2. Soil Data'!$B$5:$B$604,$B889)=0),"Core ID not found in Soil Data, so the corer diameter cannot be looked up. ","")&amp;IF(ASH_CORRECTED&lt;&gt;"Yes","Root mass is NOT ash-corrected, so it includes adhering mineral soil and is too high. Set ASH_CORRECTED once you have done it. ","")&amp;IF(AND(ASH_CORRECTED="Yes",NOT(ISNUMBER($H889))),"Ash correction is switched on but no ash fraction is given for this row. ","")&amp;IF($I889="","Sieve mesh not recorded — a fine-root figure cannot be interpreted without it. ","")&amp;IF(AND(ISNUMBER($H889),$H889&gt;0.5),"Ash fraction above 0.5 — over half this sample was mineral soil. Re-wash. ","")&amp;IF($F889="Not separated","Live and dead not separated. Fine for a stock, but "&amp;"note it in reporting. ",""))</f>
        <v/>
      </c>
      <c r="P889" s="6" t="n"/>
      <c r="Q889" s="9">
        <f>IF($B889="",0,IF(COUNTIFS($B$5:$B889,$B889)=1,1,0))</f>
        <v/>
      </c>
    </row>
    <row r="890">
      <c r="A890" s="6" t="n"/>
      <c r="B890" s="6" t="n"/>
      <c r="C890" s="6" t="n"/>
      <c r="D890" s="6" t="n"/>
      <c r="E890" s="6" t="n"/>
      <c r="F890" s="6" t="n"/>
      <c r="G890" s="7" t="n"/>
      <c r="H890" s="7" t="n"/>
      <c r="I890" s="6" t="n"/>
      <c r="J890" s="9">
        <f>IF(NOT(ISNUMBER($G890)),"",IF(AND(ASH_CORRECTED="Yes",ISNUMBER($H890)),$G890*(1-$H890),$G890))</f>
        <v/>
      </c>
      <c r="K890" s="9">
        <f>IF($B890="","",IFERROR(AVERAGEIFS('2. Soil Data'!$G$5:$G$604,'2. Soil Data'!$B$5:$B$604,$B890),""))</f>
        <v/>
      </c>
      <c r="L890" s="9">
        <f>IF(NOT(ISNUMBER($K890)),"",PI()*($K890/2)^2)</f>
        <v/>
      </c>
      <c r="M890" s="9">
        <f>IF(OR(NOT(ISNUMBER($J890)),NOT(ISNUMBER($L890)),$L890=0),"",$J890/$L890*10000)</f>
        <v/>
      </c>
      <c r="N890" s="9">
        <f>IF(NOT(ISNUMBER($M890)),"",$M890*CARBON_FRACTION_ROOT/1000)</f>
        <v/>
      </c>
      <c r="O890" s="11">
        <f>IF(AND($A890="",$B890="",$G890=""),"",IF(AND($B890&lt;&gt;"",COUNTIFS('2. Soil Data'!$B$5:$B$604,$B890)=0),"Core ID not found in Soil Data, so the corer diameter cannot be looked up. ","")&amp;IF(ASH_CORRECTED&lt;&gt;"Yes","Root mass is NOT ash-corrected, so it includes adhering mineral soil and is too high. Set ASH_CORRECTED once you have done it. ","")&amp;IF(AND(ASH_CORRECTED="Yes",NOT(ISNUMBER($H890))),"Ash correction is switched on but no ash fraction is given for this row. ","")&amp;IF($I890="","Sieve mesh not recorded — a fine-root figure cannot be interpreted without it. ","")&amp;IF(AND(ISNUMBER($H890),$H890&gt;0.5),"Ash fraction above 0.5 — over half this sample was mineral soil. Re-wash. ","")&amp;IF($F890="Not separated","Live and dead not separated. Fine for a stock, but "&amp;"note it in reporting. ",""))</f>
        <v/>
      </c>
      <c r="P890" s="6" t="n"/>
      <c r="Q890" s="9">
        <f>IF($B890="",0,IF(COUNTIFS($B$5:$B890,$B890)=1,1,0))</f>
        <v/>
      </c>
    </row>
    <row r="891">
      <c r="A891" s="6" t="n"/>
      <c r="B891" s="6" t="n"/>
      <c r="C891" s="6" t="n"/>
      <c r="D891" s="6" t="n"/>
      <c r="E891" s="6" t="n"/>
      <c r="F891" s="6" t="n"/>
      <c r="G891" s="7" t="n"/>
      <c r="H891" s="7" t="n"/>
      <c r="I891" s="6" t="n"/>
      <c r="J891" s="9">
        <f>IF(NOT(ISNUMBER($G891)),"",IF(AND(ASH_CORRECTED="Yes",ISNUMBER($H891)),$G891*(1-$H891),$G891))</f>
        <v/>
      </c>
      <c r="K891" s="9">
        <f>IF($B891="","",IFERROR(AVERAGEIFS('2. Soil Data'!$G$5:$G$604,'2. Soil Data'!$B$5:$B$604,$B891),""))</f>
        <v/>
      </c>
      <c r="L891" s="9">
        <f>IF(NOT(ISNUMBER($K891)),"",PI()*($K891/2)^2)</f>
        <v/>
      </c>
      <c r="M891" s="9">
        <f>IF(OR(NOT(ISNUMBER($J891)),NOT(ISNUMBER($L891)),$L891=0),"",$J891/$L891*10000)</f>
        <v/>
      </c>
      <c r="N891" s="9">
        <f>IF(NOT(ISNUMBER($M891)),"",$M891*CARBON_FRACTION_ROOT/1000)</f>
        <v/>
      </c>
      <c r="O891" s="11">
        <f>IF(AND($A891="",$B891="",$G891=""),"",IF(AND($B891&lt;&gt;"",COUNTIFS('2. Soil Data'!$B$5:$B$604,$B891)=0),"Core ID not found in Soil Data, so the corer diameter cannot be looked up. ","")&amp;IF(ASH_CORRECTED&lt;&gt;"Yes","Root mass is NOT ash-corrected, so it includes adhering mineral soil and is too high. Set ASH_CORRECTED once you have done it. ","")&amp;IF(AND(ASH_CORRECTED="Yes",NOT(ISNUMBER($H891))),"Ash correction is switched on but no ash fraction is given for this row. ","")&amp;IF($I891="","Sieve mesh not recorded — a fine-root figure cannot be interpreted without it. ","")&amp;IF(AND(ISNUMBER($H891),$H891&gt;0.5),"Ash fraction above 0.5 — over half this sample was mineral soil. Re-wash. ","")&amp;IF($F891="Not separated","Live and dead not separated. Fine for a stock, but "&amp;"note it in reporting. ",""))</f>
        <v/>
      </c>
      <c r="P891" s="6" t="n"/>
      <c r="Q891" s="9">
        <f>IF($B891="",0,IF(COUNTIFS($B$5:$B891,$B891)=1,1,0))</f>
        <v/>
      </c>
    </row>
    <row r="892">
      <c r="A892" s="6" t="n"/>
      <c r="B892" s="6" t="n"/>
      <c r="C892" s="6" t="n"/>
      <c r="D892" s="6" t="n"/>
      <c r="E892" s="6" t="n"/>
      <c r="F892" s="6" t="n"/>
      <c r="G892" s="7" t="n"/>
      <c r="H892" s="7" t="n"/>
      <c r="I892" s="6" t="n"/>
      <c r="J892" s="9">
        <f>IF(NOT(ISNUMBER($G892)),"",IF(AND(ASH_CORRECTED="Yes",ISNUMBER($H892)),$G892*(1-$H892),$G892))</f>
        <v/>
      </c>
      <c r="K892" s="9">
        <f>IF($B892="","",IFERROR(AVERAGEIFS('2. Soil Data'!$G$5:$G$604,'2. Soil Data'!$B$5:$B$604,$B892),""))</f>
        <v/>
      </c>
      <c r="L892" s="9">
        <f>IF(NOT(ISNUMBER($K892)),"",PI()*($K892/2)^2)</f>
        <v/>
      </c>
      <c r="M892" s="9">
        <f>IF(OR(NOT(ISNUMBER($J892)),NOT(ISNUMBER($L892)),$L892=0),"",$J892/$L892*10000)</f>
        <v/>
      </c>
      <c r="N892" s="9">
        <f>IF(NOT(ISNUMBER($M892)),"",$M892*CARBON_FRACTION_ROOT/1000)</f>
        <v/>
      </c>
      <c r="O892" s="11">
        <f>IF(AND($A892="",$B892="",$G892=""),"",IF(AND($B892&lt;&gt;"",COUNTIFS('2. Soil Data'!$B$5:$B$604,$B892)=0),"Core ID not found in Soil Data, so the corer diameter cannot be looked up. ","")&amp;IF(ASH_CORRECTED&lt;&gt;"Yes","Root mass is NOT ash-corrected, so it includes adhering mineral soil and is too high. Set ASH_CORRECTED once you have done it. ","")&amp;IF(AND(ASH_CORRECTED="Yes",NOT(ISNUMBER($H892))),"Ash correction is switched on but no ash fraction is given for this row. ","")&amp;IF($I892="","Sieve mesh not recorded — a fine-root figure cannot be interpreted without it. ","")&amp;IF(AND(ISNUMBER($H892),$H892&gt;0.5),"Ash fraction above 0.5 — over half this sample was mineral soil. Re-wash. ","")&amp;IF($F892="Not separated","Live and dead not separated. Fine for a stock, but "&amp;"note it in reporting. ",""))</f>
        <v/>
      </c>
      <c r="P892" s="6" t="n"/>
      <c r="Q892" s="9">
        <f>IF($B892="",0,IF(COUNTIFS($B$5:$B892,$B892)=1,1,0))</f>
        <v/>
      </c>
    </row>
    <row r="893">
      <c r="A893" s="6" t="n"/>
      <c r="B893" s="6" t="n"/>
      <c r="C893" s="6" t="n"/>
      <c r="D893" s="6" t="n"/>
      <c r="E893" s="6" t="n"/>
      <c r="F893" s="6" t="n"/>
      <c r="G893" s="7" t="n"/>
      <c r="H893" s="7" t="n"/>
      <c r="I893" s="6" t="n"/>
      <c r="J893" s="9">
        <f>IF(NOT(ISNUMBER($G893)),"",IF(AND(ASH_CORRECTED="Yes",ISNUMBER($H893)),$G893*(1-$H893),$G893))</f>
        <v/>
      </c>
      <c r="K893" s="9">
        <f>IF($B893="","",IFERROR(AVERAGEIFS('2. Soil Data'!$G$5:$G$604,'2. Soil Data'!$B$5:$B$604,$B893),""))</f>
        <v/>
      </c>
      <c r="L893" s="9">
        <f>IF(NOT(ISNUMBER($K893)),"",PI()*($K893/2)^2)</f>
        <v/>
      </c>
      <c r="M893" s="9">
        <f>IF(OR(NOT(ISNUMBER($J893)),NOT(ISNUMBER($L893)),$L893=0),"",$J893/$L893*10000)</f>
        <v/>
      </c>
      <c r="N893" s="9">
        <f>IF(NOT(ISNUMBER($M893)),"",$M893*CARBON_FRACTION_ROOT/1000)</f>
        <v/>
      </c>
      <c r="O893" s="11">
        <f>IF(AND($A893="",$B893="",$G893=""),"",IF(AND($B893&lt;&gt;"",COUNTIFS('2. Soil Data'!$B$5:$B$604,$B893)=0),"Core ID not found in Soil Data, so the corer diameter cannot be looked up. ","")&amp;IF(ASH_CORRECTED&lt;&gt;"Yes","Root mass is NOT ash-corrected, so it includes adhering mineral soil and is too high. Set ASH_CORRECTED once you have done it. ","")&amp;IF(AND(ASH_CORRECTED="Yes",NOT(ISNUMBER($H893))),"Ash correction is switched on but no ash fraction is given for this row. ","")&amp;IF($I893="","Sieve mesh not recorded — a fine-root figure cannot be interpreted without it. ","")&amp;IF(AND(ISNUMBER($H893),$H893&gt;0.5),"Ash fraction above 0.5 — over half this sample was mineral soil. Re-wash. ","")&amp;IF($F893="Not separated","Live and dead not separated. Fine for a stock, but "&amp;"note it in reporting. ",""))</f>
        <v/>
      </c>
      <c r="P893" s="6" t="n"/>
      <c r="Q893" s="9">
        <f>IF($B893="",0,IF(COUNTIFS($B$5:$B893,$B893)=1,1,0))</f>
        <v/>
      </c>
    </row>
    <row r="894">
      <c r="A894" s="6" t="n"/>
      <c r="B894" s="6" t="n"/>
      <c r="C894" s="6" t="n"/>
      <c r="D894" s="6" t="n"/>
      <c r="E894" s="6" t="n"/>
      <c r="F894" s="6" t="n"/>
      <c r="G894" s="7" t="n"/>
      <c r="H894" s="7" t="n"/>
      <c r="I894" s="6" t="n"/>
      <c r="J894" s="9">
        <f>IF(NOT(ISNUMBER($G894)),"",IF(AND(ASH_CORRECTED="Yes",ISNUMBER($H894)),$G894*(1-$H894),$G894))</f>
        <v/>
      </c>
      <c r="K894" s="9">
        <f>IF($B894="","",IFERROR(AVERAGEIFS('2. Soil Data'!$G$5:$G$604,'2. Soil Data'!$B$5:$B$604,$B894),""))</f>
        <v/>
      </c>
      <c r="L894" s="9">
        <f>IF(NOT(ISNUMBER($K894)),"",PI()*($K894/2)^2)</f>
        <v/>
      </c>
      <c r="M894" s="9">
        <f>IF(OR(NOT(ISNUMBER($J894)),NOT(ISNUMBER($L894)),$L894=0),"",$J894/$L894*10000)</f>
        <v/>
      </c>
      <c r="N894" s="9">
        <f>IF(NOT(ISNUMBER($M894)),"",$M894*CARBON_FRACTION_ROOT/1000)</f>
        <v/>
      </c>
      <c r="O894" s="11">
        <f>IF(AND($A894="",$B894="",$G894=""),"",IF(AND($B894&lt;&gt;"",COUNTIFS('2. Soil Data'!$B$5:$B$604,$B894)=0),"Core ID not found in Soil Data, so the corer diameter cannot be looked up. ","")&amp;IF(ASH_CORRECTED&lt;&gt;"Yes","Root mass is NOT ash-corrected, so it includes adhering mineral soil and is too high. Set ASH_CORRECTED once you have done it. ","")&amp;IF(AND(ASH_CORRECTED="Yes",NOT(ISNUMBER($H894))),"Ash correction is switched on but no ash fraction is given for this row. ","")&amp;IF($I894="","Sieve mesh not recorded — a fine-root figure cannot be interpreted without it. ","")&amp;IF(AND(ISNUMBER($H894),$H894&gt;0.5),"Ash fraction above 0.5 — over half this sample was mineral soil. Re-wash. ","")&amp;IF($F894="Not separated","Live and dead not separated. Fine for a stock, but "&amp;"note it in reporting. ",""))</f>
        <v/>
      </c>
      <c r="P894" s="6" t="n"/>
      <c r="Q894" s="9">
        <f>IF($B894="",0,IF(COUNTIFS($B$5:$B894,$B894)=1,1,0))</f>
        <v/>
      </c>
    </row>
    <row r="895">
      <c r="A895" s="6" t="n"/>
      <c r="B895" s="6" t="n"/>
      <c r="C895" s="6" t="n"/>
      <c r="D895" s="6" t="n"/>
      <c r="E895" s="6" t="n"/>
      <c r="F895" s="6" t="n"/>
      <c r="G895" s="7" t="n"/>
      <c r="H895" s="7" t="n"/>
      <c r="I895" s="6" t="n"/>
      <c r="J895" s="9">
        <f>IF(NOT(ISNUMBER($G895)),"",IF(AND(ASH_CORRECTED="Yes",ISNUMBER($H895)),$G895*(1-$H895),$G895))</f>
        <v/>
      </c>
      <c r="K895" s="9">
        <f>IF($B895="","",IFERROR(AVERAGEIFS('2. Soil Data'!$G$5:$G$604,'2. Soil Data'!$B$5:$B$604,$B895),""))</f>
        <v/>
      </c>
      <c r="L895" s="9">
        <f>IF(NOT(ISNUMBER($K895)),"",PI()*($K895/2)^2)</f>
        <v/>
      </c>
      <c r="M895" s="9">
        <f>IF(OR(NOT(ISNUMBER($J895)),NOT(ISNUMBER($L895)),$L895=0),"",$J895/$L895*10000)</f>
        <v/>
      </c>
      <c r="N895" s="9">
        <f>IF(NOT(ISNUMBER($M895)),"",$M895*CARBON_FRACTION_ROOT/1000)</f>
        <v/>
      </c>
      <c r="O895" s="11">
        <f>IF(AND($A895="",$B895="",$G895=""),"",IF(AND($B895&lt;&gt;"",COUNTIFS('2. Soil Data'!$B$5:$B$604,$B895)=0),"Core ID not found in Soil Data, so the corer diameter cannot be looked up. ","")&amp;IF(ASH_CORRECTED&lt;&gt;"Yes","Root mass is NOT ash-corrected, so it includes adhering mineral soil and is too high. Set ASH_CORRECTED once you have done it. ","")&amp;IF(AND(ASH_CORRECTED="Yes",NOT(ISNUMBER($H895))),"Ash correction is switched on but no ash fraction is given for this row. ","")&amp;IF($I895="","Sieve mesh not recorded — a fine-root figure cannot be interpreted without it. ","")&amp;IF(AND(ISNUMBER($H895),$H895&gt;0.5),"Ash fraction above 0.5 — over half this sample was mineral soil. Re-wash. ","")&amp;IF($F895="Not separated","Live and dead not separated. Fine for a stock, but "&amp;"note it in reporting. ",""))</f>
        <v/>
      </c>
      <c r="P895" s="6" t="n"/>
      <c r="Q895" s="9">
        <f>IF($B895="",0,IF(COUNTIFS($B$5:$B895,$B895)=1,1,0))</f>
        <v/>
      </c>
    </row>
    <row r="896">
      <c r="A896" s="6" t="n"/>
      <c r="B896" s="6" t="n"/>
      <c r="C896" s="6" t="n"/>
      <c r="D896" s="6" t="n"/>
      <c r="E896" s="6" t="n"/>
      <c r="F896" s="6" t="n"/>
      <c r="G896" s="7" t="n"/>
      <c r="H896" s="7" t="n"/>
      <c r="I896" s="6" t="n"/>
      <c r="J896" s="9">
        <f>IF(NOT(ISNUMBER($G896)),"",IF(AND(ASH_CORRECTED="Yes",ISNUMBER($H896)),$G896*(1-$H896),$G896))</f>
        <v/>
      </c>
      <c r="K896" s="9">
        <f>IF($B896="","",IFERROR(AVERAGEIFS('2. Soil Data'!$G$5:$G$604,'2. Soil Data'!$B$5:$B$604,$B896),""))</f>
        <v/>
      </c>
      <c r="L896" s="9">
        <f>IF(NOT(ISNUMBER($K896)),"",PI()*($K896/2)^2)</f>
        <v/>
      </c>
      <c r="M896" s="9">
        <f>IF(OR(NOT(ISNUMBER($J896)),NOT(ISNUMBER($L896)),$L896=0),"",$J896/$L896*10000)</f>
        <v/>
      </c>
      <c r="N896" s="9">
        <f>IF(NOT(ISNUMBER($M896)),"",$M896*CARBON_FRACTION_ROOT/1000)</f>
        <v/>
      </c>
      <c r="O896" s="11">
        <f>IF(AND($A896="",$B896="",$G896=""),"",IF(AND($B896&lt;&gt;"",COUNTIFS('2. Soil Data'!$B$5:$B$604,$B896)=0),"Core ID not found in Soil Data, so the corer diameter cannot be looked up. ","")&amp;IF(ASH_CORRECTED&lt;&gt;"Yes","Root mass is NOT ash-corrected, so it includes adhering mineral soil and is too high. Set ASH_CORRECTED once you have done it. ","")&amp;IF(AND(ASH_CORRECTED="Yes",NOT(ISNUMBER($H896))),"Ash correction is switched on but no ash fraction is given for this row. ","")&amp;IF($I896="","Sieve mesh not recorded — a fine-root figure cannot be interpreted without it. ","")&amp;IF(AND(ISNUMBER($H896),$H896&gt;0.5),"Ash fraction above 0.5 — over half this sample was mineral soil. Re-wash. ","")&amp;IF($F896="Not separated","Live and dead not separated. Fine for a stock, but "&amp;"note it in reporting. ",""))</f>
        <v/>
      </c>
      <c r="P896" s="6" t="n"/>
      <c r="Q896" s="9">
        <f>IF($B896="",0,IF(COUNTIFS($B$5:$B896,$B896)=1,1,0))</f>
        <v/>
      </c>
    </row>
    <row r="897">
      <c r="A897" s="6" t="n"/>
      <c r="B897" s="6" t="n"/>
      <c r="C897" s="6" t="n"/>
      <c r="D897" s="6" t="n"/>
      <c r="E897" s="6" t="n"/>
      <c r="F897" s="6" t="n"/>
      <c r="G897" s="7" t="n"/>
      <c r="H897" s="7" t="n"/>
      <c r="I897" s="6" t="n"/>
      <c r="J897" s="9">
        <f>IF(NOT(ISNUMBER($G897)),"",IF(AND(ASH_CORRECTED="Yes",ISNUMBER($H897)),$G897*(1-$H897),$G897))</f>
        <v/>
      </c>
      <c r="K897" s="9">
        <f>IF($B897="","",IFERROR(AVERAGEIFS('2. Soil Data'!$G$5:$G$604,'2. Soil Data'!$B$5:$B$604,$B897),""))</f>
        <v/>
      </c>
      <c r="L897" s="9">
        <f>IF(NOT(ISNUMBER($K897)),"",PI()*($K897/2)^2)</f>
        <v/>
      </c>
      <c r="M897" s="9">
        <f>IF(OR(NOT(ISNUMBER($J897)),NOT(ISNUMBER($L897)),$L897=0),"",$J897/$L897*10000)</f>
        <v/>
      </c>
      <c r="N897" s="9">
        <f>IF(NOT(ISNUMBER($M897)),"",$M897*CARBON_FRACTION_ROOT/1000)</f>
        <v/>
      </c>
      <c r="O897" s="11">
        <f>IF(AND($A897="",$B897="",$G897=""),"",IF(AND($B897&lt;&gt;"",COUNTIFS('2. Soil Data'!$B$5:$B$604,$B897)=0),"Core ID not found in Soil Data, so the corer diameter cannot be looked up. ","")&amp;IF(ASH_CORRECTED&lt;&gt;"Yes","Root mass is NOT ash-corrected, so it includes adhering mineral soil and is too high. Set ASH_CORRECTED once you have done it. ","")&amp;IF(AND(ASH_CORRECTED="Yes",NOT(ISNUMBER($H897))),"Ash correction is switched on but no ash fraction is given for this row. ","")&amp;IF($I897="","Sieve mesh not recorded — a fine-root figure cannot be interpreted without it. ","")&amp;IF(AND(ISNUMBER($H897),$H897&gt;0.5),"Ash fraction above 0.5 — over half this sample was mineral soil. Re-wash. ","")&amp;IF($F897="Not separated","Live and dead not separated. Fine for a stock, but "&amp;"note it in reporting. ",""))</f>
        <v/>
      </c>
      <c r="P897" s="6" t="n"/>
      <c r="Q897" s="9">
        <f>IF($B897="",0,IF(COUNTIFS($B$5:$B897,$B897)=1,1,0))</f>
        <v/>
      </c>
    </row>
    <row r="898">
      <c r="A898" s="6" t="n"/>
      <c r="B898" s="6" t="n"/>
      <c r="C898" s="6" t="n"/>
      <c r="D898" s="6" t="n"/>
      <c r="E898" s="6" t="n"/>
      <c r="F898" s="6" t="n"/>
      <c r="G898" s="7" t="n"/>
      <c r="H898" s="7" t="n"/>
      <c r="I898" s="6" t="n"/>
      <c r="J898" s="9">
        <f>IF(NOT(ISNUMBER($G898)),"",IF(AND(ASH_CORRECTED="Yes",ISNUMBER($H898)),$G898*(1-$H898),$G898))</f>
        <v/>
      </c>
      <c r="K898" s="9">
        <f>IF($B898="","",IFERROR(AVERAGEIFS('2. Soil Data'!$G$5:$G$604,'2. Soil Data'!$B$5:$B$604,$B898),""))</f>
        <v/>
      </c>
      <c r="L898" s="9">
        <f>IF(NOT(ISNUMBER($K898)),"",PI()*($K898/2)^2)</f>
        <v/>
      </c>
      <c r="M898" s="9">
        <f>IF(OR(NOT(ISNUMBER($J898)),NOT(ISNUMBER($L898)),$L898=0),"",$J898/$L898*10000)</f>
        <v/>
      </c>
      <c r="N898" s="9">
        <f>IF(NOT(ISNUMBER($M898)),"",$M898*CARBON_FRACTION_ROOT/1000)</f>
        <v/>
      </c>
      <c r="O898" s="11">
        <f>IF(AND($A898="",$B898="",$G898=""),"",IF(AND($B898&lt;&gt;"",COUNTIFS('2. Soil Data'!$B$5:$B$604,$B898)=0),"Core ID not found in Soil Data, so the corer diameter cannot be looked up. ","")&amp;IF(ASH_CORRECTED&lt;&gt;"Yes","Root mass is NOT ash-corrected, so it includes adhering mineral soil and is too high. Set ASH_CORRECTED once you have done it. ","")&amp;IF(AND(ASH_CORRECTED="Yes",NOT(ISNUMBER($H898))),"Ash correction is switched on but no ash fraction is given for this row. ","")&amp;IF($I898="","Sieve mesh not recorded — a fine-root figure cannot be interpreted without it. ","")&amp;IF(AND(ISNUMBER($H898),$H898&gt;0.5),"Ash fraction above 0.5 — over half this sample was mineral soil. Re-wash. ","")&amp;IF($F898="Not separated","Live and dead not separated. Fine for a stock, but "&amp;"note it in reporting. ",""))</f>
        <v/>
      </c>
      <c r="P898" s="6" t="n"/>
      <c r="Q898" s="9">
        <f>IF($B898="",0,IF(COUNTIFS($B$5:$B898,$B898)=1,1,0))</f>
        <v/>
      </c>
    </row>
    <row r="899">
      <c r="A899" s="6" t="n"/>
      <c r="B899" s="6" t="n"/>
      <c r="C899" s="6" t="n"/>
      <c r="D899" s="6" t="n"/>
      <c r="E899" s="6" t="n"/>
      <c r="F899" s="6" t="n"/>
      <c r="G899" s="7" t="n"/>
      <c r="H899" s="7" t="n"/>
      <c r="I899" s="6" t="n"/>
      <c r="J899" s="9">
        <f>IF(NOT(ISNUMBER($G899)),"",IF(AND(ASH_CORRECTED="Yes",ISNUMBER($H899)),$G899*(1-$H899),$G899))</f>
        <v/>
      </c>
      <c r="K899" s="9">
        <f>IF($B899="","",IFERROR(AVERAGEIFS('2. Soil Data'!$G$5:$G$604,'2. Soil Data'!$B$5:$B$604,$B899),""))</f>
        <v/>
      </c>
      <c r="L899" s="9">
        <f>IF(NOT(ISNUMBER($K899)),"",PI()*($K899/2)^2)</f>
        <v/>
      </c>
      <c r="M899" s="9">
        <f>IF(OR(NOT(ISNUMBER($J899)),NOT(ISNUMBER($L899)),$L899=0),"",$J899/$L899*10000)</f>
        <v/>
      </c>
      <c r="N899" s="9">
        <f>IF(NOT(ISNUMBER($M899)),"",$M899*CARBON_FRACTION_ROOT/1000)</f>
        <v/>
      </c>
      <c r="O899" s="11">
        <f>IF(AND($A899="",$B899="",$G899=""),"",IF(AND($B899&lt;&gt;"",COUNTIFS('2. Soil Data'!$B$5:$B$604,$B899)=0),"Core ID not found in Soil Data, so the corer diameter cannot be looked up. ","")&amp;IF(ASH_CORRECTED&lt;&gt;"Yes","Root mass is NOT ash-corrected, so it includes adhering mineral soil and is too high. Set ASH_CORRECTED once you have done it. ","")&amp;IF(AND(ASH_CORRECTED="Yes",NOT(ISNUMBER($H899))),"Ash correction is switched on but no ash fraction is given for this row. ","")&amp;IF($I899="","Sieve mesh not recorded — a fine-root figure cannot be interpreted without it. ","")&amp;IF(AND(ISNUMBER($H899),$H899&gt;0.5),"Ash fraction above 0.5 — over half this sample was mineral soil. Re-wash. ","")&amp;IF($F899="Not separated","Live and dead not separated. Fine for a stock, but "&amp;"note it in reporting. ",""))</f>
        <v/>
      </c>
      <c r="P899" s="6" t="n"/>
      <c r="Q899" s="9">
        <f>IF($B899="",0,IF(COUNTIFS($B$5:$B899,$B899)=1,1,0))</f>
        <v/>
      </c>
    </row>
    <row r="900">
      <c r="A900" s="6" t="n"/>
      <c r="B900" s="6" t="n"/>
      <c r="C900" s="6" t="n"/>
      <c r="D900" s="6" t="n"/>
      <c r="E900" s="6" t="n"/>
      <c r="F900" s="6" t="n"/>
      <c r="G900" s="7" t="n"/>
      <c r="H900" s="7" t="n"/>
      <c r="I900" s="6" t="n"/>
      <c r="J900" s="9">
        <f>IF(NOT(ISNUMBER($G900)),"",IF(AND(ASH_CORRECTED="Yes",ISNUMBER($H900)),$G900*(1-$H900),$G900))</f>
        <v/>
      </c>
      <c r="K900" s="9">
        <f>IF($B900="","",IFERROR(AVERAGEIFS('2. Soil Data'!$G$5:$G$604,'2. Soil Data'!$B$5:$B$604,$B900),""))</f>
        <v/>
      </c>
      <c r="L900" s="9">
        <f>IF(NOT(ISNUMBER($K900)),"",PI()*($K900/2)^2)</f>
        <v/>
      </c>
      <c r="M900" s="9">
        <f>IF(OR(NOT(ISNUMBER($J900)),NOT(ISNUMBER($L900)),$L900=0),"",$J900/$L900*10000)</f>
        <v/>
      </c>
      <c r="N900" s="9">
        <f>IF(NOT(ISNUMBER($M900)),"",$M900*CARBON_FRACTION_ROOT/1000)</f>
        <v/>
      </c>
      <c r="O900" s="11">
        <f>IF(AND($A900="",$B900="",$G900=""),"",IF(AND($B900&lt;&gt;"",COUNTIFS('2. Soil Data'!$B$5:$B$604,$B900)=0),"Core ID not found in Soil Data, so the corer diameter cannot be looked up. ","")&amp;IF(ASH_CORRECTED&lt;&gt;"Yes","Root mass is NOT ash-corrected, so it includes adhering mineral soil and is too high. Set ASH_CORRECTED once you have done it. ","")&amp;IF(AND(ASH_CORRECTED="Yes",NOT(ISNUMBER($H900))),"Ash correction is switched on but no ash fraction is given for this row. ","")&amp;IF($I900="","Sieve mesh not recorded — a fine-root figure cannot be interpreted without it. ","")&amp;IF(AND(ISNUMBER($H900),$H900&gt;0.5),"Ash fraction above 0.5 — over half this sample was mineral soil. Re-wash. ","")&amp;IF($F900="Not separated","Live and dead not separated. Fine for a stock, but "&amp;"note it in reporting. ",""))</f>
        <v/>
      </c>
      <c r="P900" s="6" t="n"/>
      <c r="Q900" s="9">
        <f>IF($B900="",0,IF(COUNTIFS($B$5:$B900,$B900)=1,1,0))</f>
        <v/>
      </c>
    </row>
    <row r="901">
      <c r="A901" s="6" t="n"/>
      <c r="B901" s="6" t="n"/>
      <c r="C901" s="6" t="n"/>
      <c r="D901" s="6" t="n"/>
      <c r="E901" s="6" t="n"/>
      <c r="F901" s="6" t="n"/>
      <c r="G901" s="7" t="n"/>
      <c r="H901" s="7" t="n"/>
      <c r="I901" s="6" t="n"/>
      <c r="J901" s="9">
        <f>IF(NOT(ISNUMBER($G901)),"",IF(AND(ASH_CORRECTED="Yes",ISNUMBER($H901)),$G901*(1-$H901),$G901))</f>
        <v/>
      </c>
      <c r="K901" s="9">
        <f>IF($B901="","",IFERROR(AVERAGEIFS('2. Soil Data'!$G$5:$G$604,'2. Soil Data'!$B$5:$B$604,$B901),""))</f>
        <v/>
      </c>
      <c r="L901" s="9">
        <f>IF(NOT(ISNUMBER($K901)),"",PI()*($K901/2)^2)</f>
        <v/>
      </c>
      <c r="M901" s="9">
        <f>IF(OR(NOT(ISNUMBER($J901)),NOT(ISNUMBER($L901)),$L901=0),"",$J901/$L901*10000)</f>
        <v/>
      </c>
      <c r="N901" s="9">
        <f>IF(NOT(ISNUMBER($M901)),"",$M901*CARBON_FRACTION_ROOT/1000)</f>
        <v/>
      </c>
      <c r="O901" s="11">
        <f>IF(AND($A901="",$B901="",$G901=""),"",IF(AND($B901&lt;&gt;"",COUNTIFS('2. Soil Data'!$B$5:$B$604,$B901)=0),"Core ID not found in Soil Data, so the corer diameter cannot be looked up. ","")&amp;IF(ASH_CORRECTED&lt;&gt;"Yes","Root mass is NOT ash-corrected, so it includes adhering mineral soil and is too high. Set ASH_CORRECTED once you have done it. ","")&amp;IF(AND(ASH_CORRECTED="Yes",NOT(ISNUMBER($H901))),"Ash correction is switched on but no ash fraction is given for this row. ","")&amp;IF($I901="","Sieve mesh not recorded — a fine-root figure cannot be interpreted without it. ","")&amp;IF(AND(ISNUMBER($H901),$H901&gt;0.5),"Ash fraction above 0.5 — over half this sample was mineral soil. Re-wash. ","")&amp;IF($F901="Not separated","Live and dead not separated. Fine for a stock, but "&amp;"note it in reporting. ",""))</f>
        <v/>
      </c>
      <c r="P901" s="6" t="n"/>
      <c r="Q901" s="9">
        <f>IF($B901="",0,IF(COUNTIFS($B$5:$B901,$B901)=1,1,0))</f>
        <v/>
      </c>
    </row>
    <row r="902">
      <c r="A902" s="6" t="n"/>
      <c r="B902" s="6" t="n"/>
      <c r="C902" s="6" t="n"/>
      <c r="D902" s="6" t="n"/>
      <c r="E902" s="6" t="n"/>
      <c r="F902" s="6" t="n"/>
      <c r="G902" s="7" t="n"/>
      <c r="H902" s="7" t="n"/>
      <c r="I902" s="6" t="n"/>
      <c r="J902" s="9">
        <f>IF(NOT(ISNUMBER($G902)),"",IF(AND(ASH_CORRECTED="Yes",ISNUMBER($H902)),$G902*(1-$H902),$G902))</f>
        <v/>
      </c>
      <c r="K902" s="9">
        <f>IF($B902="","",IFERROR(AVERAGEIFS('2. Soil Data'!$G$5:$G$604,'2. Soil Data'!$B$5:$B$604,$B902),""))</f>
        <v/>
      </c>
      <c r="L902" s="9">
        <f>IF(NOT(ISNUMBER($K902)),"",PI()*($K902/2)^2)</f>
        <v/>
      </c>
      <c r="M902" s="9">
        <f>IF(OR(NOT(ISNUMBER($J902)),NOT(ISNUMBER($L902)),$L902=0),"",$J902/$L902*10000)</f>
        <v/>
      </c>
      <c r="N902" s="9">
        <f>IF(NOT(ISNUMBER($M902)),"",$M902*CARBON_FRACTION_ROOT/1000)</f>
        <v/>
      </c>
      <c r="O902" s="11">
        <f>IF(AND($A902="",$B902="",$G902=""),"",IF(AND($B902&lt;&gt;"",COUNTIFS('2. Soil Data'!$B$5:$B$604,$B902)=0),"Core ID not found in Soil Data, so the corer diameter cannot be looked up. ","")&amp;IF(ASH_CORRECTED&lt;&gt;"Yes","Root mass is NOT ash-corrected, so it includes adhering mineral soil and is too high. Set ASH_CORRECTED once you have done it. ","")&amp;IF(AND(ASH_CORRECTED="Yes",NOT(ISNUMBER($H902))),"Ash correction is switched on but no ash fraction is given for this row. ","")&amp;IF($I902="","Sieve mesh not recorded — a fine-root figure cannot be interpreted without it. ","")&amp;IF(AND(ISNUMBER($H902),$H902&gt;0.5),"Ash fraction above 0.5 — over half this sample was mineral soil. Re-wash. ","")&amp;IF($F902="Not separated","Live and dead not separated. Fine for a stock, but "&amp;"note it in reporting. ",""))</f>
        <v/>
      </c>
      <c r="P902" s="6" t="n"/>
      <c r="Q902" s="9">
        <f>IF($B902="",0,IF(COUNTIFS($B$5:$B902,$B902)=1,1,0))</f>
        <v/>
      </c>
    </row>
    <row r="903">
      <c r="A903" s="6" t="n"/>
      <c r="B903" s="6" t="n"/>
      <c r="C903" s="6" t="n"/>
      <c r="D903" s="6" t="n"/>
      <c r="E903" s="6" t="n"/>
      <c r="F903" s="6" t="n"/>
      <c r="G903" s="7" t="n"/>
      <c r="H903" s="7" t="n"/>
      <c r="I903" s="6" t="n"/>
      <c r="J903" s="9">
        <f>IF(NOT(ISNUMBER($G903)),"",IF(AND(ASH_CORRECTED="Yes",ISNUMBER($H903)),$G903*(1-$H903),$G903))</f>
        <v/>
      </c>
      <c r="K903" s="9">
        <f>IF($B903="","",IFERROR(AVERAGEIFS('2. Soil Data'!$G$5:$G$604,'2. Soil Data'!$B$5:$B$604,$B903),""))</f>
        <v/>
      </c>
      <c r="L903" s="9">
        <f>IF(NOT(ISNUMBER($K903)),"",PI()*($K903/2)^2)</f>
        <v/>
      </c>
      <c r="M903" s="9">
        <f>IF(OR(NOT(ISNUMBER($J903)),NOT(ISNUMBER($L903)),$L903=0),"",$J903/$L903*10000)</f>
        <v/>
      </c>
      <c r="N903" s="9">
        <f>IF(NOT(ISNUMBER($M903)),"",$M903*CARBON_FRACTION_ROOT/1000)</f>
        <v/>
      </c>
      <c r="O903" s="11">
        <f>IF(AND($A903="",$B903="",$G903=""),"",IF(AND($B903&lt;&gt;"",COUNTIFS('2. Soil Data'!$B$5:$B$604,$B903)=0),"Core ID not found in Soil Data, so the corer diameter cannot be looked up. ","")&amp;IF(ASH_CORRECTED&lt;&gt;"Yes","Root mass is NOT ash-corrected, so it includes adhering mineral soil and is too high. Set ASH_CORRECTED once you have done it. ","")&amp;IF(AND(ASH_CORRECTED="Yes",NOT(ISNUMBER($H903))),"Ash correction is switched on but no ash fraction is given for this row. ","")&amp;IF($I903="","Sieve mesh not recorded — a fine-root figure cannot be interpreted without it. ","")&amp;IF(AND(ISNUMBER($H903),$H903&gt;0.5),"Ash fraction above 0.5 — over half this sample was mineral soil. Re-wash. ","")&amp;IF($F903="Not separated","Live and dead not separated. Fine for a stock, but "&amp;"note it in reporting. ",""))</f>
        <v/>
      </c>
      <c r="P903" s="6" t="n"/>
      <c r="Q903" s="9">
        <f>IF($B903="",0,IF(COUNTIFS($B$5:$B903,$B903)=1,1,0))</f>
        <v/>
      </c>
    </row>
    <row r="904">
      <c r="A904" s="6" t="n"/>
      <c r="B904" s="6" t="n"/>
      <c r="C904" s="6" t="n"/>
      <c r="D904" s="6" t="n"/>
      <c r="E904" s="6" t="n"/>
      <c r="F904" s="6" t="n"/>
      <c r="G904" s="7" t="n"/>
      <c r="H904" s="7" t="n"/>
      <c r="I904" s="6" t="n"/>
      <c r="J904" s="9">
        <f>IF(NOT(ISNUMBER($G904)),"",IF(AND(ASH_CORRECTED="Yes",ISNUMBER($H904)),$G904*(1-$H904),$G904))</f>
        <v/>
      </c>
      <c r="K904" s="9">
        <f>IF($B904="","",IFERROR(AVERAGEIFS('2. Soil Data'!$G$5:$G$604,'2. Soil Data'!$B$5:$B$604,$B904),""))</f>
        <v/>
      </c>
      <c r="L904" s="9">
        <f>IF(NOT(ISNUMBER($K904)),"",PI()*($K904/2)^2)</f>
        <v/>
      </c>
      <c r="M904" s="9">
        <f>IF(OR(NOT(ISNUMBER($J904)),NOT(ISNUMBER($L904)),$L904=0),"",$J904/$L904*10000)</f>
        <v/>
      </c>
      <c r="N904" s="9">
        <f>IF(NOT(ISNUMBER($M904)),"",$M904*CARBON_FRACTION_ROOT/1000)</f>
        <v/>
      </c>
      <c r="O904" s="11">
        <f>IF(AND($A904="",$B904="",$G904=""),"",IF(AND($B904&lt;&gt;"",COUNTIFS('2. Soil Data'!$B$5:$B$604,$B904)=0),"Core ID not found in Soil Data, so the corer diameter cannot be looked up. ","")&amp;IF(ASH_CORRECTED&lt;&gt;"Yes","Root mass is NOT ash-corrected, so it includes adhering mineral soil and is too high. Set ASH_CORRECTED once you have done it. ","")&amp;IF(AND(ASH_CORRECTED="Yes",NOT(ISNUMBER($H904))),"Ash correction is switched on but no ash fraction is given for this row. ","")&amp;IF($I904="","Sieve mesh not recorded — a fine-root figure cannot be interpreted without it. ","")&amp;IF(AND(ISNUMBER($H904),$H904&gt;0.5),"Ash fraction above 0.5 — over half this sample was mineral soil. Re-wash. ","")&amp;IF($F904="Not separated","Live and dead not separated. Fine for a stock, but "&amp;"note it in reporting. ",""))</f>
        <v/>
      </c>
      <c r="P904" s="6" t="n"/>
      <c r="Q904" s="9">
        <f>IF($B904="",0,IF(COUNTIFS($B$5:$B904,$B904)=1,1,0))</f>
        <v/>
      </c>
    </row>
  </sheetData>
  <mergeCells count="2">
    <mergeCell ref="A2:Q2"/>
    <mergeCell ref="A1:Q1"/>
  </mergeCells>
  <dataValidations count="2">
    <dataValidation sqref="E5:E904" showDropDown="0" showInputMessage="0" showErrorMessage="0" allowBlank="1" type="list">
      <formula1>"&lt;=2 mm (fine),&gt;2 mm (coarse)"</formula1>
    </dataValidation>
    <dataValidation sqref="F5:F904" showDropDown="0" showInputMessage="0" showErrorMessage="0" allowBlank="1" type="list">
      <formula1>"Live,Dead,Not separated"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64"/>
  <sheetViews>
    <sheetView workbookViewId="0">
      <pane ySplit="4" topLeftCell="A5" activePane="bottomLeft" state="frozen"/>
      <selection pane="bottomLeft" activeCell="A1" sqref="A1"/>
    </sheetView>
  </sheetViews>
  <sheetFormatPr baseColWidth="8" defaultRowHeight="15"/>
  <cols>
    <col width="12" customWidth="1" min="1" max="1"/>
    <col width="13" customWidth="1" min="2" max="2"/>
    <col width="12" customWidth="1" min="3" max="3"/>
    <col width="13" customWidth="1" min="4" max="4"/>
    <col width="15" customWidth="1" min="5" max="5"/>
    <col width="15" customWidth="1" min="6" max="6"/>
    <col width="15" customWidth="1" min="7" max="7"/>
    <col width="13" customWidth="1" min="8" max="8"/>
    <col width="14" customWidth="1" min="9" max="9"/>
    <col width="14" customWidth="1" min="10" max="10"/>
    <col width="12" customWidth="1" min="11" max="11"/>
    <col width="30" customWidth="1" min="12" max="12"/>
    <col width="15" customWidth="1" min="13" max="13"/>
    <col width="46" customWidth="1" min="14" max="14"/>
    <col width="30" customWidth="1" min="15" max="15"/>
  </cols>
  <sheetData>
    <row r="1">
      <c r="A1" s="1" t="inlineStr">
        <is>
          <t>VEGETATION DATA</t>
        </is>
      </c>
    </row>
    <row r="2" ht="32" customHeight="1">
      <c r="A2" s="2" t="inlineStr">
        <is>
          <t>ONE ROW PER PLOT. This is a STANDING CROP, not a stock — it grows from nothing each spring and is gone by autumn, so it is reported in its own column and never merged into the soil figure. Clip at ground level, at peak growing season, and record the date.</t>
        </is>
      </c>
    </row>
    <row r="4" ht="46" customHeight="1">
      <c r="A4" s="14" t="inlineStr">
        <is>
          <t>Plot ID</t>
        </is>
      </c>
      <c r="B4" s="14" t="inlineStr">
        <is>
          <t>Sampling date</t>
        </is>
      </c>
      <c r="C4" s="14" t="inlineStr">
        <is>
          <t>Peak growing season?</t>
        </is>
      </c>
      <c r="D4" s="14" t="inlineStr">
        <is>
          <t>Small plot area (m²)</t>
        </is>
      </c>
      <c r="E4" s="14" t="inlineStr">
        <is>
          <t>Clip dry mass — LIVE (g)</t>
        </is>
      </c>
      <c r="F4" s="14" t="inlineStr">
        <is>
          <t>Clip dry mass — DEAD (g)</t>
        </is>
      </c>
      <c r="G4" s="14" t="inlineStr">
        <is>
          <t>Herbaceous carbon (kg C/m²)</t>
        </is>
      </c>
      <c r="H4" s="14" t="inlineStr">
        <is>
          <t>Medium plot area (m²)</t>
        </is>
      </c>
      <c r="I4" s="14" t="inlineStr">
        <is>
          <t>Shrub biomass, total (kg)</t>
        </is>
      </c>
      <c r="J4" s="14" t="inlineStr">
        <is>
          <t>Shrub carbon (kg C/m²)</t>
        </is>
      </c>
      <c r="K4" s="14" t="inlineStr">
        <is>
          <t>Canopy cover (%)</t>
        </is>
      </c>
      <c r="L4" s="14" t="inlineStr">
        <is>
          <t>Tree carbon (kg C/m²) — from Forests calculator</t>
        </is>
      </c>
      <c r="M4" s="14" t="inlineStr">
        <is>
          <t>TOTAL vegetation (kg C/m²)</t>
        </is>
      </c>
      <c r="N4" s="14" t="inlineStr">
        <is>
          <t>QC flags</t>
        </is>
      </c>
      <c r="O4" s="14" t="inlineStr">
        <is>
          <t>Notes</t>
        </is>
      </c>
    </row>
    <row r="5">
      <c r="A5" s="6" t="n"/>
      <c r="B5" s="6" t="n"/>
      <c r="C5" s="6" t="n"/>
      <c r="D5" s="6" t="n"/>
      <c r="E5" s="7" t="n"/>
      <c r="F5" s="7" t="n"/>
      <c r="G5" s="9">
        <f>IF(OR(NOT(ISNUMBER($D5)),$D5=0,AND(NOT(ISNUMBER($E5)),NOT(ISNUMBER($F5)))),"",(IF(ISNUMBER($E5),$E5,0)+IF(ISNUMBER($F5),$F5,0))/$D5*CARBON_FRACTION_BIOMASS/1000)</f>
        <v/>
      </c>
      <c r="H5" s="6" t="n"/>
      <c r="I5" s="7" t="n"/>
      <c r="J5" s="9">
        <f>IF(OR(NOT(ISNUMBER($I5)),NOT(ISNUMBER($H5)),$H5=0),"",$I5*CARBON_FRACTION_BIOMASS/$H5)</f>
        <v/>
      </c>
      <c r="K5" s="6" t="n"/>
      <c r="L5" s="6" t="n"/>
      <c r="M5" s="9">
        <f>IF($A5="","",IF(ISNUMBER($G5),$G5,0)+IF(ISNUMBER($J5),$J5,0)+IF(ISNUMBER($L5),$L5,0))</f>
        <v/>
      </c>
      <c r="N5" s="11">
        <f>IF($A5="","",IF(COUNTIF('1. Plot &amp; Site Log'!$A$5:$A$64,$A5)=0,"Plot ID not in the Plot &amp; Site Log. ","")&amp;IF(OR($C5&lt;&gt;"Yes",PEAK_SEASON_SAMPLED&lt;&gt;"Yes"),"Not confirmed as peak-season. A standing crop measured off-peak is not "&amp;"comparable to anything, including your own next visit. ","")&amp;IF($B5="","No sampling date. A clip-and-weigh without a date cannot be interpreted. ","")&amp;IF(AND(ISNUMBER($K5),$K5&gt;=TREE_COVER_THRESHOLD_PCT,NOT(ISNUMBER($L5))),"Canopy cover is at or above the threshold but no tree carbon is entered — "&amp;"measure trees with the Forests protocol. ","")&amp;IF(AND(ISNUMBER($I5),$I5&gt;0),"Shrub figures are ABOVE-ground only; shrub roots are in neither this pool nor "&amp;"the soil core. Declare the gap. ",""))</f>
        <v/>
      </c>
      <c r="O5" s="6" t="n"/>
    </row>
    <row r="6">
      <c r="A6" s="6" t="n"/>
      <c r="B6" s="6" t="n"/>
      <c r="C6" s="6" t="n"/>
      <c r="D6" s="6" t="n"/>
      <c r="E6" s="7" t="n"/>
      <c r="F6" s="7" t="n"/>
      <c r="G6" s="9">
        <f>IF(OR(NOT(ISNUMBER($D6)),$D6=0,AND(NOT(ISNUMBER($E6)),NOT(ISNUMBER($F6)))),"",(IF(ISNUMBER($E6),$E6,0)+IF(ISNUMBER($F6),$F6,0))/$D6*CARBON_FRACTION_BIOMASS/1000)</f>
        <v/>
      </c>
      <c r="H6" s="6" t="n"/>
      <c r="I6" s="7" t="n"/>
      <c r="J6" s="9">
        <f>IF(OR(NOT(ISNUMBER($I6)),NOT(ISNUMBER($H6)),$H6=0),"",$I6*CARBON_FRACTION_BIOMASS/$H6)</f>
        <v/>
      </c>
      <c r="K6" s="6" t="n"/>
      <c r="L6" s="6" t="n"/>
      <c r="M6" s="9">
        <f>IF($A6="","",IF(ISNUMBER($G6),$G6,0)+IF(ISNUMBER($J6),$J6,0)+IF(ISNUMBER($L6),$L6,0))</f>
        <v/>
      </c>
      <c r="N6" s="11">
        <f>IF($A6="","",IF(COUNTIF('1. Plot &amp; Site Log'!$A$5:$A$64,$A6)=0,"Plot ID not in the Plot &amp; Site Log. ","")&amp;IF(OR($C6&lt;&gt;"Yes",PEAK_SEASON_SAMPLED&lt;&gt;"Yes"),"Not confirmed as peak-season. A standing crop measured off-peak is not "&amp;"comparable to anything, including your own next visit. ","")&amp;IF($B6="","No sampling date. A clip-and-weigh without a date cannot be interpreted. ","")&amp;IF(AND(ISNUMBER($K6),$K6&gt;=TREE_COVER_THRESHOLD_PCT,NOT(ISNUMBER($L6))),"Canopy cover is at or above the threshold but no tree carbon is entered — "&amp;"measure trees with the Forests protocol. ","")&amp;IF(AND(ISNUMBER($I6),$I6&gt;0),"Shrub figures are ABOVE-ground only; shrub roots are in neither this pool nor "&amp;"the soil core. Declare the gap. ",""))</f>
        <v/>
      </c>
      <c r="O6" s="6" t="n"/>
    </row>
    <row r="7">
      <c r="A7" s="6" t="n"/>
      <c r="B7" s="6" t="n"/>
      <c r="C7" s="6" t="n"/>
      <c r="D7" s="6" t="n"/>
      <c r="E7" s="7" t="n"/>
      <c r="F7" s="7" t="n"/>
      <c r="G7" s="9">
        <f>IF(OR(NOT(ISNUMBER($D7)),$D7=0,AND(NOT(ISNUMBER($E7)),NOT(ISNUMBER($F7)))),"",(IF(ISNUMBER($E7),$E7,0)+IF(ISNUMBER($F7),$F7,0))/$D7*CARBON_FRACTION_BIOMASS/1000)</f>
        <v/>
      </c>
      <c r="H7" s="6" t="n"/>
      <c r="I7" s="7" t="n"/>
      <c r="J7" s="9">
        <f>IF(OR(NOT(ISNUMBER($I7)),NOT(ISNUMBER($H7)),$H7=0),"",$I7*CARBON_FRACTION_BIOMASS/$H7)</f>
        <v/>
      </c>
      <c r="K7" s="6" t="n"/>
      <c r="L7" s="6" t="n"/>
      <c r="M7" s="9">
        <f>IF($A7="","",IF(ISNUMBER($G7),$G7,0)+IF(ISNUMBER($J7),$J7,0)+IF(ISNUMBER($L7),$L7,0))</f>
        <v/>
      </c>
      <c r="N7" s="11">
        <f>IF($A7="","",IF(COUNTIF('1. Plot &amp; Site Log'!$A$5:$A$64,$A7)=0,"Plot ID not in the Plot &amp; Site Log. ","")&amp;IF(OR($C7&lt;&gt;"Yes",PEAK_SEASON_SAMPLED&lt;&gt;"Yes"),"Not confirmed as peak-season. A standing crop measured off-peak is not "&amp;"comparable to anything, including your own next visit. ","")&amp;IF($B7="","No sampling date. A clip-and-weigh without a date cannot be interpreted. ","")&amp;IF(AND(ISNUMBER($K7),$K7&gt;=TREE_COVER_THRESHOLD_PCT,NOT(ISNUMBER($L7))),"Canopy cover is at or above the threshold but no tree carbon is entered — "&amp;"measure trees with the Forests protocol. ","")&amp;IF(AND(ISNUMBER($I7),$I7&gt;0),"Shrub figures are ABOVE-ground only; shrub roots are in neither this pool nor "&amp;"the soil core. Declare the gap. ",""))</f>
        <v/>
      </c>
      <c r="O7" s="6" t="n"/>
    </row>
    <row r="8">
      <c r="A8" s="6" t="n"/>
      <c r="B8" s="6" t="n"/>
      <c r="C8" s="6" t="n"/>
      <c r="D8" s="6" t="n"/>
      <c r="E8" s="7" t="n"/>
      <c r="F8" s="7" t="n"/>
      <c r="G8" s="9">
        <f>IF(OR(NOT(ISNUMBER($D8)),$D8=0,AND(NOT(ISNUMBER($E8)),NOT(ISNUMBER($F8)))),"",(IF(ISNUMBER($E8),$E8,0)+IF(ISNUMBER($F8),$F8,0))/$D8*CARBON_FRACTION_BIOMASS/1000)</f>
        <v/>
      </c>
      <c r="H8" s="6" t="n"/>
      <c r="I8" s="7" t="n"/>
      <c r="J8" s="9">
        <f>IF(OR(NOT(ISNUMBER($I8)),NOT(ISNUMBER($H8)),$H8=0),"",$I8*CARBON_FRACTION_BIOMASS/$H8)</f>
        <v/>
      </c>
      <c r="K8" s="6" t="n"/>
      <c r="L8" s="6" t="n"/>
      <c r="M8" s="9">
        <f>IF($A8="","",IF(ISNUMBER($G8),$G8,0)+IF(ISNUMBER($J8),$J8,0)+IF(ISNUMBER($L8),$L8,0))</f>
        <v/>
      </c>
      <c r="N8" s="11">
        <f>IF($A8="","",IF(COUNTIF('1. Plot &amp; Site Log'!$A$5:$A$64,$A8)=0,"Plot ID not in the Plot &amp; Site Log. ","")&amp;IF(OR($C8&lt;&gt;"Yes",PEAK_SEASON_SAMPLED&lt;&gt;"Yes"),"Not confirmed as peak-season. A standing crop measured off-peak is not "&amp;"comparable to anything, including your own next visit. ","")&amp;IF($B8="","No sampling date. A clip-and-weigh without a date cannot be interpreted. ","")&amp;IF(AND(ISNUMBER($K8),$K8&gt;=TREE_COVER_THRESHOLD_PCT,NOT(ISNUMBER($L8))),"Canopy cover is at or above the threshold but no tree carbon is entered — "&amp;"measure trees with the Forests protocol. ","")&amp;IF(AND(ISNUMBER($I8),$I8&gt;0),"Shrub figures are ABOVE-ground only; shrub roots are in neither this pool nor "&amp;"the soil core. Declare the gap. ",""))</f>
        <v/>
      </c>
      <c r="O8" s="6" t="n"/>
    </row>
    <row r="9">
      <c r="A9" s="6" t="n"/>
      <c r="B9" s="6" t="n"/>
      <c r="C9" s="6" t="n"/>
      <c r="D9" s="6" t="n"/>
      <c r="E9" s="7" t="n"/>
      <c r="F9" s="7" t="n"/>
      <c r="G9" s="9">
        <f>IF(OR(NOT(ISNUMBER($D9)),$D9=0,AND(NOT(ISNUMBER($E9)),NOT(ISNUMBER($F9)))),"",(IF(ISNUMBER($E9),$E9,0)+IF(ISNUMBER($F9),$F9,0))/$D9*CARBON_FRACTION_BIOMASS/1000)</f>
        <v/>
      </c>
      <c r="H9" s="6" t="n"/>
      <c r="I9" s="7" t="n"/>
      <c r="J9" s="9">
        <f>IF(OR(NOT(ISNUMBER($I9)),NOT(ISNUMBER($H9)),$H9=0),"",$I9*CARBON_FRACTION_BIOMASS/$H9)</f>
        <v/>
      </c>
      <c r="K9" s="6" t="n"/>
      <c r="L9" s="6" t="n"/>
      <c r="M9" s="9">
        <f>IF($A9="","",IF(ISNUMBER($G9),$G9,0)+IF(ISNUMBER($J9),$J9,0)+IF(ISNUMBER($L9),$L9,0))</f>
        <v/>
      </c>
      <c r="N9" s="11">
        <f>IF($A9="","",IF(COUNTIF('1. Plot &amp; Site Log'!$A$5:$A$64,$A9)=0,"Plot ID not in the Plot &amp; Site Log. ","")&amp;IF(OR($C9&lt;&gt;"Yes",PEAK_SEASON_SAMPLED&lt;&gt;"Yes"),"Not confirmed as peak-season. A standing crop measured off-peak is not "&amp;"comparable to anything, including your own next visit. ","")&amp;IF($B9="","No sampling date. A clip-and-weigh without a date cannot be interpreted. ","")&amp;IF(AND(ISNUMBER($K9),$K9&gt;=TREE_COVER_THRESHOLD_PCT,NOT(ISNUMBER($L9))),"Canopy cover is at or above the threshold but no tree carbon is entered — "&amp;"measure trees with the Forests protocol. ","")&amp;IF(AND(ISNUMBER($I9),$I9&gt;0),"Shrub figures are ABOVE-ground only; shrub roots are in neither this pool nor "&amp;"the soil core. Declare the gap. ",""))</f>
        <v/>
      </c>
      <c r="O9" s="6" t="n"/>
    </row>
    <row r="10">
      <c r="A10" s="6" t="n"/>
      <c r="B10" s="6" t="n"/>
      <c r="C10" s="6" t="n"/>
      <c r="D10" s="6" t="n"/>
      <c r="E10" s="7" t="n"/>
      <c r="F10" s="7" t="n"/>
      <c r="G10" s="9">
        <f>IF(OR(NOT(ISNUMBER($D10)),$D10=0,AND(NOT(ISNUMBER($E10)),NOT(ISNUMBER($F10)))),"",(IF(ISNUMBER($E10),$E10,0)+IF(ISNUMBER($F10),$F10,0))/$D10*CARBON_FRACTION_BIOMASS/1000)</f>
        <v/>
      </c>
      <c r="H10" s="6" t="n"/>
      <c r="I10" s="7" t="n"/>
      <c r="J10" s="9">
        <f>IF(OR(NOT(ISNUMBER($I10)),NOT(ISNUMBER($H10)),$H10=0),"",$I10*CARBON_FRACTION_BIOMASS/$H10)</f>
        <v/>
      </c>
      <c r="K10" s="6" t="n"/>
      <c r="L10" s="6" t="n"/>
      <c r="M10" s="9">
        <f>IF($A10="","",IF(ISNUMBER($G10),$G10,0)+IF(ISNUMBER($J10),$J10,0)+IF(ISNUMBER($L10),$L10,0))</f>
        <v/>
      </c>
      <c r="N10" s="11">
        <f>IF($A10="","",IF(COUNTIF('1. Plot &amp; Site Log'!$A$5:$A$64,$A10)=0,"Plot ID not in the Plot &amp; Site Log. ","")&amp;IF(OR($C10&lt;&gt;"Yes",PEAK_SEASON_SAMPLED&lt;&gt;"Yes"),"Not confirmed as peak-season. A standing crop measured off-peak is not "&amp;"comparable to anything, including your own next visit. ","")&amp;IF($B10="","No sampling date. A clip-and-weigh without a date cannot be interpreted. ","")&amp;IF(AND(ISNUMBER($K10),$K10&gt;=TREE_COVER_THRESHOLD_PCT,NOT(ISNUMBER($L10))),"Canopy cover is at or above the threshold but no tree carbon is entered — "&amp;"measure trees with the Forests protocol. ","")&amp;IF(AND(ISNUMBER($I10),$I10&gt;0),"Shrub figures are ABOVE-ground only; shrub roots are in neither this pool nor "&amp;"the soil core. Declare the gap. ",""))</f>
        <v/>
      </c>
      <c r="O10" s="6" t="n"/>
    </row>
    <row r="11">
      <c r="A11" s="6" t="n"/>
      <c r="B11" s="6" t="n"/>
      <c r="C11" s="6" t="n"/>
      <c r="D11" s="6" t="n"/>
      <c r="E11" s="7" t="n"/>
      <c r="F11" s="7" t="n"/>
      <c r="G11" s="9">
        <f>IF(OR(NOT(ISNUMBER($D11)),$D11=0,AND(NOT(ISNUMBER($E11)),NOT(ISNUMBER($F11)))),"",(IF(ISNUMBER($E11),$E11,0)+IF(ISNUMBER($F11),$F11,0))/$D11*CARBON_FRACTION_BIOMASS/1000)</f>
        <v/>
      </c>
      <c r="H11" s="6" t="n"/>
      <c r="I11" s="7" t="n"/>
      <c r="J11" s="9">
        <f>IF(OR(NOT(ISNUMBER($I11)),NOT(ISNUMBER($H11)),$H11=0),"",$I11*CARBON_FRACTION_BIOMASS/$H11)</f>
        <v/>
      </c>
      <c r="K11" s="6" t="n"/>
      <c r="L11" s="6" t="n"/>
      <c r="M11" s="9">
        <f>IF($A11="","",IF(ISNUMBER($G11),$G11,0)+IF(ISNUMBER($J11),$J11,0)+IF(ISNUMBER($L11),$L11,0))</f>
        <v/>
      </c>
      <c r="N11" s="11">
        <f>IF($A11="","",IF(COUNTIF('1. Plot &amp; Site Log'!$A$5:$A$64,$A11)=0,"Plot ID not in the Plot &amp; Site Log. ","")&amp;IF(OR($C11&lt;&gt;"Yes",PEAK_SEASON_SAMPLED&lt;&gt;"Yes"),"Not confirmed as peak-season. A standing crop measured off-peak is not "&amp;"comparable to anything, including your own next visit. ","")&amp;IF($B11="","No sampling date. A clip-and-weigh without a date cannot be interpreted. ","")&amp;IF(AND(ISNUMBER($K11),$K11&gt;=TREE_COVER_THRESHOLD_PCT,NOT(ISNUMBER($L11))),"Canopy cover is at or above the threshold but no tree carbon is entered — "&amp;"measure trees with the Forests protocol. ","")&amp;IF(AND(ISNUMBER($I11),$I11&gt;0),"Shrub figures are ABOVE-ground only; shrub roots are in neither this pool nor "&amp;"the soil core. Declare the gap. ",""))</f>
        <v/>
      </c>
      <c r="O11" s="6" t="n"/>
    </row>
    <row r="12">
      <c r="A12" s="6" t="n"/>
      <c r="B12" s="6" t="n"/>
      <c r="C12" s="6" t="n"/>
      <c r="D12" s="6" t="n"/>
      <c r="E12" s="7" t="n"/>
      <c r="F12" s="7" t="n"/>
      <c r="G12" s="9">
        <f>IF(OR(NOT(ISNUMBER($D12)),$D12=0,AND(NOT(ISNUMBER($E12)),NOT(ISNUMBER($F12)))),"",(IF(ISNUMBER($E12),$E12,0)+IF(ISNUMBER($F12),$F12,0))/$D12*CARBON_FRACTION_BIOMASS/1000)</f>
        <v/>
      </c>
      <c r="H12" s="6" t="n"/>
      <c r="I12" s="7" t="n"/>
      <c r="J12" s="9">
        <f>IF(OR(NOT(ISNUMBER($I12)),NOT(ISNUMBER($H12)),$H12=0),"",$I12*CARBON_FRACTION_BIOMASS/$H12)</f>
        <v/>
      </c>
      <c r="K12" s="6" t="n"/>
      <c r="L12" s="6" t="n"/>
      <c r="M12" s="9">
        <f>IF($A12="","",IF(ISNUMBER($G12),$G12,0)+IF(ISNUMBER($J12),$J12,0)+IF(ISNUMBER($L12),$L12,0))</f>
        <v/>
      </c>
      <c r="N12" s="11">
        <f>IF($A12="","",IF(COUNTIF('1. Plot &amp; Site Log'!$A$5:$A$64,$A12)=0,"Plot ID not in the Plot &amp; Site Log. ","")&amp;IF(OR($C12&lt;&gt;"Yes",PEAK_SEASON_SAMPLED&lt;&gt;"Yes"),"Not confirmed as peak-season. A standing crop measured off-peak is not "&amp;"comparable to anything, including your own next visit. ","")&amp;IF($B12="","No sampling date. A clip-and-weigh without a date cannot be interpreted. ","")&amp;IF(AND(ISNUMBER($K12),$K12&gt;=TREE_COVER_THRESHOLD_PCT,NOT(ISNUMBER($L12))),"Canopy cover is at or above the threshold but no tree carbon is entered — "&amp;"measure trees with the Forests protocol. ","")&amp;IF(AND(ISNUMBER($I12),$I12&gt;0),"Shrub figures are ABOVE-ground only; shrub roots are in neither this pool nor "&amp;"the soil core. Declare the gap. ",""))</f>
        <v/>
      </c>
      <c r="O12" s="6" t="n"/>
    </row>
    <row r="13">
      <c r="A13" s="6" t="n"/>
      <c r="B13" s="6" t="n"/>
      <c r="C13" s="6" t="n"/>
      <c r="D13" s="6" t="n"/>
      <c r="E13" s="7" t="n"/>
      <c r="F13" s="7" t="n"/>
      <c r="G13" s="9">
        <f>IF(OR(NOT(ISNUMBER($D13)),$D13=0,AND(NOT(ISNUMBER($E13)),NOT(ISNUMBER($F13)))),"",(IF(ISNUMBER($E13),$E13,0)+IF(ISNUMBER($F13),$F13,0))/$D13*CARBON_FRACTION_BIOMASS/1000)</f>
        <v/>
      </c>
      <c r="H13" s="6" t="n"/>
      <c r="I13" s="7" t="n"/>
      <c r="J13" s="9">
        <f>IF(OR(NOT(ISNUMBER($I13)),NOT(ISNUMBER($H13)),$H13=0),"",$I13*CARBON_FRACTION_BIOMASS/$H13)</f>
        <v/>
      </c>
      <c r="K13" s="6" t="n"/>
      <c r="L13" s="6" t="n"/>
      <c r="M13" s="9">
        <f>IF($A13="","",IF(ISNUMBER($G13),$G13,0)+IF(ISNUMBER($J13),$J13,0)+IF(ISNUMBER($L13),$L13,0))</f>
        <v/>
      </c>
      <c r="N13" s="11">
        <f>IF($A13="","",IF(COUNTIF('1. Plot &amp; Site Log'!$A$5:$A$64,$A13)=0,"Plot ID not in the Plot &amp; Site Log. ","")&amp;IF(OR($C13&lt;&gt;"Yes",PEAK_SEASON_SAMPLED&lt;&gt;"Yes"),"Not confirmed as peak-season. A standing crop measured off-peak is not "&amp;"comparable to anything, including your own next visit. ","")&amp;IF($B13="","No sampling date. A clip-and-weigh without a date cannot be interpreted. ","")&amp;IF(AND(ISNUMBER($K13),$K13&gt;=TREE_COVER_THRESHOLD_PCT,NOT(ISNUMBER($L13))),"Canopy cover is at or above the threshold but no tree carbon is entered — "&amp;"measure trees with the Forests protocol. ","")&amp;IF(AND(ISNUMBER($I13),$I13&gt;0),"Shrub figures are ABOVE-ground only; shrub roots are in neither this pool nor "&amp;"the soil core. Declare the gap. ",""))</f>
        <v/>
      </c>
      <c r="O13" s="6" t="n"/>
    </row>
    <row r="14">
      <c r="A14" s="6" t="n"/>
      <c r="B14" s="6" t="n"/>
      <c r="C14" s="6" t="n"/>
      <c r="D14" s="6" t="n"/>
      <c r="E14" s="7" t="n"/>
      <c r="F14" s="7" t="n"/>
      <c r="G14" s="9">
        <f>IF(OR(NOT(ISNUMBER($D14)),$D14=0,AND(NOT(ISNUMBER($E14)),NOT(ISNUMBER($F14)))),"",(IF(ISNUMBER($E14),$E14,0)+IF(ISNUMBER($F14),$F14,0))/$D14*CARBON_FRACTION_BIOMASS/1000)</f>
        <v/>
      </c>
      <c r="H14" s="6" t="n"/>
      <c r="I14" s="7" t="n"/>
      <c r="J14" s="9">
        <f>IF(OR(NOT(ISNUMBER($I14)),NOT(ISNUMBER($H14)),$H14=0),"",$I14*CARBON_FRACTION_BIOMASS/$H14)</f>
        <v/>
      </c>
      <c r="K14" s="6" t="n"/>
      <c r="L14" s="6" t="n"/>
      <c r="M14" s="9">
        <f>IF($A14="","",IF(ISNUMBER($G14),$G14,0)+IF(ISNUMBER($J14),$J14,0)+IF(ISNUMBER($L14),$L14,0))</f>
        <v/>
      </c>
      <c r="N14" s="11">
        <f>IF($A14="","",IF(COUNTIF('1. Plot &amp; Site Log'!$A$5:$A$64,$A14)=0,"Plot ID not in the Plot &amp; Site Log. ","")&amp;IF(OR($C14&lt;&gt;"Yes",PEAK_SEASON_SAMPLED&lt;&gt;"Yes"),"Not confirmed as peak-season. A standing crop measured off-peak is not "&amp;"comparable to anything, including your own next visit. ","")&amp;IF($B14="","No sampling date. A clip-and-weigh without a date cannot be interpreted. ","")&amp;IF(AND(ISNUMBER($K14),$K14&gt;=TREE_COVER_THRESHOLD_PCT,NOT(ISNUMBER($L14))),"Canopy cover is at or above the threshold but no tree carbon is entered — "&amp;"measure trees with the Forests protocol. ","")&amp;IF(AND(ISNUMBER($I14),$I14&gt;0),"Shrub figures are ABOVE-ground only; shrub roots are in neither this pool nor "&amp;"the soil core. Declare the gap. ",""))</f>
        <v/>
      </c>
      <c r="O14" s="6" t="n"/>
    </row>
    <row r="15">
      <c r="A15" s="6" t="n"/>
      <c r="B15" s="6" t="n"/>
      <c r="C15" s="6" t="n"/>
      <c r="D15" s="6" t="n"/>
      <c r="E15" s="7" t="n"/>
      <c r="F15" s="7" t="n"/>
      <c r="G15" s="9">
        <f>IF(OR(NOT(ISNUMBER($D15)),$D15=0,AND(NOT(ISNUMBER($E15)),NOT(ISNUMBER($F15)))),"",(IF(ISNUMBER($E15),$E15,0)+IF(ISNUMBER($F15),$F15,0))/$D15*CARBON_FRACTION_BIOMASS/1000)</f>
        <v/>
      </c>
      <c r="H15" s="6" t="n"/>
      <c r="I15" s="7" t="n"/>
      <c r="J15" s="9">
        <f>IF(OR(NOT(ISNUMBER($I15)),NOT(ISNUMBER($H15)),$H15=0),"",$I15*CARBON_FRACTION_BIOMASS/$H15)</f>
        <v/>
      </c>
      <c r="K15" s="6" t="n"/>
      <c r="L15" s="6" t="n"/>
      <c r="M15" s="9">
        <f>IF($A15="","",IF(ISNUMBER($G15),$G15,0)+IF(ISNUMBER($J15),$J15,0)+IF(ISNUMBER($L15),$L15,0))</f>
        <v/>
      </c>
      <c r="N15" s="11">
        <f>IF($A15="","",IF(COUNTIF('1. Plot &amp; Site Log'!$A$5:$A$64,$A15)=0,"Plot ID not in the Plot &amp; Site Log. ","")&amp;IF(OR($C15&lt;&gt;"Yes",PEAK_SEASON_SAMPLED&lt;&gt;"Yes"),"Not confirmed as peak-season. A standing crop measured off-peak is not "&amp;"comparable to anything, including your own next visit. ","")&amp;IF($B15="","No sampling date. A clip-and-weigh without a date cannot be interpreted. ","")&amp;IF(AND(ISNUMBER($K15),$K15&gt;=TREE_COVER_THRESHOLD_PCT,NOT(ISNUMBER($L15))),"Canopy cover is at or above the threshold but no tree carbon is entered — "&amp;"measure trees with the Forests protocol. ","")&amp;IF(AND(ISNUMBER($I15),$I15&gt;0),"Shrub figures are ABOVE-ground only; shrub roots are in neither this pool nor "&amp;"the soil core. Declare the gap. ",""))</f>
        <v/>
      </c>
      <c r="O15" s="6" t="n"/>
    </row>
    <row r="16">
      <c r="A16" s="6" t="n"/>
      <c r="B16" s="6" t="n"/>
      <c r="C16" s="6" t="n"/>
      <c r="D16" s="6" t="n"/>
      <c r="E16" s="7" t="n"/>
      <c r="F16" s="7" t="n"/>
      <c r="G16" s="9">
        <f>IF(OR(NOT(ISNUMBER($D16)),$D16=0,AND(NOT(ISNUMBER($E16)),NOT(ISNUMBER($F16)))),"",(IF(ISNUMBER($E16),$E16,0)+IF(ISNUMBER($F16),$F16,0))/$D16*CARBON_FRACTION_BIOMASS/1000)</f>
        <v/>
      </c>
      <c r="H16" s="6" t="n"/>
      <c r="I16" s="7" t="n"/>
      <c r="J16" s="9">
        <f>IF(OR(NOT(ISNUMBER($I16)),NOT(ISNUMBER($H16)),$H16=0),"",$I16*CARBON_FRACTION_BIOMASS/$H16)</f>
        <v/>
      </c>
      <c r="K16" s="6" t="n"/>
      <c r="L16" s="6" t="n"/>
      <c r="M16" s="9">
        <f>IF($A16="","",IF(ISNUMBER($G16),$G16,0)+IF(ISNUMBER($J16),$J16,0)+IF(ISNUMBER($L16),$L16,0))</f>
        <v/>
      </c>
      <c r="N16" s="11">
        <f>IF($A16="","",IF(COUNTIF('1. Plot &amp; Site Log'!$A$5:$A$64,$A16)=0,"Plot ID not in the Plot &amp; Site Log. ","")&amp;IF(OR($C16&lt;&gt;"Yes",PEAK_SEASON_SAMPLED&lt;&gt;"Yes"),"Not confirmed as peak-season. A standing crop measured off-peak is not "&amp;"comparable to anything, including your own next visit. ","")&amp;IF($B16="","No sampling date. A clip-and-weigh without a date cannot be interpreted. ","")&amp;IF(AND(ISNUMBER($K16),$K16&gt;=TREE_COVER_THRESHOLD_PCT,NOT(ISNUMBER($L16))),"Canopy cover is at or above the threshold but no tree carbon is entered — "&amp;"measure trees with the Forests protocol. ","")&amp;IF(AND(ISNUMBER($I16),$I16&gt;0),"Shrub figures are ABOVE-ground only; shrub roots are in neither this pool nor "&amp;"the soil core. Declare the gap. ",""))</f>
        <v/>
      </c>
      <c r="O16" s="6" t="n"/>
    </row>
    <row r="17">
      <c r="A17" s="6" t="n"/>
      <c r="B17" s="6" t="n"/>
      <c r="C17" s="6" t="n"/>
      <c r="D17" s="6" t="n"/>
      <c r="E17" s="7" t="n"/>
      <c r="F17" s="7" t="n"/>
      <c r="G17" s="9">
        <f>IF(OR(NOT(ISNUMBER($D17)),$D17=0,AND(NOT(ISNUMBER($E17)),NOT(ISNUMBER($F17)))),"",(IF(ISNUMBER($E17),$E17,0)+IF(ISNUMBER($F17),$F17,0))/$D17*CARBON_FRACTION_BIOMASS/1000)</f>
        <v/>
      </c>
      <c r="H17" s="6" t="n"/>
      <c r="I17" s="7" t="n"/>
      <c r="J17" s="9">
        <f>IF(OR(NOT(ISNUMBER($I17)),NOT(ISNUMBER($H17)),$H17=0),"",$I17*CARBON_FRACTION_BIOMASS/$H17)</f>
        <v/>
      </c>
      <c r="K17" s="6" t="n"/>
      <c r="L17" s="6" t="n"/>
      <c r="M17" s="9">
        <f>IF($A17="","",IF(ISNUMBER($G17),$G17,0)+IF(ISNUMBER($J17),$J17,0)+IF(ISNUMBER($L17),$L17,0))</f>
        <v/>
      </c>
      <c r="N17" s="11">
        <f>IF($A17="","",IF(COUNTIF('1. Plot &amp; Site Log'!$A$5:$A$64,$A17)=0,"Plot ID not in the Plot &amp; Site Log. ","")&amp;IF(OR($C17&lt;&gt;"Yes",PEAK_SEASON_SAMPLED&lt;&gt;"Yes"),"Not confirmed as peak-season. A standing crop measured off-peak is not "&amp;"comparable to anything, including your own next visit. ","")&amp;IF($B17="","No sampling date. A clip-and-weigh without a date cannot be interpreted. ","")&amp;IF(AND(ISNUMBER($K17),$K17&gt;=TREE_COVER_THRESHOLD_PCT,NOT(ISNUMBER($L17))),"Canopy cover is at or above the threshold but no tree carbon is entered — "&amp;"measure trees with the Forests protocol. ","")&amp;IF(AND(ISNUMBER($I17),$I17&gt;0),"Shrub figures are ABOVE-ground only; shrub roots are in neither this pool nor "&amp;"the soil core. Declare the gap. ",""))</f>
        <v/>
      </c>
      <c r="O17" s="6" t="n"/>
    </row>
    <row r="18">
      <c r="A18" s="6" t="n"/>
      <c r="B18" s="6" t="n"/>
      <c r="C18" s="6" t="n"/>
      <c r="D18" s="6" t="n"/>
      <c r="E18" s="7" t="n"/>
      <c r="F18" s="7" t="n"/>
      <c r="G18" s="9">
        <f>IF(OR(NOT(ISNUMBER($D18)),$D18=0,AND(NOT(ISNUMBER($E18)),NOT(ISNUMBER($F18)))),"",(IF(ISNUMBER($E18),$E18,0)+IF(ISNUMBER($F18),$F18,0))/$D18*CARBON_FRACTION_BIOMASS/1000)</f>
        <v/>
      </c>
      <c r="H18" s="6" t="n"/>
      <c r="I18" s="7" t="n"/>
      <c r="J18" s="9">
        <f>IF(OR(NOT(ISNUMBER($I18)),NOT(ISNUMBER($H18)),$H18=0),"",$I18*CARBON_FRACTION_BIOMASS/$H18)</f>
        <v/>
      </c>
      <c r="K18" s="6" t="n"/>
      <c r="L18" s="6" t="n"/>
      <c r="M18" s="9">
        <f>IF($A18="","",IF(ISNUMBER($G18),$G18,0)+IF(ISNUMBER($J18),$J18,0)+IF(ISNUMBER($L18),$L18,0))</f>
        <v/>
      </c>
      <c r="N18" s="11">
        <f>IF($A18="","",IF(COUNTIF('1. Plot &amp; Site Log'!$A$5:$A$64,$A18)=0,"Plot ID not in the Plot &amp; Site Log. ","")&amp;IF(OR($C18&lt;&gt;"Yes",PEAK_SEASON_SAMPLED&lt;&gt;"Yes"),"Not confirmed as peak-season. A standing crop measured off-peak is not "&amp;"comparable to anything, including your own next visit. ","")&amp;IF($B18="","No sampling date. A clip-and-weigh without a date cannot be interpreted. ","")&amp;IF(AND(ISNUMBER($K18),$K18&gt;=TREE_COVER_THRESHOLD_PCT,NOT(ISNUMBER($L18))),"Canopy cover is at or above the threshold but no tree carbon is entered — "&amp;"measure trees with the Forests protocol. ","")&amp;IF(AND(ISNUMBER($I18),$I18&gt;0),"Shrub figures are ABOVE-ground only; shrub roots are in neither this pool nor "&amp;"the soil core. Declare the gap. ",""))</f>
        <v/>
      </c>
      <c r="O18" s="6" t="n"/>
    </row>
    <row r="19">
      <c r="A19" s="6" t="n"/>
      <c r="B19" s="6" t="n"/>
      <c r="C19" s="6" t="n"/>
      <c r="D19" s="6" t="n"/>
      <c r="E19" s="7" t="n"/>
      <c r="F19" s="7" t="n"/>
      <c r="G19" s="9">
        <f>IF(OR(NOT(ISNUMBER($D19)),$D19=0,AND(NOT(ISNUMBER($E19)),NOT(ISNUMBER($F19)))),"",(IF(ISNUMBER($E19),$E19,0)+IF(ISNUMBER($F19),$F19,0))/$D19*CARBON_FRACTION_BIOMASS/1000)</f>
        <v/>
      </c>
      <c r="H19" s="6" t="n"/>
      <c r="I19" s="7" t="n"/>
      <c r="J19" s="9">
        <f>IF(OR(NOT(ISNUMBER($I19)),NOT(ISNUMBER($H19)),$H19=0),"",$I19*CARBON_FRACTION_BIOMASS/$H19)</f>
        <v/>
      </c>
      <c r="K19" s="6" t="n"/>
      <c r="L19" s="6" t="n"/>
      <c r="M19" s="9">
        <f>IF($A19="","",IF(ISNUMBER($G19),$G19,0)+IF(ISNUMBER($J19),$J19,0)+IF(ISNUMBER($L19),$L19,0))</f>
        <v/>
      </c>
      <c r="N19" s="11">
        <f>IF($A19="","",IF(COUNTIF('1. Plot &amp; Site Log'!$A$5:$A$64,$A19)=0,"Plot ID not in the Plot &amp; Site Log. ","")&amp;IF(OR($C19&lt;&gt;"Yes",PEAK_SEASON_SAMPLED&lt;&gt;"Yes"),"Not confirmed as peak-season. A standing crop measured off-peak is not "&amp;"comparable to anything, including your own next visit. ","")&amp;IF($B19="","No sampling date. A clip-and-weigh without a date cannot be interpreted. ","")&amp;IF(AND(ISNUMBER($K19),$K19&gt;=TREE_COVER_THRESHOLD_PCT,NOT(ISNUMBER($L19))),"Canopy cover is at or above the threshold but no tree carbon is entered — "&amp;"measure trees with the Forests protocol. ","")&amp;IF(AND(ISNUMBER($I19),$I19&gt;0),"Shrub figures are ABOVE-ground only; shrub roots are in neither this pool nor "&amp;"the soil core. Declare the gap. ",""))</f>
        <v/>
      </c>
      <c r="O19" s="6" t="n"/>
    </row>
    <row r="20">
      <c r="A20" s="6" t="n"/>
      <c r="B20" s="6" t="n"/>
      <c r="C20" s="6" t="n"/>
      <c r="D20" s="6" t="n"/>
      <c r="E20" s="7" t="n"/>
      <c r="F20" s="7" t="n"/>
      <c r="G20" s="9">
        <f>IF(OR(NOT(ISNUMBER($D20)),$D20=0,AND(NOT(ISNUMBER($E20)),NOT(ISNUMBER($F20)))),"",(IF(ISNUMBER($E20),$E20,0)+IF(ISNUMBER($F20),$F20,0))/$D20*CARBON_FRACTION_BIOMASS/1000)</f>
        <v/>
      </c>
      <c r="H20" s="6" t="n"/>
      <c r="I20" s="7" t="n"/>
      <c r="J20" s="9">
        <f>IF(OR(NOT(ISNUMBER($I20)),NOT(ISNUMBER($H20)),$H20=0),"",$I20*CARBON_FRACTION_BIOMASS/$H20)</f>
        <v/>
      </c>
      <c r="K20" s="6" t="n"/>
      <c r="L20" s="6" t="n"/>
      <c r="M20" s="9">
        <f>IF($A20="","",IF(ISNUMBER($G20),$G20,0)+IF(ISNUMBER($J20),$J20,0)+IF(ISNUMBER($L20),$L20,0))</f>
        <v/>
      </c>
      <c r="N20" s="11">
        <f>IF($A20="","",IF(COUNTIF('1. Plot &amp; Site Log'!$A$5:$A$64,$A20)=0,"Plot ID not in the Plot &amp; Site Log. ","")&amp;IF(OR($C20&lt;&gt;"Yes",PEAK_SEASON_SAMPLED&lt;&gt;"Yes"),"Not confirmed as peak-season. A standing crop measured off-peak is not "&amp;"comparable to anything, including your own next visit. ","")&amp;IF($B20="","No sampling date. A clip-and-weigh without a date cannot be interpreted. ","")&amp;IF(AND(ISNUMBER($K20),$K20&gt;=TREE_COVER_THRESHOLD_PCT,NOT(ISNUMBER($L20))),"Canopy cover is at or above the threshold but no tree carbon is entered — "&amp;"measure trees with the Forests protocol. ","")&amp;IF(AND(ISNUMBER($I20),$I20&gt;0),"Shrub figures are ABOVE-ground only; shrub roots are in neither this pool nor "&amp;"the soil core. Declare the gap. ",""))</f>
        <v/>
      </c>
      <c r="O20" s="6" t="n"/>
    </row>
    <row r="21">
      <c r="A21" s="6" t="n"/>
      <c r="B21" s="6" t="n"/>
      <c r="C21" s="6" t="n"/>
      <c r="D21" s="6" t="n"/>
      <c r="E21" s="7" t="n"/>
      <c r="F21" s="7" t="n"/>
      <c r="G21" s="9">
        <f>IF(OR(NOT(ISNUMBER($D21)),$D21=0,AND(NOT(ISNUMBER($E21)),NOT(ISNUMBER($F21)))),"",(IF(ISNUMBER($E21),$E21,0)+IF(ISNUMBER($F21),$F21,0))/$D21*CARBON_FRACTION_BIOMASS/1000)</f>
        <v/>
      </c>
      <c r="H21" s="6" t="n"/>
      <c r="I21" s="7" t="n"/>
      <c r="J21" s="9">
        <f>IF(OR(NOT(ISNUMBER($I21)),NOT(ISNUMBER($H21)),$H21=0),"",$I21*CARBON_FRACTION_BIOMASS/$H21)</f>
        <v/>
      </c>
      <c r="K21" s="6" t="n"/>
      <c r="L21" s="6" t="n"/>
      <c r="M21" s="9">
        <f>IF($A21="","",IF(ISNUMBER($G21),$G21,0)+IF(ISNUMBER($J21),$J21,0)+IF(ISNUMBER($L21),$L21,0))</f>
        <v/>
      </c>
      <c r="N21" s="11">
        <f>IF($A21="","",IF(COUNTIF('1. Plot &amp; Site Log'!$A$5:$A$64,$A21)=0,"Plot ID not in the Plot &amp; Site Log. ","")&amp;IF(OR($C21&lt;&gt;"Yes",PEAK_SEASON_SAMPLED&lt;&gt;"Yes"),"Not confirmed as peak-season. A standing crop measured off-peak is not "&amp;"comparable to anything, including your own next visit. ","")&amp;IF($B21="","No sampling date. A clip-and-weigh without a date cannot be interpreted. ","")&amp;IF(AND(ISNUMBER($K21),$K21&gt;=TREE_COVER_THRESHOLD_PCT,NOT(ISNUMBER($L21))),"Canopy cover is at or above the threshold but no tree carbon is entered — "&amp;"measure trees with the Forests protocol. ","")&amp;IF(AND(ISNUMBER($I21),$I21&gt;0),"Shrub figures are ABOVE-ground only; shrub roots are in neither this pool nor "&amp;"the soil core. Declare the gap. ",""))</f>
        <v/>
      </c>
      <c r="O21" s="6" t="n"/>
    </row>
    <row r="22">
      <c r="A22" s="6" t="n"/>
      <c r="B22" s="6" t="n"/>
      <c r="C22" s="6" t="n"/>
      <c r="D22" s="6" t="n"/>
      <c r="E22" s="7" t="n"/>
      <c r="F22" s="7" t="n"/>
      <c r="G22" s="9">
        <f>IF(OR(NOT(ISNUMBER($D22)),$D22=0,AND(NOT(ISNUMBER($E22)),NOT(ISNUMBER($F22)))),"",(IF(ISNUMBER($E22),$E22,0)+IF(ISNUMBER($F22),$F22,0))/$D22*CARBON_FRACTION_BIOMASS/1000)</f>
        <v/>
      </c>
      <c r="H22" s="6" t="n"/>
      <c r="I22" s="7" t="n"/>
      <c r="J22" s="9">
        <f>IF(OR(NOT(ISNUMBER($I22)),NOT(ISNUMBER($H22)),$H22=0),"",$I22*CARBON_FRACTION_BIOMASS/$H22)</f>
        <v/>
      </c>
      <c r="K22" s="6" t="n"/>
      <c r="L22" s="6" t="n"/>
      <c r="M22" s="9">
        <f>IF($A22="","",IF(ISNUMBER($G22),$G22,0)+IF(ISNUMBER($J22),$J22,0)+IF(ISNUMBER($L22),$L22,0))</f>
        <v/>
      </c>
      <c r="N22" s="11">
        <f>IF($A22="","",IF(COUNTIF('1. Plot &amp; Site Log'!$A$5:$A$64,$A22)=0,"Plot ID not in the Plot &amp; Site Log. ","")&amp;IF(OR($C22&lt;&gt;"Yes",PEAK_SEASON_SAMPLED&lt;&gt;"Yes"),"Not confirmed as peak-season. A standing crop measured off-peak is not "&amp;"comparable to anything, including your own next visit. ","")&amp;IF($B22="","No sampling date. A clip-and-weigh without a date cannot be interpreted. ","")&amp;IF(AND(ISNUMBER($K22),$K22&gt;=TREE_COVER_THRESHOLD_PCT,NOT(ISNUMBER($L22))),"Canopy cover is at or above the threshold but no tree carbon is entered — "&amp;"measure trees with the Forests protocol. ","")&amp;IF(AND(ISNUMBER($I22),$I22&gt;0),"Shrub figures are ABOVE-ground only; shrub roots are in neither this pool nor "&amp;"the soil core. Declare the gap. ",""))</f>
        <v/>
      </c>
      <c r="O22" s="6" t="n"/>
    </row>
    <row r="23">
      <c r="A23" s="6" t="n"/>
      <c r="B23" s="6" t="n"/>
      <c r="C23" s="6" t="n"/>
      <c r="D23" s="6" t="n"/>
      <c r="E23" s="7" t="n"/>
      <c r="F23" s="7" t="n"/>
      <c r="G23" s="9">
        <f>IF(OR(NOT(ISNUMBER($D23)),$D23=0,AND(NOT(ISNUMBER($E23)),NOT(ISNUMBER($F23)))),"",(IF(ISNUMBER($E23),$E23,0)+IF(ISNUMBER($F23),$F23,0))/$D23*CARBON_FRACTION_BIOMASS/1000)</f>
        <v/>
      </c>
      <c r="H23" s="6" t="n"/>
      <c r="I23" s="7" t="n"/>
      <c r="J23" s="9">
        <f>IF(OR(NOT(ISNUMBER($I23)),NOT(ISNUMBER($H23)),$H23=0),"",$I23*CARBON_FRACTION_BIOMASS/$H23)</f>
        <v/>
      </c>
      <c r="K23" s="6" t="n"/>
      <c r="L23" s="6" t="n"/>
      <c r="M23" s="9">
        <f>IF($A23="","",IF(ISNUMBER($G23),$G23,0)+IF(ISNUMBER($J23),$J23,0)+IF(ISNUMBER($L23),$L23,0))</f>
        <v/>
      </c>
      <c r="N23" s="11">
        <f>IF($A23="","",IF(COUNTIF('1. Plot &amp; Site Log'!$A$5:$A$64,$A23)=0,"Plot ID not in the Plot &amp; Site Log. ","")&amp;IF(OR($C23&lt;&gt;"Yes",PEAK_SEASON_SAMPLED&lt;&gt;"Yes"),"Not confirmed as peak-season. A standing crop measured off-peak is not "&amp;"comparable to anything, including your own next visit. ","")&amp;IF($B23="","No sampling date. A clip-and-weigh without a date cannot be interpreted. ","")&amp;IF(AND(ISNUMBER($K23),$K23&gt;=TREE_COVER_THRESHOLD_PCT,NOT(ISNUMBER($L23))),"Canopy cover is at or above the threshold but no tree carbon is entered — "&amp;"measure trees with the Forests protocol. ","")&amp;IF(AND(ISNUMBER($I23),$I23&gt;0),"Shrub figures are ABOVE-ground only; shrub roots are in neither this pool nor "&amp;"the soil core. Declare the gap. ",""))</f>
        <v/>
      </c>
      <c r="O23" s="6" t="n"/>
    </row>
    <row r="24">
      <c r="A24" s="6" t="n"/>
      <c r="B24" s="6" t="n"/>
      <c r="C24" s="6" t="n"/>
      <c r="D24" s="6" t="n"/>
      <c r="E24" s="7" t="n"/>
      <c r="F24" s="7" t="n"/>
      <c r="G24" s="9">
        <f>IF(OR(NOT(ISNUMBER($D24)),$D24=0,AND(NOT(ISNUMBER($E24)),NOT(ISNUMBER($F24)))),"",(IF(ISNUMBER($E24),$E24,0)+IF(ISNUMBER($F24),$F24,0))/$D24*CARBON_FRACTION_BIOMASS/1000)</f>
        <v/>
      </c>
      <c r="H24" s="6" t="n"/>
      <c r="I24" s="7" t="n"/>
      <c r="J24" s="9">
        <f>IF(OR(NOT(ISNUMBER($I24)),NOT(ISNUMBER($H24)),$H24=0),"",$I24*CARBON_FRACTION_BIOMASS/$H24)</f>
        <v/>
      </c>
      <c r="K24" s="6" t="n"/>
      <c r="L24" s="6" t="n"/>
      <c r="M24" s="9">
        <f>IF($A24="","",IF(ISNUMBER($G24),$G24,0)+IF(ISNUMBER($J24),$J24,0)+IF(ISNUMBER($L24),$L24,0))</f>
        <v/>
      </c>
      <c r="N24" s="11">
        <f>IF($A24="","",IF(COUNTIF('1. Plot &amp; Site Log'!$A$5:$A$64,$A24)=0,"Plot ID not in the Plot &amp; Site Log. ","")&amp;IF(OR($C24&lt;&gt;"Yes",PEAK_SEASON_SAMPLED&lt;&gt;"Yes"),"Not confirmed as peak-season. A standing crop measured off-peak is not "&amp;"comparable to anything, including your own next visit. ","")&amp;IF($B24="","No sampling date. A clip-and-weigh without a date cannot be interpreted. ","")&amp;IF(AND(ISNUMBER($K24),$K24&gt;=TREE_COVER_THRESHOLD_PCT,NOT(ISNUMBER($L24))),"Canopy cover is at or above the threshold but no tree carbon is entered — "&amp;"measure trees with the Forests protocol. ","")&amp;IF(AND(ISNUMBER($I24),$I24&gt;0),"Shrub figures are ABOVE-ground only; shrub roots are in neither this pool nor "&amp;"the soil core. Declare the gap. ",""))</f>
        <v/>
      </c>
      <c r="O24" s="6" t="n"/>
    </row>
    <row r="25">
      <c r="A25" s="6" t="n"/>
      <c r="B25" s="6" t="n"/>
      <c r="C25" s="6" t="n"/>
      <c r="D25" s="6" t="n"/>
      <c r="E25" s="7" t="n"/>
      <c r="F25" s="7" t="n"/>
      <c r="G25" s="9">
        <f>IF(OR(NOT(ISNUMBER($D25)),$D25=0,AND(NOT(ISNUMBER($E25)),NOT(ISNUMBER($F25)))),"",(IF(ISNUMBER($E25),$E25,0)+IF(ISNUMBER($F25),$F25,0))/$D25*CARBON_FRACTION_BIOMASS/1000)</f>
        <v/>
      </c>
      <c r="H25" s="6" t="n"/>
      <c r="I25" s="7" t="n"/>
      <c r="J25" s="9">
        <f>IF(OR(NOT(ISNUMBER($I25)),NOT(ISNUMBER($H25)),$H25=0),"",$I25*CARBON_FRACTION_BIOMASS/$H25)</f>
        <v/>
      </c>
      <c r="K25" s="6" t="n"/>
      <c r="L25" s="6" t="n"/>
      <c r="M25" s="9">
        <f>IF($A25="","",IF(ISNUMBER($G25),$G25,0)+IF(ISNUMBER($J25),$J25,0)+IF(ISNUMBER($L25),$L25,0))</f>
        <v/>
      </c>
      <c r="N25" s="11">
        <f>IF($A25="","",IF(COUNTIF('1. Plot &amp; Site Log'!$A$5:$A$64,$A25)=0,"Plot ID not in the Plot &amp; Site Log. ","")&amp;IF(OR($C25&lt;&gt;"Yes",PEAK_SEASON_SAMPLED&lt;&gt;"Yes"),"Not confirmed as peak-season. A standing crop measured off-peak is not "&amp;"comparable to anything, including your own next visit. ","")&amp;IF($B25="","No sampling date. A clip-and-weigh without a date cannot be interpreted. ","")&amp;IF(AND(ISNUMBER($K25),$K25&gt;=TREE_COVER_THRESHOLD_PCT,NOT(ISNUMBER($L25))),"Canopy cover is at or above the threshold but no tree carbon is entered — "&amp;"measure trees with the Forests protocol. ","")&amp;IF(AND(ISNUMBER($I25),$I25&gt;0),"Shrub figures are ABOVE-ground only; shrub roots are in neither this pool nor "&amp;"the soil core. Declare the gap. ",""))</f>
        <v/>
      </c>
      <c r="O25" s="6" t="n"/>
    </row>
    <row r="26">
      <c r="A26" s="6" t="n"/>
      <c r="B26" s="6" t="n"/>
      <c r="C26" s="6" t="n"/>
      <c r="D26" s="6" t="n"/>
      <c r="E26" s="7" t="n"/>
      <c r="F26" s="7" t="n"/>
      <c r="G26" s="9">
        <f>IF(OR(NOT(ISNUMBER($D26)),$D26=0,AND(NOT(ISNUMBER($E26)),NOT(ISNUMBER($F26)))),"",(IF(ISNUMBER($E26),$E26,0)+IF(ISNUMBER($F26),$F26,0))/$D26*CARBON_FRACTION_BIOMASS/1000)</f>
        <v/>
      </c>
      <c r="H26" s="6" t="n"/>
      <c r="I26" s="7" t="n"/>
      <c r="J26" s="9">
        <f>IF(OR(NOT(ISNUMBER($I26)),NOT(ISNUMBER($H26)),$H26=0),"",$I26*CARBON_FRACTION_BIOMASS/$H26)</f>
        <v/>
      </c>
      <c r="K26" s="6" t="n"/>
      <c r="L26" s="6" t="n"/>
      <c r="M26" s="9">
        <f>IF($A26="","",IF(ISNUMBER($G26),$G26,0)+IF(ISNUMBER($J26),$J26,0)+IF(ISNUMBER($L26),$L26,0))</f>
        <v/>
      </c>
      <c r="N26" s="11">
        <f>IF($A26="","",IF(COUNTIF('1. Plot &amp; Site Log'!$A$5:$A$64,$A26)=0,"Plot ID not in the Plot &amp; Site Log. ","")&amp;IF(OR($C26&lt;&gt;"Yes",PEAK_SEASON_SAMPLED&lt;&gt;"Yes"),"Not confirmed as peak-season. A standing crop measured off-peak is not "&amp;"comparable to anything, including your own next visit. ","")&amp;IF($B26="","No sampling date. A clip-and-weigh without a date cannot be interpreted. ","")&amp;IF(AND(ISNUMBER($K26),$K26&gt;=TREE_COVER_THRESHOLD_PCT,NOT(ISNUMBER($L26))),"Canopy cover is at or above the threshold but no tree carbon is entered — "&amp;"measure trees with the Forests protocol. ","")&amp;IF(AND(ISNUMBER($I26),$I26&gt;0),"Shrub figures are ABOVE-ground only; shrub roots are in neither this pool nor "&amp;"the soil core. Declare the gap. ",""))</f>
        <v/>
      </c>
      <c r="O26" s="6" t="n"/>
    </row>
    <row r="27">
      <c r="A27" s="6" t="n"/>
      <c r="B27" s="6" t="n"/>
      <c r="C27" s="6" t="n"/>
      <c r="D27" s="6" t="n"/>
      <c r="E27" s="7" t="n"/>
      <c r="F27" s="7" t="n"/>
      <c r="G27" s="9">
        <f>IF(OR(NOT(ISNUMBER($D27)),$D27=0,AND(NOT(ISNUMBER($E27)),NOT(ISNUMBER($F27)))),"",(IF(ISNUMBER($E27),$E27,0)+IF(ISNUMBER($F27),$F27,0))/$D27*CARBON_FRACTION_BIOMASS/1000)</f>
        <v/>
      </c>
      <c r="H27" s="6" t="n"/>
      <c r="I27" s="7" t="n"/>
      <c r="J27" s="9">
        <f>IF(OR(NOT(ISNUMBER($I27)),NOT(ISNUMBER($H27)),$H27=0),"",$I27*CARBON_FRACTION_BIOMASS/$H27)</f>
        <v/>
      </c>
      <c r="K27" s="6" t="n"/>
      <c r="L27" s="6" t="n"/>
      <c r="M27" s="9">
        <f>IF($A27="","",IF(ISNUMBER($G27),$G27,0)+IF(ISNUMBER($J27),$J27,0)+IF(ISNUMBER($L27),$L27,0))</f>
        <v/>
      </c>
      <c r="N27" s="11">
        <f>IF($A27="","",IF(COUNTIF('1. Plot &amp; Site Log'!$A$5:$A$64,$A27)=0,"Plot ID not in the Plot &amp; Site Log. ","")&amp;IF(OR($C27&lt;&gt;"Yes",PEAK_SEASON_SAMPLED&lt;&gt;"Yes"),"Not confirmed as peak-season. A standing crop measured off-peak is not "&amp;"comparable to anything, including your own next visit. ","")&amp;IF($B27="","No sampling date. A clip-and-weigh without a date cannot be interpreted. ","")&amp;IF(AND(ISNUMBER($K27),$K27&gt;=TREE_COVER_THRESHOLD_PCT,NOT(ISNUMBER($L27))),"Canopy cover is at or above the threshold but no tree carbon is entered — "&amp;"measure trees with the Forests protocol. ","")&amp;IF(AND(ISNUMBER($I27),$I27&gt;0),"Shrub figures are ABOVE-ground only; shrub roots are in neither this pool nor "&amp;"the soil core. Declare the gap. ",""))</f>
        <v/>
      </c>
      <c r="O27" s="6" t="n"/>
    </row>
    <row r="28">
      <c r="A28" s="6" t="n"/>
      <c r="B28" s="6" t="n"/>
      <c r="C28" s="6" t="n"/>
      <c r="D28" s="6" t="n"/>
      <c r="E28" s="7" t="n"/>
      <c r="F28" s="7" t="n"/>
      <c r="G28" s="9">
        <f>IF(OR(NOT(ISNUMBER($D28)),$D28=0,AND(NOT(ISNUMBER($E28)),NOT(ISNUMBER($F28)))),"",(IF(ISNUMBER($E28),$E28,0)+IF(ISNUMBER($F28),$F28,0))/$D28*CARBON_FRACTION_BIOMASS/1000)</f>
        <v/>
      </c>
      <c r="H28" s="6" t="n"/>
      <c r="I28" s="7" t="n"/>
      <c r="J28" s="9">
        <f>IF(OR(NOT(ISNUMBER($I28)),NOT(ISNUMBER($H28)),$H28=0),"",$I28*CARBON_FRACTION_BIOMASS/$H28)</f>
        <v/>
      </c>
      <c r="K28" s="6" t="n"/>
      <c r="L28" s="6" t="n"/>
      <c r="M28" s="9">
        <f>IF($A28="","",IF(ISNUMBER($G28),$G28,0)+IF(ISNUMBER($J28),$J28,0)+IF(ISNUMBER($L28),$L28,0))</f>
        <v/>
      </c>
      <c r="N28" s="11">
        <f>IF($A28="","",IF(COUNTIF('1. Plot &amp; Site Log'!$A$5:$A$64,$A28)=0,"Plot ID not in the Plot &amp; Site Log. ","")&amp;IF(OR($C28&lt;&gt;"Yes",PEAK_SEASON_SAMPLED&lt;&gt;"Yes"),"Not confirmed as peak-season. A standing crop measured off-peak is not "&amp;"comparable to anything, including your own next visit. ","")&amp;IF($B28="","No sampling date. A clip-and-weigh without a date cannot be interpreted. ","")&amp;IF(AND(ISNUMBER($K28),$K28&gt;=TREE_COVER_THRESHOLD_PCT,NOT(ISNUMBER($L28))),"Canopy cover is at or above the threshold but no tree carbon is entered — "&amp;"measure trees with the Forests protocol. ","")&amp;IF(AND(ISNUMBER($I28),$I28&gt;0),"Shrub figures are ABOVE-ground only; shrub roots are in neither this pool nor "&amp;"the soil core. Declare the gap. ",""))</f>
        <v/>
      </c>
      <c r="O28" s="6" t="n"/>
    </row>
    <row r="29">
      <c r="A29" s="6" t="n"/>
      <c r="B29" s="6" t="n"/>
      <c r="C29" s="6" t="n"/>
      <c r="D29" s="6" t="n"/>
      <c r="E29" s="7" t="n"/>
      <c r="F29" s="7" t="n"/>
      <c r="G29" s="9">
        <f>IF(OR(NOT(ISNUMBER($D29)),$D29=0,AND(NOT(ISNUMBER($E29)),NOT(ISNUMBER($F29)))),"",(IF(ISNUMBER($E29),$E29,0)+IF(ISNUMBER($F29),$F29,0))/$D29*CARBON_FRACTION_BIOMASS/1000)</f>
        <v/>
      </c>
      <c r="H29" s="6" t="n"/>
      <c r="I29" s="7" t="n"/>
      <c r="J29" s="9">
        <f>IF(OR(NOT(ISNUMBER($I29)),NOT(ISNUMBER($H29)),$H29=0),"",$I29*CARBON_FRACTION_BIOMASS/$H29)</f>
        <v/>
      </c>
      <c r="K29" s="6" t="n"/>
      <c r="L29" s="6" t="n"/>
      <c r="M29" s="9">
        <f>IF($A29="","",IF(ISNUMBER($G29),$G29,0)+IF(ISNUMBER($J29),$J29,0)+IF(ISNUMBER($L29),$L29,0))</f>
        <v/>
      </c>
      <c r="N29" s="11">
        <f>IF($A29="","",IF(COUNTIF('1. Plot &amp; Site Log'!$A$5:$A$64,$A29)=0,"Plot ID not in the Plot &amp; Site Log. ","")&amp;IF(OR($C29&lt;&gt;"Yes",PEAK_SEASON_SAMPLED&lt;&gt;"Yes"),"Not confirmed as peak-season. A standing crop measured off-peak is not "&amp;"comparable to anything, including your own next visit. ","")&amp;IF($B29="","No sampling date. A clip-and-weigh without a date cannot be interpreted. ","")&amp;IF(AND(ISNUMBER($K29),$K29&gt;=TREE_COVER_THRESHOLD_PCT,NOT(ISNUMBER($L29))),"Canopy cover is at or above the threshold but no tree carbon is entered — "&amp;"measure trees with the Forests protocol. ","")&amp;IF(AND(ISNUMBER($I29),$I29&gt;0),"Shrub figures are ABOVE-ground only; shrub roots are in neither this pool nor "&amp;"the soil core. Declare the gap. ",""))</f>
        <v/>
      </c>
      <c r="O29" s="6" t="n"/>
    </row>
    <row r="30">
      <c r="A30" s="6" t="n"/>
      <c r="B30" s="6" t="n"/>
      <c r="C30" s="6" t="n"/>
      <c r="D30" s="6" t="n"/>
      <c r="E30" s="7" t="n"/>
      <c r="F30" s="7" t="n"/>
      <c r="G30" s="9">
        <f>IF(OR(NOT(ISNUMBER($D30)),$D30=0,AND(NOT(ISNUMBER($E30)),NOT(ISNUMBER($F30)))),"",(IF(ISNUMBER($E30),$E30,0)+IF(ISNUMBER($F30),$F30,0))/$D30*CARBON_FRACTION_BIOMASS/1000)</f>
        <v/>
      </c>
      <c r="H30" s="6" t="n"/>
      <c r="I30" s="7" t="n"/>
      <c r="J30" s="9">
        <f>IF(OR(NOT(ISNUMBER($I30)),NOT(ISNUMBER($H30)),$H30=0),"",$I30*CARBON_FRACTION_BIOMASS/$H30)</f>
        <v/>
      </c>
      <c r="K30" s="6" t="n"/>
      <c r="L30" s="6" t="n"/>
      <c r="M30" s="9">
        <f>IF($A30="","",IF(ISNUMBER($G30),$G30,0)+IF(ISNUMBER($J30),$J30,0)+IF(ISNUMBER($L30),$L30,0))</f>
        <v/>
      </c>
      <c r="N30" s="11">
        <f>IF($A30="","",IF(COUNTIF('1. Plot &amp; Site Log'!$A$5:$A$64,$A30)=0,"Plot ID not in the Plot &amp; Site Log. ","")&amp;IF(OR($C30&lt;&gt;"Yes",PEAK_SEASON_SAMPLED&lt;&gt;"Yes"),"Not confirmed as peak-season. A standing crop measured off-peak is not "&amp;"comparable to anything, including your own next visit. ","")&amp;IF($B30="","No sampling date. A clip-and-weigh without a date cannot be interpreted. ","")&amp;IF(AND(ISNUMBER($K30),$K30&gt;=TREE_COVER_THRESHOLD_PCT,NOT(ISNUMBER($L30))),"Canopy cover is at or above the threshold but no tree carbon is entered — "&amp;"measure trees with the Forests protocol. ","")&amp;IF(AND(ISNUMBER($I30),$I30&gt;0),"Shrub figures are ABOVE-ground only; shrub roots are in neither this pool nor "&amp;"the soil core. Declare the gap. ",""))</f>
        <v/>
      </c>
      <c r="O30" s="6" t="n"/>
    </row>
    <row r="31">
      <c r="A31" s="6" t="n"/>
      <c r="B31" s="6" t="n"/>
      <c r="C31" s="6" t="n"/>
      <c r="D31" s="6" t="n"/>
      <c r="E31" s="7" t="n"/>
      <c r="F31" s="7" t="n"/>
      <c r="G31" s="9">
        <f>IF(OR(NOT(ISNUMBER($D31)),$D31=0,AND(NOT(ISNUMBER($E31)),NOT(ISNUMBER($F31)))),"",(IF(ISNUMBER($E31),$E31,0)+IF(ISNUMBER($F31),$F31,0))/$D31*CARBON_FRACTION_BIOMASS/1000)</f>
        <v/>
      </c>
      <c r="H31" s="6" t="n"/>
      <c r="I31" s="7" t="n"/>
      <c r="J31" s="9">
        <f>IF(OR(NOT(ISNUMBER($I31)),NOT(ISNUMBER($H31)),$H31=0),"",$I31*CARBON_FRACTION_BIOMASS/$H31)</f>
        <v/>
      </c>
      <c r="K31" s="6" t="n"/>
      <c r="L31" s="6" t="n"/>
      <c r="M31" s="9">
        <f>IF($A31="","",IF(ISNUMBER($G31),$G31,0)+IF(ISNUMBER($J31),$J31,0)+IF(ISNUMBER($L31),$L31,0))</f>
        <v/>
      </c>
      <c r="N31" s="11">
        <f>IF($A31="","",IF(COUNTIF('1. Plot &amp; Site Log'!$A$5:$A$64,$A31)=0,"Plot ID not in the Plot &amp; Site Log. ","")&amp;IF(OR($C31&lt;&gt;"Yes",PEAK_SEASON_SAMPLED&lt;&gt;"Yes"),"Not confirmed as peak-season. A standing crop measured off-peak is not "&amp;"comparable to anything, including your own next visit. ","")&amp;IF($B31="","No sampling date. A clip-and-weigh without a date cannot be interpreted. ","")&amp;IF(AND(ISNUMBER($K31),$K31&gt;=TREE_COVER_THRESHOLD_PCT,NOT(ISNUMBER($L31))),"Canopy cover is at or above the threshold but no tree carbon is entered — "&amp;"measure trees with the Forests protocol. ","")&amp;IF(AND(ISNUMBER($I31),$I31&gt;0),"Shrub figures are ABOVE-ground only; shrub roots are in neither this pool nor "&amp;"the soil core. Declare the gap. ",""))</f>
        <v/>
      </c>
      <c r="O31" s="6" t="n"/>
    </row>
    <row r="32">
      <c r="A32" s="6" t="n"/>
      <c r="B32" s="6" t="n"/>
      <c r="C32" s="6" t="n"/>
      <c r="D32" s="6" t="n"/>
      <c r="E32" s="7" t="n"/>
      <c r="F32" s="7" t="n"/>
      <c r="G32" s="9">
        <f>IF(OR(NOT(ISNUMBER($D32)),$D32=0,AND(NOT(ISNUMBER($E32)),NOT(ISNUMBER($F32)))),"",(IF(ISNUMBER($E32),$E32,0)+IF(ISNUMBER($F32),$F32,0))/$D32*CARBON_FRACTION_BIOMASS/1000)</f>
        <v/>
      </c>
      <c r="H32" s="6" t="n"/>
      <c r="I32" s="7" t="n"/>
      <c r="J32" s="9">
        <f>IF(OR(NOT(ISNUMBER($I32)),NOT(ISNUMBER($H32)),$H32=0),"",$I32*CARBON_FRACTION_BIOMASS/$H32)</f>
        <v/>
      </c>
      <c r="K32" s="6" t="n"/>
      <c r="L32" s="6" t="n"/>
      <c r="M32" s="9">
        <f>IF($A32="","",IF(ISNUMBER($G32),$G32,0)+IF(ISNUMBER($J32),$J32,0)+IF(ISNUMBER($L32),$L32,0))</f>
        <v/>
      </c>
      <c r="N32" s="11">
        <f>IF($A32="","",IF(COUNTIF('1. Plot &amp; Site Log'!$A$5:$A$64,$A32)=0,"Plot ID not in the Plot &amp; Site Log. ","")&amp;IF(OR($C32&lt;&gt;"Yes",PEAK_SEASON_SAMPLED&lt;&gt;"Yes"),"Not confirmed as peak-season. A standing crop measured off-peak is not "&amp;"comparable to anything, including your own next visit. ","")&amp;IF($B32="","No sampling date. A clip-and-weigh without a date cannot be interpreted. ","")&amp;IF(AND(ISNUMBER($K32),$K32&gt;=TREE_COVER_THRESHOLD_PCT,NOT(ISNUMBER($L32))),"Canopy cover is at or above the threshold but no tree carbon is entered — "&amp;"measure trees with the Forests protocol. ","")&amp;IF(AND(ISNUMBER($I32),$I32&gt;0),"Shrub figures are ABOVE-ground only; shrub roots are in neither this pool nor "&amp;"the soil core. Declare the gap. ",""))</f>
        <v/>
      </c>
      <c r="O32" s="6" t="n"/>
    </row>
    <row r="33">
      <c r="A33" s="6" t="n"/>
      <c r="B33" s="6" t="n"/>
      <c r="C33" s="6" t="n"/>
      <c r="D33" s="6" t="n"/>
      <c r="E33" s="7" t="n"/>
      <c r="F33" s="7" t="n"/>
      <c r="G33" s="9">
        <f>IF(OR(NOT(ISNUMBER($D33)),$D33=0,AND(NOT(ISNUMBER($E33)),NOT(ISNUMBER($F33)))),"",(IF(ISNUMBER($E33),$E33,0)+IF(ISNUMBER($F33),$F33,0))/$D33*CARBON_FRACTION_BIOMASS/1000)</f>
        <v/>
      </c>
      <c r="H33" s="6" t="n"/>
      <c r="I33" s="7" t="n"/>
      <c r="J33" s="9">
        <f>IF(OR(NOT(ISNUMBER($I33)),NOT(ISNUMBER($H33)),$H33=0),"",$I33*CARBON_FRACTION_BIOMASS/$H33)</f>
        <v/>
      </c>
      <c r="K33" s="6" t="n"/>
      <c r="L33" s="6" t="n"/>
      <c r="M33" s="9">
        <f>IF($A33="","",IF(ISNUMBER($G33),$G33,0)+IF(ISNUMBER($J33),$J33,0)+IF(ISNUMBER($L33),$L33,0))</f>
        <v/>
      </c>
      <c r="N33" s="11">
        <f>IF($A33="","",IF(COUNTIF('1. Plot &amp; Site Log'!$A$5:$A$64,$A33)=0,"Plot ID not in the Plot &amp; Site Log. ","")&amp;IF(OR($C33&lt;&gt;"Yes",PEAK_SEASON_SAMPLED&lt;&gt;"Yes"),"Not confirmed as peak-season. A standing crop measured off-peak is not "&amp;"comparable to anything, including your own next visit. ","")&amp;IF($B33="","No sampling date. A clip-and-weigh without a date cannot be interpreted. ","")&amp;IF(AND(ISNUMBER($K33),$K33&gt;=TREE_COVER_THRESHOLD_PCT,NOT(ISNUMBER($L33))),"Canopy cover is at or above the threshold but no tree carbon is entered — "&amp;"measure trees with the Forests protocol. ","")&amp;IF(AND(ISNUMBER($I33),$I33&gt;0),"Shrub figures are ABOVE-ground only; shrub roots are in neither this pool nor "&amp;"the soil core. Declare the gap. ",""))</f>
        <v/>
      </c>
      <c r="O33" s="6" t="n"/>
    </row>
    <row r="34">
      <c r="A34" s="6" t="n"/>
      <c r="B34" s="6" t="n"/>
      <c r="C34" s="6" t="n"/>
      <c r="D34" s="6" t="n"/>
      <c r="E34" s="7" t="n"/>
      <c r="F34" s="7" t="n"/>
      <c r="G34" s="9">
        <f>IF(OR(NOT(ISNUMBER($D34)),$D34=0,AND(NOT(ISNUMBER($E34)),NOT(ISNUMBER($F34)))),"",(IF(ISNUMBER($E34),$E34,0)+IF(ISNUMBER($F34),$F34,0))/$D34*CARBON_FRACTION_BIOMASS/1000)</f>
        <v/>
      </c>
      <c r="H34" s="6" t="n"/>
      <c r="I34" s="7" t="n"/>
      <c r="J34" s="9">
        <f>IF(OR(NOT(ISNUMBER($I34)),NOT(ISNUMBER($H34)),$H34=0),"",$I34*CARBON_FRACTION_BIOMASS/$H34)</f>
        <v/>
      </c>
      <c r="K34" s="6" t="n"/>
      <c r="L34" s="6" t="n"/>
      <c r="M34" s="9">
        <f>IF($A34="","",IF(ISNUMBER($G34),$G34,0)+IF(ISNUMBER($J34),$J34,0)+IF(ISNUMBER($L34),$L34,0))</f>
        <v/>
      </c>
      <c r="N34" s="11">
        <f>IF($A34="","",IF(COUNTIF('1. Plot &amp; Site Log'!$A$5:$A$64,$A34)=0,"Plot ID not in the Plot &amp; Site Log. ","")&amp;IF(OR($C34&lt;&gt;"Yes",PEAK_SEASON_SAMPLED&lt;&gt;"Yes"),"Not confirmed as peak-season. A standing crop measured off-peak is not "&amp;"comparable to anything, including your own next visit. ","")&amp;IF($B34="","No sampling date. A clip-and-weigh without a date cannot be interpreted. ","")&amp;IF(AND(ISNUMBER($K34),$K34&gt;=TREE_COVER_THRESHOLD_PCT,NOT(ISNUMBER($L34))),"Canopy cover is at or above the threshold but no tree carbon is entered — "&amp;"measure trees with the Forests protocol. ","")&amp;IF(AND(ISNUMBER($I34),$I34&gt;0),"Shrub figures are ABOVE-ground only; shrub roots are in neither this pool nor "&amp;"the soil core. Declare the gap. ",""))</f>
        <v/>
      </c>
      <c r="O34" s="6" t="n"/>
    </row>
    <row r="35">
      <c r="A35" s="6" t="n"/>
      <c r="B35" s="6" t="n"/>
      <c r="C35" s="6" t="n"/>
      <c r="D35" s="6" t="n"/>
      <c r="E35" s="7" t="n"/>
      <c r="F35" s="7" t="n"/>
      <c r="G35" s="9">
        <f>IF(OR(NOT(ISNUMBER($D35)),$D35=0,AND(NOT(ISNUMBER($E35)),NOT(ISNUMBER($F35)))),"",(IF(ISNUMBER($E35),$E35,0)+IF(ISNUMBER($F35),$F35,0))/$D35*CARBON_FRACTION_BIOMASS/1000)</f>
        <v/>
      </c>
      <c r="H35" s="6" t="n"/>
      <c r="I35" s="7" t="n"/>
      <c r="J35" s="9">
        <f>IF(OR(NOT(ISNUMBER($I35)),NOT(ISNUMBER($H35)),$H35=0),"",$I35*CARBON_FRACTION_BIOMASS/$H35)</f>
        <v/>
      </c>
      <c r="K35" s="6" t="n"/>
      <c r="L35" s="6" t="n"/>
      <c r="M35" s="9">
        <f>IF($A35="","",IF(ISNUMBER($G35),$G35,0)+IF(ISNUMBER($J35),$J35,0)+IF(ISNUMBER($L35),$L35,0))</f>
        <v/>
      </c>
      <c r="N35" s="11">
        <f>IF($A35="","",IF(COUNTIF('1. Plot &amp; Site Log'!$A$5:$A$64,$A35)=0,"Plot ID not in the Plot &amp; Site Log. ","")&amp;IF(OR($C35&lt;&gt;"Yes",PEAK_SEASON_SAMPLED&lt;&gt;"Yes"),"Not confirmed as peak-season. A standing crop measured off-peak is not "&amp;"comparable to anything, including your own next visit. ","")&amp;IF($B35="","No sampling date. A clip-and-weigh without a date cannot be interpreted. ","")&amp;IF(AND(ISNUMBER($K35),$K35&gt;=TREE_COVER_THRESHOLD_PCT,NOT(ISNUMBER($L35))),"Canopy cover is at or above the threshold but no tree carbon is entered — "&amp;"measure trees with the Forests protocol. ","")&amp;IF(AND(ISNUMBER($I35),$I35&gt;0),"Shrub figures are ABOVE-ground only; shrub roots are in neither this pool nor "&amp;"the soil core. Declare the gap. ",""))</f>
        <v/>
      </c>
      <c r="O35" s="6" t="n"/>
    </row>
    <row r="36">
      <c r="A36" s="6" t="n"/>
      <c r="B36" s="6" t="n"/>
      <c r="C36" s="6" t="n"/>
      <c r="D36" s="6" t="n"/>
      <c r="E36" s="7" t="n"/>
      <c r="F36" s="7" t="n"/>
      <c r="G36" s="9">
        <f>IF(OR(NOT(ISNUMBER($D36)),$D36=0,AND(NOT(ISNUMBER($E36)),NOT(ISNUMBER($F36)))),"",(IF(ISNUMBER($E36),$E36,0)+IF(ISNUMBER($F36),$F36,0))/$D36*CARBON_FRACTION_BIOMASS/1000)</f>
        <v/>
      </c>
      <c r="H36" s="6" t="n"/>
      <c r="I36" s="7" t="n"/>
      <c r="J36" s="9">
        <f>IF(OR(NOT(ISNUMBER($I36)),NOT(ISNUMBER($H36)),$H36=0),"",$I36*CARBON_FRACTION_BIOMASS/$H36)</f>
        <v/>
      </c>
      <c r="K36" s="6" t="n"/>
      <c r="L36" s="6" t="n"/>
      <c r="M36" s="9">
        <f>IF($A36="","",IF(ISNUMBER($G36),$G36,0)+IF(ISNUMBER($J36),$J36,0)+IF(ISNUMBER($L36),$L36,0))</f>
        <v/>
      </c>
      <c r="N36" s="11">
        <f>IF($A36="","",IF(COUNTIF('1. Plot &amp; Site Log'!$A$5:$A$64,$A36)=0,"Plot ID not in the Plot &amp; Site Log. ","")&amp;IF(OR($C36&lt;&gt;"Yes",PEAK_SEASON_SAMPLED&lt;&gt;"Yes"),"Not confirmed as peak-season. A standing crop measured off-peak is not "&amp;"comparable to anything, including your own next visit. ","")&amp;IF($B36="","No sampling date. A clip-and-weigh without a date cannot be interpreted. ","")&amp;IF(AND(ISNUMBER($K36),$K36&gt;=TREE_COVER_THRESHOLD_PCT,NOT(ISNUMBER($L36))),"Canopy cover is at or above the threshold but no tree carbon is entered — "&amp;"measure trees with the Forests protocol. ","")&amp;IF(AND(ISNUMBER($I36),$I36&gt;0),"Shrub figures are ABOVE-ground only; shrub roots are in neither this pool nor "&amp;"the soil core. Declare the gap. ",""))</f>
        <v/>
      </c>
      <c r="O36" s="6" t="n"/>
    </row>
    <row r="37">
      <c r="A37" s="6" t="n"/>
      <c r="B37" s="6" t="n"/>
      <c r="C37" s="6" t="n"/>
      <c r="D37" s="6" t="n"/>
      <c r="E37" s="7" t="n"/>
      <c r="F37" s="7" t="n"/>
      <c r="G37" s="9">
        <f>IF(OR(NOT(ISNUMBER($D37)),$D37=0,AND(NOT(ISNUMBER($E37)),NOT(ISNUMBER($F37)))),"",(IF(ISNUMBER($E37),$E37,0)+IF(ISNUMBER($F37),$F37,0))/$D37*CARBON_FRACTION_BIOMASS/1000)</f>
        <v/>
      </c>
      <c r="H37" s="6" t="n"/>
      <c r="I37" s="7" t="n"/>
      <c r="J37" s="9">
        <f>IF(OR(NOT(ISNUMBER($I37)),NOT(ISNUMBER($H37)),$H37=0),"",$I37*CARBON_FRACTION_BIOMASS/$H37)</f>
        <v/>
      </c>
      <c r="K37" s="6" t="n"/>
      <c r="L37" s="6" t="n"/>
      <c r="M37" s="9">
        <f>IF($A37="","",IF(ISNUMBER($G37),$G37,0)+IF(ISNUMBER($J37),$J37,0)+IF(ISNUMBER($L37),$L37,0))</f>
        <v/>
      </c>
      <c r="N37" s="11">
        <f>IF($A37="","",IF(COUNTIF('1. Plot &amp; Site Log'!$A$5:$A$64,$A37)=0,"Plot ID not in the Plot &amp; Site Log. ","")&amp;IF(OR($C37&lt;&gt;"Yes",PEAK_SEASON_SAMPLED&lt;&gt;"Yes"),"Not confirmed as peak-season. A standing crop measured off-peak is not "&amp;"comparable to anything, including your own next visit. ","")&amp;IF($B37="","No sampling date. A clip-and-weigh without a date cannot be interpreted. ","")&amp;IF(AND(ISNUMBER($K37),$K37&gt;=TREE_COVER_THRESHOLD_PCT,NOT(ISNUMBER($L37))),"Canopy cover is at or above the threshold but no tree carbon is entered — "&amp;"measure trees with the Forests protocol. ","")&amp;IF(AND(ISNUMBER($I37),$I37&gt;0),"Shrub figures are ABOVE-ground only; shrub roots are in neither this pool nor "&amp;"the soil core. Declare the gap. ",""))</f>
        <v/>
      </c>
      <c r="O37" s="6" t="n"/>
    </row>
    <row r="38">
      <c r="A38" s="6" t="n"/>
      <c r="B38" s="6" t="n"/>
      <c r="C38" s="6" t="n"/>
      <c r="D38" s="6" t="n"/>
      <c r="E38" s="7" t="n"/>
      <c r="F38" s="7" t="n"/>
      <c r="G38" s="9">
        <f>IF(OR(NOT(ISNUMBER($D38)),$D38=0,AND(NOT(ISNUMBER($E38)),NOT(ISNUMBER($F38)))),"",(IF(ISNUMBER($E38),$E38,0)+IF(ISNUMBER($F38),$F38,0))/$D38*CARBON_FRACTION_BIOMASS/1000)</f>
        <v/>
      </c>
      <c r="H38" s="6" t="n"/>
      <c r="I38" s="7" t="n"/>
      <c r="J38" s="9">
        <f>IF(OR(NOT(ISNUMBER($I38)),NOT(ISNUMBER($H38)),$H38=0),"",$I38*CARBON_FRACTION_BIOMASS/$H38)</f>
        <v/>
      </c>
      <c r="K38" s="6" t="n"/>
      <c r="L38" s="6" t="n"/>
      <c r="M38" s="9">
        <f>IF($A38="","",IF(ISNUMBER($G38),$G38,0)+IF(ISNUMBER($J38),$J38,0)+IF(ISNUMBER($L38),$L38,0))</f>
        <v/>
      </c>
      <c r="N38" s="11">
        <f>IF($A38="","",IF(COUNTIF('1. Plot &amp; Site Log'!$A$5:$A$64,$A38)=0,"Plot ID not in the Plot &amp; Site Log. ","")&amp;IF(OR($C38&lt;&gt;"Yes",PEAK_SEASON_SAMPLED&lt;&gt;"Yes"),"Not confirmed as peak-season. A standing crop measured off-peak is not "&amp;"comparable to anything, including your own next visit. ","")&amp;IF($B38="","No sampling date. A clip-and-weigh without a date cannot be interpreted. ","")&amp;IF(AND(ISNUMBER($K38),$K38&gt;=TREE_COVER_THRESHOLD_PCT,NOT(ISNUMBER($L38))),"Canopy cover is at or above the threshold but no tree carbon is entered — "&amp;"measure trees with the Forests protocol. ","")&amp;IF(AND(ISNUMBER($I38),$I38&gt;0),"Shrub figures are ABOVE-ground only; shrub roots are in neither this pool nor "&amp;"the soil core. Declare the gap. ",""))</f>
        <v/>
      </c>
      <c r="O38" s="6" t="n"/>
    </row>
    <row r="39">
      <c r="A39" s="6" t="n"/>
      <c r="B39" s="6" t="n"/>
      <c r="C39" s="6" t="n"/>
      <c r="D39" s="6" t="n"/>
      <c r="E39" s="7" t="n"/>
      <c r="F39" s="7" t="n"/>
      <c r="G39" s="9">
        <f>IF(OR(NOT(ISNUMBER($D39)),$D39=0,AND(NOT(ISNUMBER($E39)),NOT(ISNUMBER($F39)))),"",(IF(ISNUMBER($E39),$E39,0)+IF(ISNUMBER($F39),$F39,0))/$D39*CARBON_FRACTION_BIOMASS/1000)</f>
        <v/>
      </c>
      <c r="H39" s="6" t="n"/>
      <c r="I39" s="7" t="n"/>
      <c r="J39" s="9">
        <f>IF(OR(NOT(ISNUMBER($I39)),NOT(ISNUMBER($H39)),$H39=0),"",$I39*CARBON_FRACTION_BIOMASS/$H39)</f>
        <v/>
      </c>
      <c r="K39" s="6" t="n"/>
      <c r="L39" s="6" t="n"/>
      <c r="M39" s="9">
        <f>IF($A39="","",IF(ISNUMBER($G39),$G39,0)+IF(ISNUMBER($J39),$J39,0)+IF(ISNUMBER($L39),$L39,0))</f>
        <v/>
      </c>
      <c r="N39" s="11">
        <f>IF($A39="","",IF(COUNTIF('1. Plot &amp; Site Log'!$A$5:$A$64,$A39)=0,"Plot ID not in the Plot &amp; Site Log. ","")&amp;IF(OR($C39&lt;&gt;"Yes",PEAK_SEASON_SAMPLED&lt;&gt;"Yes"),"Not confirmed as peak-season. A standing crop measured off-peak is not "&amp;"comparable to anything, including your own next visit. ","")&amp;IF($B39="","No sampling date. A clip-and-weigh without a date cannot be interpreted. ","")&amp;IF(AND(ISNUMBER($K39),$K39&gt;=TREE_COVER_THRESHOLD_PCT,NOT(ISNUMBER($L39))),"Canopy cover is at or above the threshold but no tree carbon is entered — "&amp;"measure trees with the Forests protocol. ","")&amp;IF(AND(ISNUMBER($I39),$I39&gt;0),"Shrub figures are ABOVE-ground only; shrub roots are in neither this pool nor "&amp;"the soil core. Declare the gap. ",""))</f>
        <v/>
      </c>
      <c r="O39" s="6" t="n"/>
    </row>
    <row r="40">
      <c r="A40" s="6" t="n"/>
      <c r="B40" s="6" t="n"/>
      <c r="C40" s="6" t="n"/>
      <c r="D40" s="6" t="n"/>
      <c r="E40" s="7" t="n"/>
      <c r="F40" s="7" t="n"/>
      <c r="G40" s="9">
        <f>IF(OR(NOT(ISNUMBER($D40)),$D40=0,AND(NOT(ISNUMBER($E40)),NOT(ISNUMBER($F40)))),"",(IF(ISNUMBER($E40),$E40,0)+IF(ISNUMBER($F40),$F40,0))/$D40*CARBON_FRACTION_BIOMASS/1000)</f>
        <v/>
      </c>
      <c r="H40" s="6" t="n"/>
      <c r="I40" s="7" t="n"/>
      <c r="J40" s="9">
        <f>IF(OR(NOT(ISNUMBER($I40)),NOT(ISNUMBER($H40)),$H40=0),"",$I40*CARBON_FRACTION_BIOMASS/$H40)</f>
        <v/>
      </c>
      <c r="K40" s="6" t="n"/>
      <c r="L40" s="6" t="n"/>
      <c r="M40" s="9">
        <f>IF($A40="","",IF(ISNUMBER($G40),$G40,0)+IF(ISNUMBER($J40),$J40,0)+IF(ISNUMBER($L40),$L40,0))</f>
        <v/>
      </c>
      <c r="N40" s="11">
        <f>IF($A40="","",IF(COUNTIF('1. Plot &amp; Site Log'!$A$5:$A$64,$A40)=0,"Plot ID not in the Plot &amp; Site Log. ","")&amp;IF(OR($C40&lt;&gt;"Yes",PEAK_SEASON_SAMPLED&lt;&gt;"Yes"),"Not confirmed as peak-season. A standing crop measured off-peak is not "&amp;"comparable to anything, including your own next visit. ","")&amp;IF($B40="","No sampling date. A clip-and-weigh without a date cannot be interpreted. ","")&amp;IF(AND(ISNUMBER($K40),$K40&gt;=TREE_COVER_THRESHOLD_PCT,NOT(ISNUMBER($L40))),"Canopy cover is at or above the threshold but no tree carbon is entered — "&amp;"measure trees with the Forests protocol. ","")&amp;IF(AND(ISNUMBER($I40),$I40&gt;0),"Shrub figures are ABOVE-ground only; shrub roots are in neither this pool nor "&amp;"the soil core. Declare the gap. ",""))</f>
        <v/>
      </c>
      <c r="O40" s="6" t="n"/>
    </row>
    <row r="41">
      <c r="A41" s="6" t="n"/>
      <c r="B41" s="6" t="n"/>
      <c r="C41" s="6" t="n"/>
      <c r="D41" s="6" t="n"/>
      <c r="E41" s="7" t="n"/>
      <c r="F41" s="7" t="n"/>
      <c r="G41" s="9">
        <f>IF(OR(NOT(ISNUMBER($D41)),$D41=0,AND(NOT(ISNUMBER($E41)),NOT(ISNUMBER($F41)))),"",(IF(ISNUMBER($E41),$E41,0)+IF(ISNUMBER($F41),$F41,0))/$D41*CARBON_FRACTION_BIOMASS/1000)</f>
        <v/>
      </c>
      <c r="H41" s="6" t="n"/>
      <c r="I41" s="7" t="n"/>
      <c r="J41" s="9">
        <f>IF(OR(NOT(ISNUMBER($I41)),NOT(ISNUMBER($H41)),$H41=0),"",$I41*CARBON_FRACTION_BIOMASS/$H41)</f>
        <v/>
      </c>
      <c r="K41" s="6" t="n"/>
      <c r="L41" s="6" t="n"/>
      <c r="M41" s="9">
        <f>IF($A41="","",IF(ISNUMBER($G41),$G41,0)+IF(ISNUMBER($J41),$J41,0)+IF(ISNUMBER($L41),$L41,0))</f>
        <v/>
      </c>
      <c r="N41" s="11">
        <f>IF($A41="","",IF(COUNTIF('1. Plot &amp; Site Log'!$A$5:$A$64,$A41)=0,"Plot ID not in the Plot &amp; Site Log. ","")&amp;IF(OR($C41&lt;&gt;"Yes",PEAK_SEASON_SAMPLED&lt;&gt;"Yes"),"Not confirmed as peak-season. A standing crop measured off-peak is not "&amp;"comparable to anything, including your own next visit. ","")&amp;IF($B41="","No sampling date. A clip-and-weigh without a date cannot be interpreted. ","")&amp;IF(AND(ISNUMBER($K41),$K41&gt;=TREE_COVER_THRESHOLD_PCT,NOT(ISNUMBER($L41))),"Canopy cover is at or above the threshold but no tree carbon is entered — "&amp;"measure trees with the Forests protocol. ","")&amp;IF(AND(ISNUMBER($I41),$I41&gt;0),"Shrub figures are ABOVE-ground only; shrub roots are in neither this pool nor "&amp;"the soil core. Declare the gap. ",""))</f>
        <v/>
      </c>
      <c r="O41" s="6" t="n"/>
    </row>
    <row r="42">
      <c r="A42" s="6" t="n"/>
      <c r="B42" s="6" t="n"/>
      <c r="C42" s="6" t="n"/>
      <c r="D42" s="6" t="n"/>
      <c r="E42" s="7" t="n"/>
      <c r="F42" s="7" t="n"/>
      <c r="G42" s="9">
        <f>IF(OR(NOT(ISNUMBER($D42)),$D42=0,AND(NOT(ISNUMBER($E42)),NOT(ISNUMBER($F42)))),"",(IF(ISNUMBER($E42),$E42,0)+IF(ISNUMBER($F42),$F42,0))/$D42*CARBON_FRACTION_BIOMASS/1000)</f>
        <v/>
      </c>
      <c r="H42" s="6" t="n"/>
      <c r="I42" s="7" t="n"/>
      <c r="J42" s="9">
        <f>IF(OR(NOT(ISNUMBER($I42)),NOT(ISNUMBER($H42)),$H42=0),"",$I42*CARBON_FRACTION_BIOMASS/$H42)</f>
        <v/>
      </c>
      <c r="K42" s="6" t="n"/>
      <c r="L42" s="6" t="n"/>
      <c r="M42" s="9">
        <f>IF($A42="","",IF(ISNUMBER($G42),$G42,0)+IF(ISNUMBER($J42),$J42,0)+IF(ISNUMBER($L42),$L42,0))</f>
        <v/>
      </c>
      <c r="N42" s="11">
        <f>IF($A42="","",IF(COUNTIF('1. Plot &amp; Site Log'!$A$5:$A$64,$A42)=0,"Plot ID not in the Plot &amp; Site Log. ","")&amp;IF(OR($C42&lt;&gt;"Yes",PEAK_SEASON_SAMPLED&lt;&gt;"Yes"),"Not confirmed as peak-season. A standing crop measured off-peak is not "&amp;"comparable to anything, including your own next visit. ","")&amp;IF($B42="","No sampling date. A clip-and-weigh without a date cannot be interpreted. ","")&amp;IF(AND(ISNUMBER($K42),$K42&gt;=TREE_COVER_THRESHOLD_PCT,NOT(ISNUMBER($L42))),"Canopy cover is at or above the threshold but no tree carbon is entered — "&amp;"measure trees with the Forests protocol. ","")&amp;IF(AND(ISNUMBER($I42),$I42&gt;0),"Shrub figures are ABOVE-ground only; shrub roots are in neither this pool nor "&amp;"the soil core. Declare the gap. ",""))</f>
        <v/>
      </c>
      <c r="O42" s="6" t="n"/>
    </row>
    <row r="43">
      <c r="A43" s="6" t="n"/>
      <c r="B43" s="6" t="n"/>
      <c r="C43" s="6" t="n"/>
      <c r="D43" s="6" t="n"/>
      <c r="E43" s="7" t="n"/>
      <c r="F43" s="7" t="n"/>
      <c r="G43" s="9">
        <f>IF(OR(NOT(ISNUMBER($D43)),$D43=0,AND(NOT(ISNUMBER($E43)),NOT(ISNUMBER($F43)))),"",(IF(ISNUMBER($E43),$E43,0)+IF(ISNUMBER($F43),$F43,0))/$D43*CARBON_FRACTION_BIOMASS/1000)</f>
        <v/>
      </c>
      <c r="H43" s="6" t="n"/>
      <c r="I43" s="7" t="n"/>
      <c r="J43" s="9">
        <f>IF(OR(NOT(ISNUMBER($I43)),NOT(ISNUMBER($H43)),$H43=0),"",$I43*CARBON_FRACTION_BIOMASS/$H43)</f>
        <v/>
      </c>
      <c r="K43" s="6" t="n"/>
      <c r="L43" s="6" t="n"/>
      <c r="M43" s="9">
        <f>IF($A43="","",IF(ISNUMBER($G43),$G43,0)+IF(ISNUMBER($J43),$J43,0)+IF(ISNUMBER($L43),$L43,0))</f>
        <v/>
      </c>
      <c r="N43" s="11">
        <f>IF($A43="","",IF(COUNTIF('1. Plot &amp; Site Log'!$A$5:$A$64,$A43)=0,"Plot ID not in the Plot &amp; Site Log. ","")&amp;IF(OR($C43&lt;&gt;"Yes",PEAK_SEASON_SAMPLED&lt;&gt;"Yes"),"Not confirmed as peak-season. A standing crop measured off-peak is not "&amp;"comparable to anything, including your own next visit. ","")&amp;IF($B43="","No sampling date. A clip-and-weigh without a date cannot be interpreted. ","")&amp;IF(AND(ISNUMBER($K43),$K43&gt;=TREE_COVER_THRESHOLD_PCT,NOT(ISNUMBER($L43))),"Canopy cover is at or above the threshold but no tree carbon is entered — "&amp;"measure trees with the Forests protocol. ","")&amp;IF(AND(ISNUMBER($I43),$I43&gt;0),"Shrub figures are ABOVE-ground only; shrub roots are in neither this pool nor "&amp;"the soil core. Declare the gap. ",""))</f>
        <v/>
      </c>
      <c r="O43" s="6" t="n"/>
    </row>
    <row r="44">
      <c r="A44" s="6" t="n"/>
      <c r="B44" s="6" t="n"/>
      <c r="C44" s="6" t="n"/>
      <c r="D44" s="6" t="n"/>
      <c r="E44" s="7" t="n"/>
      <c r="F44" s="7" t="n"/>
      <c r="G44" s="9">
        <f>IF(OR(NOT(ISNUMBER($D44)),$D44=0,AND(NOT(ISNUMBER($E44)),NOT(ISNUMBER($F44)))),"",(IF(ISNUMBER($E44),$E44,0)+IF(ISNUMBER($F44),$F44,0))/$D44*CARBON_FRACTION_BIOMASS/1000)</f>
        <v/>
      </c>
      <c r="H44" s="6" t="n"/>
      <c r="I44" s="7" t="n"/>
      <c r="J44" s="9">
        <f>IF(OR(NOT(ISNUMBER($I44)),NOT(ISNUMBER($H44)),$H44=0),"",$I44*CARBON_FRACTION_BIOMASS/$H44)</f>
        <v/>
      </c>
      <c r="K44" s="6" t="n"/>
      <c r="L44" s="6" t="n"/>
      <c r="M44" s="9">
        <f>IF($A44="","",IF(ISNUMBER($G44),$G44,0)+IF(ISNUMBER($J44),$J44,0)+IF(ISNUMBER($L44),$L44,0))</f>
        <v/>
      </c>
      <c r="N44" s="11">
        <f>IF($A44="","",IF(COUNTIF('1. Plot &amp; Site Log'!$A$5:$A$64,$A44)=0,"Plot ID not in the Plot &amp; Site Log. ","")&amp;IF(OR($C44&lt;&gt;"Yes",PEAK_SEASON_SAMPLED&lt;&gt;"Yes"),"Not confirmed as peak-season. A standing crop measured off-peak is not "&amp;"comparable to anything, including your own next visit. ","")&amp;IF($B44="","No sampling date. A clip-and-weigh without a date cannot be interpreted. ","")&amp;IF(AND(ISNUMBER($K44),$K44&gt;=TREE_COVER_THRESHOLD_PCT,NOT(ISNUMBER($L44))),"Canopy cover is at or above the threshold but no tree carbon is entered — "&amp;"measure trees with the Forests protocol. ","")&amp;IF(AND(ISNUMBER($I44),$I44&gt;0),"Shrub figures are ABOVE-ground only; shrub roots are in neither this pool nor "&amp;"the soil core. Declare the gap. ",""))</f>
        <v/>
      </c>
      <c r="O44" s="6" t="n"/>
    </row>
    <row r="45">
      <c r="A45" s="6" t="n"/>
      <c r="B45" s="6" t="n"/>
      <c r="C45" s="6" t="n"/>
      <c r="D45" s="6" t="n"/>
      <c r="E45" s="7" t="n"/>
      <c r="F45" s="7" t="n"/>
      <c r="G45" s="9">
        <f>IF(OR(NOT(ISNUMBER($D45)),$D45=0,AND(NOT(ISNUMBER($E45)),NOT(ISNUMBER($F45)))),"",(IF(ISNUMBER($E45),$E45,0)+IF(ISNUMBER($F45),$F45,0))/$D45*CARBON_FRACTION_BIOMASS/1000)</f>
        <v/>
      </c>
      <c r="H45" s="6" t="n"/>
      <c r="I45" s="7" t="n"/>
      <c r="J45" s="9">
        <f>IF(OR(NOT(ISNUMBER($I45)),NOT(ISNUMBER($H45)),$H45=0),"",$I45*CARBON_FRACTION_BIOMASS/$H45)</f>
        <v/>
      </c>
      <c r="K45" s="6" t="n"/>
      <c r="L45" s="6" t="n"/>
      <c r="M45" s="9">
        <f>IF($A45="","",IF(ISNUMBER($G45),$G45,0)+IF(ISNUMBER($J45),$J45,0)+IF(ISNUMBER($L45),$L45,0))</f>
        <v/>
      </c>
      <c r="N45" s="11">
        <f>IF($A45="","",IF(COUNTIF('1. Plot &amp; Site Log'!$A$5:$A$64,$A45)=0,"Plot ID not in the Plot &amp; Site Log. ","")&amp;IF(OR($C45&lt;&gt;"Yes",PEAK_SEASON_SAMPLED&lt;&gt;"Yes"),"Not confirmed as peak-season. A standing crop measured off-peak is not "&amp;"comparable to anything, including your own next visit. ","")&amp;IF($B45="","No sampling date. A clip-and-weigh without a date cannot be interpreted. ","")&amp;IF(AND(ISNUMBER($K45),$K45&gt;=TREE_COVER_THRESHOLD_PCT,NOT(ISNUMBER($L45))),"Canopy cover is at or above the threshold but no tree carbon is entered — "&amp;"measure trees with the Forests protocol. ","")&amp;IF(AND(ISNUMBER($I45),$I45&gt;0),"Shrub figures are ABOVE-ground only; shrub roots are in neither this pool nor "&amp;"the soil core. Declare the gap. ",""))</f>
        <v/>
      </c>
      <c r="O45" s="6" t="n"/>
    </row>
    <row r="46">
      <c r="A46" s="6" t="n"/>
      <c r="B46" s="6" t="n"/>
      <c r="C46" s="6" t="n"/>
      <c r="D46" s="6" t="n"/>
      <c r="E46" s="7" t="n"/>
      <c r="F46" s="7" t="n"/>
      <c r="G46" s="9">
        <f>IF(OR(NOT(ISNUMBER($D46)),$D46=0,AND(NOT(ISNUMBER($E46)),NOT(ISNUMBER($F46)))),"",(IF(ISNUMBER($E46),$E46,0)+IF(ISNUMBER($F46),$F46,0))/$D46*CARBON_FRACTION_BIOMASS/1000)</f>
        <v/>
      </c>
      <c r="H46" s="6" t="n"/>
      <c r="I46" s="7" t="n"/>
      <c r="J46" s="9">
        <f>IF(OR(NOT(ISNUMBER($I46)),NOT(ISNUMBER($H46)),$H46=0),"",$I46*CARBON_FRACTION_BIOMASS/$H46)</f>
        <v/>
      </c>
      <c r="K46" s="6" t="n"/>
      <c r="L46" s="6" t="n"/>
      <c r="M46" s="9">
        <f>IF($A46="","",IF(ISNUMBER($G46),$G46,0)+IF(ISNUMBER($J46),$J46,0)+IF(ISNUMBER($L46),$L46,0))</f>
        <v/>
      </c>
      <c r="N46" s="11">
        <f>IF($A46="","",IF(COUNTIF('1. Plot &amp; Site Log'!$A$5:$A$64,$A46)=0,"Plot ID not in the Plot &amp; Site Log. ","")&amp;IF(OR($C46&lt;&gt;"Yes",PEAK_SEASON_SAMPLED&lt;&gt;"Yes"),"Not confirmed as peak-season. A standing crop measured off-peak is not "&amp;"comparable to anything, including your own next visit. ","")&amp;IF($B46="","No sampling date. A clip-and-weigh without a date cannot be interpreted. ","")&amp;IF(AND(ISNUMBER($K46),$K46&gt;=TREE_COVER_THRESHOLD_PCT,NOT(ISNUMBER($L46))),"Canopy cover is at or above the threshold but no tree carbon is entered — "&amp;"measure trees with the Forests protocol. ","")&amp;IF(AND(ISNUMBER($I46),$I46&gt;0),"Shrub figures are ABOVE-ground only; shrub roots are in neither this pool nor "&amp;"the soil core. Declare the gap. ",""))</f>
        <v/>
      </c>
      <c r="O46" s="6" t="n"/>
    </row>
    <row r="47">
      <c r="A47" s="6" t="n"/>
      <c r="B47" s="6" t="n"/>
      <c r="C47" s="6" t="n"/>
      <c r="D47" s="6" t="n"/>
      <c r="E47" s="7" t="n"/>
      <c r="F47" s="7" t="n"/>
      <c r="G47" s="9">
        <f>IF(OR(NOT(ISNUMBER($D47)),$D47=0,AND(NOT(ISNUMBER($E47)),NOT(ISNUMBER($F47)))),"",(IF(ISNUMBER($E47),$E47,0)+IF(ISNUMBER($F47),$F47,0))/$D47*CARBON_FRACTION_BIOMASS/1000)</f>
        <v/>
      </c>
      <c r="H47" s="6" t="n"/>
      <c r="I47" s="7" t="n"/>
      <c r="J47" s="9">
        <f>IF(OR(NOT(ISNUMBER($I47)),NOT(ISNUMBER($H47)),$H47=0),"",$I47*CARBON_FRACTION_BIOMASS/$H47)</f>
        <v/>
      </c>
      <c r="K47" s="6" t="n"/>
      <c r="L47" s="6" t="n"/>
      <c r="M47" s="9">
        <f>IF($A47="","",IF(ISNUMBER($G47),$G47,0)+IF(ISNUMBER($J47),$J47,0)+IF(ISNUMBER($L47),$L47,0))</f>
        <v/>
      </c>
      <c r="N47" s="11">
        <f>IF($A47="","",IF(COUNTIF('1. Plot &amp; Site Log'!$A$5:$A$64,$A47)=0,"Plot ID not in the Plot &amp; Site Log. ","")&amp;IF(OR($C47&lt;&gt;"Yes",PEAK_SEASON_SAMPLED&lt;&gt;"Yes"),"Not confirmed as peak-season. A standing crop measured off-peak is not "&amp;"comparable to anything, including your own next visit. ","")&amp;IF($B47="","No sampling date. A clip-and-weigh without a date cannot be interpreted. ","")&amp;IF(AND(ISNUMBER($K47),$K47&gt;=TREE_COVER_THRESHOLD_PCT,NOT(ISNUMBER($L47))),"Canopy cover is at or above the threshold but no tree carbon is entered — "&amp;"measure trees with the Forests protocol. ","")&amp;IF(AND(ISNUMBER($I47),$I47&gt;0),"Shrub figures are ABOVE-ground only; shrub roots are in neither this pool nor "&amp;"the soil core. Declare the gap. ",""))</f>
        <v/>
      </c>
      <c r="O47" s="6" t="n"/>
    </row>
    <row r="48">
      <c r="A48" s="6" t="n"/>
      <c r="B48" s="6" t="n"/>
      <c r="C48" s="6" t="n"/>
      <c r="D48" s="6" t="n"/>
      <c r="E48" s="7" t="n"/>
      <c r="F48" s="7" t="n"/>
      <c r="G48" s="9">
        <f>IF(OR(NOT(ISNUMBER($D48)),$D48=0,AND(NOT(ISNUMBER($E48)),NOT(ISNUMBER($F48)))),"",(IF(ISNUMBER($E48),$E48,0)+IF(ISNUMBER($F48),$F48,0))/$D48*CARBON_FRACTION_BIOMASS/1000)</f>
        <v/>
      </c>
      <c r="H48" s="6" t="n"/>
      <c r="I48" s="7" t="n"/>
      <c r="J48" s="9">
        <f>IF(OR(NOT(ISNUMBER($I48)),NOT(ISNUMBER($H48)),$H48=0),"",$I48*CARBON_FRACTION_BIOMASS/$H48)</f>
        <v/>
      </c>
      <c r="K48" s="6" t="n"/>
      <c r="L48" s="6" t="n"/>
      <c r="M48" s="9">
        <f>IF($A48="","",IF(ISNUMBER($G48),$G48,0)+IF(ISNUMBER($J48),$J48,0)+IF(ISNUMBER($L48),$L48,0))</f>
        <v/>
      </c>
      <c r="N48" s="11">
        <f>IF($A48="","",IF(COUNTIF('1. Plot &amp; Site Log'!$A$5:$A$64,$A48)=0,"Plot ID not in the Plot &amp; Site Log. ","")&amp;IF(OR($C48&lt;&gt;"Yes",PEAK_SEASON_SAMPLED&lt;&gt;"Yes"),"Not confirmed as peak-season. A standing crop measured off-peak is not "&amp;"comparable to anything, including your own next visit. ","")&amp;IF($B48="","No sampling date. A clip-and-weigh without a date cannot be interpreted. ","")&amp;IF(AND(ISNUMBER($K48),$K48&gt;=TREE_COVER_THRESHOLD_PCT,NOT(ISNUMBER($L48))),"Canopy cover is at or above the threshold but no tree carbon is entered — "&amp;"measure trees with the Forests protocol. ","")&amp;IF(AND(ISNUMBER($I48),$I48&gt;0),"Shrub figures are ABOVE-ground only; shrub roots are in neither this pool nor "&amp;"the soil core. Declare the gap. ",""))</f>
        <v/>
      </c>
      <c r="O48" s="6" t="n"/>
    </row>
    <row r="49">
      <c r="A49" s="6" t="n"/>
      <c r="B49" s="6" t="n"/>
      <c r="C49" s="6" t="n"/>
      <c r="D49" s="6" t="n"/>
      <c r="E49" s="7" t="n"/>
      <c r="F49" s="7" t="n"/>
      <c r="G49" s="9">
        <f>IF(OR(NOT(ISNUMBER($D49)),$D49=0,AND(NOT(ISNUMBER($E49)),NOT(ISNUMBER($F49)))),"",(IF(ISNUMBER($E49),$E49,0)+IF(ISNUMBER($F49),$F49,0))/$D49*CARBON_FRACTION_BIOMASS/1000)</f>
        <v/>
      </c>
      <c r="H49" s="6" t="n"/>
      <c r="I49" s="7" t="n"/>
      <c r="J49" s="9">
        <f>IF(OR(NOT(ISNUMBER($I49)),NOT(ISNUMBER($H49)),$H49=0),"",$I49*CARBON_FRACTION_BIOMASS/$H49)</f>
        <v/>
      </c>
      <c r="K49" s="6" t="n"/>
      <c r="L49" s="6" t="n"/>
      <c r="M49" s="9">
        <f>IF($A49="","",IF(ISNUMBER($G49),$G49,0)+IF(ISNUMBER($J49),$J49,0)+IF(ISNUMBER($L49),$L49,0))</f>
        <v/>
      </c>
      <c r="N49" s="11">
        <f>IF($A49="","",IF(COUNTIF('1. Plot &amp; Site Log'!$A$5:$A$64,$A49)=0,"Plot ID not in the Plot &amp; Site Log. ","")&amp;IF(OR($C49&lt;&gt;"Yes",PEAK_SEASON_SAMPLED&lt;&gt;"Yes"),"Not confirmed as peak-season. A standing crop measured off-peak is not "&amp;"comparable to anything, including your own next visit. ","")&amp;IF($B49="","No sampling date. A clip-and-weigh without a date cannot be interpreted. ","")&amp;IF(AND(ISNUMBER($K49),$K49&gt;=TREE_COVER_THRESHOLD_PCT,NOT(ISNUMBER($L49))),"Canopy cover is at or above the threshold but no tree carbon is entered — "&amp;"measure trees with the Forests protocol. ","")&amp;IF(AND(ISNUMBER($I49),$I49&gt;0),"Shrub figures are ABOVE-ground only; shrub roots are in neither this pool nor "&amp;"the soil core. Declare the gap. ",""))</f>
        <v/>
      </c>
      <c r="O49" s="6" t="n"/>
    </row>
    <row r="50">
      <c r="A50" s="6" t="n"/>
      <c r="B50" s="6" t="n"/>
      <c r="C50" s="6" t="n"/>
      <c r="D50" s="6" t="n"/>
      <c r="E50" s="7" t="n"/>
      <c r="F50" s="7" t="n"/>
      <c r="G50" s="9">
        <f>IF(OR(NOT(ISNUMBER($D50)),$D50=0,AND(NOT(ISNUMBER($E50)),NOT(ISNUMBER($F50)))),"",(IF(ISNUMBER($E50),$E50,0)+IF(ISNUMBER($F50),$F50,0))/$D50*CARBON_FRACTION_BIOMASS/1000)</f>
        <v/>
      </c>
      <c r="H50" s="6" t="n"/>
      <c r="I50" s="7" t="n"/>
      <c r="J50" s="9">
        <f>IF(OR(NOT(ISNUMBER($I50)),NOT(ISNUMBER($H50)),$H50=0),"",$I50*CARBON_FRACTION_BIOMASS/$H50)</f>
        <v/>
      </c>
      <c r="K50" s="6" t="n"/>
      <c r="L50" s="6" t="n"/>
      <c r="M50" s="9">
        <f>IF($A50="","",IF(ISNUMBER($G50),$G50,0)+IF(ISNUMBER($J50),$J50,0)+IF(ISNUMBER($L50),$L50,0))</f>
        <v/>
      </c>
      <c r="N50" s="11">
        <f>IF($A50="","",IF(COUNTIF('1. Plot &amp; Site Log'!$A$5:$A$64,$A50)=0,"Plot ID not in the Plot &amp; Site Log. ","")&amp;IF(OR($C50&lt;&gt;"Yes",PEAK_SEASON_SAMPLED&lt;&gt;"Yes"),"Not confirmed as peak-season. A standing crop measured off-peak is not "&amp;"comparable to anything, including your own next visit. ","")&amp;IF($B50="","No sampling date. A clip-and-weigh without a date cannot be interpreted. ","")&amp;IF(AND(ISNUMBER($K50),$K50&gt;=TREE_COVER_THRESHOLD_PCT,NOT(ISNUMBER($L50))),"Canopy cover is at or above the threshold but no tree carbon is entered — "&amp;"measure trees with the Forests protocol. ","")&amp;IF(AND(ISNUMBER($I50),$I50&gt;0),"Shrub figures are ABOVE-ground only; shrub roots are in neither this pool nor "&amp;"the soil core. Declare the gap. ",""))</f>
        <v/>
      </c>
      <c r="O50" s="6" t="n"/>
    </row>
    <row r="51">
      <c r="A51" s="6" t="n"/>
      <c r="B51" s="6" t="n"/>
      <c r="C51" s="6" t="n"/>
      <c r="D51" s="6" t="n"/>
      <c r="E51" s="7" t="n"/>
      <c r="F51" s="7" t="n"/>
      <c r="G51" s="9">
        <f>IF(OR(NOT(ISNUMBER($D51)),$D51=0,AND(NOT(ISNUMBER($E51)),NOT(ISNUMBER($F51)))),"",(IF(ISNUMBER($E51),$E51,0)+IF(ISNUMBER($F51),$F51,0))/$D51*CARBON_FRACTION_BIOMASS/1000)</f>
        <v/>
      </c>
      <c r="H51" s="6" t="n"/>
      <c r="I51" s="7" t="n"/>
      <c r="J51" s="9">
        <f>IF(OR(NOT(ISNUMBER($I51)),NOT(ISNUMBER($H51)),$H51=0),"",$I51*CARBON_FRACTION_BIOMASS/$H51)</f>
        <v/>
      </c>
      <c r="K51" s="6" t="n"/>
      <c r="L51" s="6" t="n"/>
      <c r="M51" s="9">
        <f>IF($A51="","",IF(ISNUMBER($G51),$G51,0)+IF(ISNUMBER($J51),$J51,0)+IF(ISNUMBER($L51),$L51,0))</f>
        <v/>
      </c>
      <c r="N51" s="11">
        <f>IF($A51="","",IF(COUNTIF('1. Plot &amp; Site Log'!$A$5:$A$64,$A51)=0,"Plot ID not in the Plot &amp; Site Log. ","")&amp;IF(OR($C51&lt;&gt;"Yes",PEAK_SEASON_SAMPLED&lt;&gt;"Yes"),"Not confirmed as peak-season. A standing crop measured off-peak is not "&amp;"comparable to anything, including your own next visit. ","")&amp;IF($B51="","No sampling date. A clip-and-weigh without a date cannot be interpreted. ","")&amp;IF(AND(ISNUMBER($K51),$K51&gt;=TREE_COVER_THRESHOLD_PCT,NOT(ISNUMBER($L51))),"Canopy cover is at or above the threshold but no tree carbon is entered — "&amp;"measure trees with the Forests protocol. ","")&amp;IF(AND(ISNUMBER($I51),$I51&gt;0),"Shrub figures are ABOVE-ground only; shrub roots are in neither this pool nor "&amp;"the soil core. Declare the gap. ",""))</f>
        <v/>
      </c>
      <c r="O51" s="6" t="n"/>
    </row>
    <row r="52">
      <c r="A52" s="6" t="n"/>
      <c r="B52" s="6" t="n"/>
      <c r="C52" s="6" t="n"/>
      <c r="D52" s="6" t="n"/>
      <c r="E52" s="7" t="n"/>
      <c r="F52" s="7" t="n"/>
      <c r="G52" s="9">
        <f>IF(OR(NOT(ISNUMBER($D52)),$D52=0,AND(NOT(ISNUMBER($E52)),NOT(ISNUMBER($F52)))),"",(IF(ISNUMBER($E52),$E52,0)+IF(ISNUMBER($F52),$F52,0))/$D52*CARBON_FRACTION_BIOMASS/1000)</f>
        <v/>
      </c>
      <c r="H52" s="6" t="n"/>
      <c r="I52" s="7" t="n"/>
      <c r="J52" s="9">
        <f>IF(OR(NOT(ISNUMBER($I52)),NOT(ISNUMBER($H52)),$H52=0),"",$I52*CARBON_FRACTION_BIOMASS/$H52)</f>
        <v/>
      </c>
      <c r="K52" s="6" t="n"/>
      <c r="L52" s="6" t="n"/>
      <c r="M52" s="9">
        <f>IF($A52="","",IF(ISNUMBER($G52),$G52,0)+IF(ISNUMBER($J52),$J52,0)+IF(ISNUMBER($L52),$L52,0))</f>
        <v/>
      </c>
      <c r="N52" s="11">
        <f>IF($A52="","",IF(COUNTIF('1. Plot &amp; Site Log'!$A$5:$A$64,$A52)=0,"Plot ID not in the Plot &amp; Site Log. ","")&amp;IF(OR($C52&lt;&gt;"Yes",PEAK_SEASON_SAMPLED&lt;&gt;"Yes"),"Not confirmed as peak-season. A standing crop measured off-peak is not "&amp;"comparable to anything, including your own next visit. ","")&amp;IF($B52="","No sampling date. A clip-and-weigh without a date cannot be interpreted. ","")&amp;IF(AND(ISNUMBER($K52),$K52&gt;=TREE_COVER_THRESHOLD_PCT,NOT(ISNUMBER($L52))),"Canopy cover is at or above the threshold but no tree carbon is entered — "&amp;"measure trees with the Forests protocol. ","")&amp;IF(AND(ISNUMBER($I52),$I52&gt;0),"Shrub figures are ABOVE-ground only; shrub roots are in neither this pool nor "&amp;"the soil core. Declare the gap. ",""))</f>
        <v/>
      </c>
      <c r="O52" s="6" t="n"/>
    </row>
    <row r="53">
      <c r="A53" s="6" t="n"/>
      <c r="B53" s="6" t="n"/>
      <c r="C53" s="6" t="n"/>
      <c r="D53" s="6" t="n"/>
      <c r="E53" s="7" t="n"/>
      <c r="F53" s="7" t="n"/>
      <c r="G53" s="9">
        <f>IF(OR(NOT(ISNUMBER($D53)),$D53=0,AND(NOT(ISNUMBER($E53)),NOT(ISNUMBER($F53)))),"",(IF(ISNUMBER($E53),$E53,0)+IF(ISNUMBER($F53),$F53,0))/$D53*CARBON_FRACTION_BIOMASS/1000)</f>
        <v/>
      </c>
      <c r="H53" s="6" t="n"/>
      <c r="I53" s="7" t="n"/>
      <c r="J53" s="9">
        <f>IF(OR(NOT(ISNUMBER($I53)),NOT(ISNUMBER($H53)),$H53=0),"",$I53*CARBON_FRACTION_BIOMASS/$H53)</f>
        <v/>
      </c>
      <c r="K53" s="6" t="n"/>
      <c r="L53" s="6" t="n"/>
      <c r="M53" s="9">
        <f>IF($A53="","",IF(ISNUMBER($G53),$G53,0)+IF(ISNUMBER($J53),$J53,0)+IF(ISNUMBER($L53),$L53,0))</f>
        <v/>
      </c>
      <c r="N53" s="11">
        <f>IF($A53="","",IF(COUNTIF('1. Plot &amp; Site Log'!$A$5:$A$64,$A53)=0,"Plot ID not in the Plot &amp; Site Log. ","")&amp;IF(OR($C53&lt;&gt;"Yes",PEAK_SEASON_SAMPLED&lt;&gt;"Yes"),"Not confirmed as peak-season. A standing crop measured off-peak is not "&amp;"comparable to anything, including your own next visit. ","")&amp;IF($B53="","No sampling date. A clip-and-weigh without a date cannot be interpreted. ","")&amp;IF(AND(ISNUMBER($K53),$K53&gt;=TREE_COVER_THRESHOLD_PCT,NOT(ISNUMBER($L53))),"Canopy cover is at or above the threshold but no tree carbon is entered — "&amp;"measure trees with the Forests protocol. ","")&amp;IF(AND(ISNUMBER($I53),$I53&gt;0),"Shrub figures are ABOVE-ground only; shrub roots are in neither this pool nor "&amp;"the soil core. Declare the gap. ",""))</f>
        <v/>
      </c>
      <c r="O53" s="6" t="n"/>
    </row>
    <row r="54">
      <c r="A54" s="6" t="n"/>
      <c r="B54" s="6" t="n"/>
      <c r="C54" s="6" t="n"/>
      <c r="D54" s="6" t="n"/>
      <c r="E54" s="7" t="n"/>
      <c r="F54" s="7" t="n"/>
      <c r="G54" s="9">
        <f>IF(OR(NOT(ISNUMBER($D54)),$D54=0,AND(NOT(ISNUMBER($E54)),NOT(ISNUMBER($F54)))),"",(IF(ISNUMBER($E54),$E54,0)+IF(ISNUMBER($F54),$F54,0))/$D54*CARBON_FRACTION_BIOMASS/1000)</f>
        <v/>
      </c>
      <c r="H54" s="6" t="n"/>
      <c r="I54" s="7" t="n"/>
      <c r="J54" s="9">
        <f>IF(OR(NOT(ISNUMBER($I54)),NOT(ISNUMBER($H54)),$H54=0),"",$I54*CARBON_FRACTION_BIOMASS/$H54)</f>
        <v/>
      </c>
      <c r="K54" s="6" t="n"/>
      <c r="L54" s="6" t="n"/>
      <c r="M54" s="9">
        <f>IF($A54="","",IF(ISNUMBER($G54),$G54,0)+IF(ISNUMBER($J54),$J54,0)+IF(ISNUMBER($L54),$L54,0))</f>
        <v/>
      </c>
      <c r="N54" s="11">
        <f>IF($A54="","",IF(COUNTIF('1. Plot &amp; Site Log'!$A$5:$A$64,$A54)=0,"Plot ID not in the Plot &amp; Site Log. ","")&amp;IF(OR($C54&lt;&gt;"Yes",PEAK_SEASON_SAMPLED&lt;&gt;"Yes"),"Not confirmed as peak-season. A standing crop measured off-peak is not "&amp;"comparable to anything, including your own next visit. ","")&amp;IF($B54="","No sampling date. A clip-and-weigh without a date cannot be interpreted. ","")&amp;IF(AND(ISNUMBER($K54),$K54&gt;=TREE_COVER_THRESHOLD_PCT,NOT(ISNUMBER($L54))),"Canopy cover is at or above the threshold but no tree carbon is entered — "&amp;"measure trees with the Forests protocol. ","")&amp;IF(AND(ISNUMBER($I54),$I54&gt;0),"Shrub figures are ABOVE-ground only; shrub roots are in neither this pool nor "&amp;"the soil core. Declare the gap. ",""))</f>
        <v/>
      </c>
      <c r="O54" s="6" t="n"/>
    </row>
    <row r="55">
      <c r="A55" s="6" t="n"/>
      <c r="B55" s="6" t="n"/>
      <c r="C55" s="6" t="n"/>
      <c r="D55" s="6" t="n"/>
      <c r="E55" s="7" t="n"/>
      <c r="F55" s="7" t="n"/>
      <c r="G55" s="9">
        <f>IF(OR(NOT(ISNUMBER($D55)),$D55=0,AND(NOT(ISNUMBER($E55)),NOT(ISNUMBER($F55)))),"",(IF(ISNUMBER($E55),$E55,0)+IF(ISNUMBER($F55),$F55,0))/$D55*CARBON_FRACTION_BIOMASS/1000)</f>
        <v/>
      </c>
      <c r="H55" s="6" t="n"/>
      <c r="I55" s="7" t="n"/>
      <c r="J55" s="9">
        <f>IF(OR(NOT(ISNUMBER($I55)),NOT(ISNUMBER($H55)),$H55=0),"",$I55*CARBON_FRACTION_BIOMASS/$H55)</f>
        <v/>
      </c>
      <c r="K55" s="6" t="n"/>
      <c r="L55" s="6" t="n"/>
      <c r="M55" s="9">
        <f>IF($A55="","",IF(ISNUMBER($G55),$G55,0)+IF(ISNUMBER($J55),$J55,0)+IF(ISNUMBER($L55),$L55,0))</f>
        <v/>
      </c>
      <c r="N55" s="11">
        <f>IF($A55="","",IF(COUNTIF('1. Plot &amp; Site Log'!$A$5:$A$64,$A55)=0,"Plot ID not in the Plot &amp; Site Log. ","")&amp;IF(OR($C55&lt;&gt;"Yes",PEAK_SEASON_SAMPLED&lt;&gt;"Yes"),"Not confirmed as peak-season. A standing crop measured off-peak is not "&amp;"comparable to anything, including your own next visit. ","")&amp;IF($B55="","No sampling date. A clip-and-weigh without a date cannot be interpreted. ","")&amp;IF(AND(ISNUMBER($K55),$K55&gt;=TREE_COVER_THRESHOLD_PCT,NOT(ISNUMBER($L55))),"Canopy cover is at or above the threshold but no tree carbon is entered — "&amp;"measure trees with the Forests protocol. ","")&amp;IF(AND(ISNUMBER($I55),$I55&gt;0),"Shrub figures are ABOVE-ground only; shrub roots are in neither this pool nor "&amp;"the soil core. Declare the gap. ",""))</f>
        <v/>
      </c>
      <c r="O55" s="6" t="n"/>
    </row>
    <row r="56">
      <c r="A56" s="6" t="n"/>
      <c r="B56" s="6" t="n"/>
      <c r="C56" s="6" t="n"/>
      <c r="D56" s="6" t="n"/>
      <c r="E56" s="7" t="n"/>
      <c r="F56" s="7" t="n"/>
      <c r="G56" s="9">
        <f>IF(OR(NOT(ISNUMBER($D56)),$D56=0,AND(NOT(ISNUMBER($E56)),NOT(ISNUMBER($F56)))),"",(IF(ISNUMBER($E56),$E56,0)+IF(ISNUMBER($F56),$F56,0))/$D56*CARBON_FRACTION_BIOMASS/1000)</f>
        <v/>
      </c>
      <c r="H56" s="6" t="n"/>
      <c r="I56" s="7" t="n"/>
      <c r="J56" s="9">
        <f>IF(OR(NOT(ISNUMBER($I56)),NOT(ISNUMBER($H56)),$H56=0),"",$I56*CARBON_FRACTION_BIOMASS/$H56)</f>
        <v/>
      </c>
      <c r="K56" s="6" t="n"/>
      <c r="L56" s="6" t="n"/>
      <c r="M56" s="9">
        <f>IF($A56="","",IF(ISNUMBER($G56),$G56,0)+IF(ISNUMBER($J56),$J56,0)+IF(ISNUMBER($L56),$L56,0))</f>
        <v/>
      </c>
      <c r="N56" s="11">
        <f>IF($A56="","",IF(COUNTIF('1. Plot &amp; Site Log'!$A$5:$A$64,$A56)=0,"Plot ID not in the Plot &amp; Site Log. ","")&amp;IF(OR($C56&lt;&gt;"Yes",PEAK_SEASON_SAMPLED&lt;&gt;"Yes"),"Not confirmed as peak-season. A standing crop measured off-peak is not "&amp;"comparable to anything, including your own next visit. ","")&amp;IF($B56="","No sampling date. A clip-and-weigh without a date cannot be interpreted. ","")&amp;IF(AND(ISNUMBER($K56),$K56&gt;=TREE_COVER_THRESHOLD_PCT,NOT(ISNUMBER($L56))),"Canopy cover is at or above the threshold but no tree carbon is entered — "&amp;"measure trees with the Forests protocol. ","")&amp;IF(AND(ISNUMBER($I56),$I56&gt;0),"Shrub figures are ABOVE-ground only; shrub roots are in neither this pool nor "&amp;"the soil core. Declare the gap. ",""))</f>
        <v/>
      </c>
      <c r="O56" s="6" t="n"/>
    </row>
    <row r="57">
      <c r="A57" s="6" t="n"/>
      <c r="B57" s="6" t="n"/>
      <c r="C57" s="6" t="n"/>
      <c r="D57" s="6" t="n"/>
      <c r="E57" s="7" t="n"/>
      <c r="F57" s="7" t="n"/>
      <c r="G57" s="9">
        <f>IF(OR(NOT(ISNUMBER($D57)),$D57=0,AND(NOT(ISNUMBER($E57)),NOT(ISNUMBER($F57)))),"",(IF(ISNUMBER($E57),$E57,0)+IF(ISNUMBER($F57),$F57,0))/$D57*CARBON_FRACTION_BIOMASS/1000)</f>
        <v/>
      </c>
      <c r="H57" s="6" t="n"/>
      <c r="I57" s="7" t="n"/>
      <c r="J57" s="9">
        <f>IF(OR(NOT(ISNUMBER($I57)),NOT(ISNUMBER($H57)),$H57=0),"",$I57*CARBON_FRACTION_BIOMASS/$H57)</f>
        <v/>
      </c>
      <c r="K57" s="6" t="n"/>
      <c r="L57" s="6" t="n"/>
      <c r="M57" s="9">
        <f>IF($A57="","",IF(ISNUMBER($G57),$G57,0)+IF(ISNUMBER($J57),$J57,0)+IF(ISNUMBER($L57),$L57,0))</f>
        <v/>
      </c>
      <c r="N57" s="11">
        <f>IF($A57="","",IF(COUNTIF('1. Plot &amp; Site Log'!$A$5:$A$64,$A57)=0,"Plot ID not in the Plot &amp; Site Log. ","")&amp;IF(OR($C57&lt;&gt;"Yes",PEAK_SEASON_SAMPLED&lt;&gt;"Yes"),"Not confirmed as peak-season. A standing crop measured off-peak is not "&amp;"comparable to anything, including your own next visit. ","")&amp;IF($B57="","No sampling date. A clip-and-weigh without a date cannot be interpreted. ","")&amp;IF(AND(ISNUMBER($K57),$K57&gt;=TREE_COVER_THRESHOLD_PCT,NOT(ISNUMBER($L57))),"Canopy cover is at or above the threshold but no tree carbon is entered — "&amp;"measure trees with the Forests protocol. ","")&amp;IF(AND(ISNUMBER($I57),$I57&gt;0),"Shrub figures are ABOVE-ground only; shrub roots are in neither this pool nor "&amp;"the soil core. Declare the gap. ",""))</f>
        <v/>
      </c>
      <c r="O57" s="6" t="n"/>
    </row>
    <row r="58">
      <c r="A58" s="6" t="n"/>
      <c r="B58" s="6" t="n"/>
      <c r="C58" s="6" t="n"/>
      <c r="D58" s="6" t="n"/>
      <c r="E58" s="7" t="n"/>
      <c r="F58" s="7" t="n"/>
      <c r="G58" s="9">
        <f>IF(OR(NOT(ISNUMBER($D58)),$D58=0,AND(NOT(ISNUMBER($E58)),NOT(ISNUMBER($F58)))),"",(IF(ISNUMBER($E58),$E58,0)+IF(ISNUMBER($F58),$F58,0))/$D58*CARBON_FRACTION_BIOMASS/1000)</f>
        <v/>
      </c>
      <c r="H58" s="6" t="n"/>
      <c r="I58" s="7" t="n"/>
      <c r="J58" s="9">
        <f>IF(OR(NOT(ISNUMBER($I58)),NOT(ISNUMBER($H58)),$H58=0),"",$I58*CARBON_FRACTION_BIOMASS/$H58)</f>
        <v/>
      </c>
      <c r="K58" s="6" t="n"/>
      <c r="L58" s="6" t="n"/>
      <c r="M58" s="9">
        <f>IF($A58="","",IF(ISNUMBER($G58),$G58,0)+IF(ISNUMBER($J58),$J58,0)+IF(ISNUMBER($L58),$L58,0))</f>
        <v/>
      </c>
      <c r="N58" s="11">
        <f>IF($A58="","",IF(COUNTIF('1. Plot &amp; Site Log'!$A$5:$A$64,$A58)=0,"Plot ID not in the Plot &amp; Site Log. ","")&amp;IF(OR($C58&lt;&gt;"Yes",PEAK_SEASON_SAMPLED&lt;&gt;"Yes"),"Not confirmed as peak-season. A standing crop measured off-peak is not "&amp;"comparable to anything, including your own next visit. ","")&amp;IF($B58="","No sampling date. A clip-and-weigh without a date cannot be interpreted. ","")&amp;IF(AND(ISNUMBER($K58),$K58&gt;=TREE_COVER_THRESHOLD_PCT,NOT(ISNUMBER($L58))),"Canopy cover is at or above the threshold but no tree carbon is entered — "&amp;"measure trees with the Forests protocol. ","")&amp;IF(AND(ISNUMBER($I58),$I58&gt;0),"Shrub figures are ABOVE-ground only; shrub roots are in neither this pool nor "&amp;"the soil core. Declare the gap. ",""))</f>
        <v/>
      </c>
      <c r="O58" s="6" t="n"/>
    </row>
    <row r="59">
      <c r="A59" s="6" t="n"/>
      <c r="B59" s="6" t="n"/>
      <c r="C59" s="6" t="n"/>
      <c r="D59" s="6" t="n"/>
      <c r="E59" s="7" t="n"/>
      <c r="F59" s="7" t="n"/>
      <c r="G59" s="9">
        <f>IF(OR(NOT(ISNUMBER($D59)),$D59=0,AND(NOT(ISNUMBER($E59)),NOT(ISNUMBER($F59)))),"",(IF(ISNUMBER($E59),$E59,0)+IF(ISNUMBER($F59),$F59,0))/$D59*CARBON_FRACTION_BIOMASS/1000)</f>
        <v/>
      </c>
      <c r="H59" s="6" t="n"/>
      <c r="I59" s="7" t="n"/>
      <c r="J59" s="9">
        <f>IF(OR(NOT(ISNUMBER($I59)),NOT(ISNUMBER($H59)),$H59=0),"",$I59*CARBON_FRACTION_BIOMASS/$H59)</f>
        <v/>
      </c>
      <c r="K59" s="6" t="n"/>
      <c r="L59" s="6" t="n"/>
      <c r="M59" s="9">
        <f>IF($A59="","",IF(ISNUMBER($G59),$G59,0)+IF(ISNUMBER($J59),$J59,0)+IF(ISNUMBER($L59),$L59,0))</f>
        <v/>
      </c>
      <c r="N59" s="11">
        <f>IF($A59="","",IF(COUNTIF('1. Plot &amp; Site Log'!$A$5:$A$64,$A59)=0,"Plot ID not in the Plot &amp; Site Log. ","")&amp;IF(OR($C59&lt;&gt;"Yes",PEAK_SEASON_SAMPLED&lt;&gt;"Yes"),"Not confirmed as peak-season. A standing crop measured off-peak is not "&amp;"comparable to anything, including your own next visit. ","")&amp;IF($B59="","No sampling date. A clip-and-weigh without a date cannot be interpreted. ","")&amp;IF(AND(ISNUMBER($K59),$K59&gt;=TREE_COVER_THRESHOLD_PCT,NOT(ISNUMBER($L59))),"Canopy cover is at or above the threshold but no tree carbon is entered — "&amp;"measure trees with the Forests protocol. ","")&amp;IF(AND(ISNUMBER($I59),$I59&gt;0),"Shrub figures are ABOVE-ground only; shrub roots are in neither this pool nor "&amp;"the soil core. Declare the gap. ",""))</f>
        <v/>
      </c>
      <c r="O59" s="6" t="n"/>
    </row>
    <row r="60">
      <c r="A60" s="6" t="n"/>
      <c r="B60" s="6" t="n"/>
      <c r="C60" s="6" t="n"/>
      <c r="D60" s="6" t="n"/>
      <c r="E60" s="7" t="n"/>
      <c r="F60" s="7" t="n"/>
      <c r="G60" s="9">
        <f>IF(OR(NOT(ISNUMBER($D60)),$D60=0,AND(NOT(ISNUMBER($E60)),NOT(ISNUMBER($F60)))),"",(IF(ISNUMBER($E60),$E60,0)+IF(ISNUMBER($F60),$F60,0))/$D60*CARBON_FRACTION_BIOMASS/1000)</f>
        <v/>
      </c>
      <c r="H60" s="6" t="n"/>
      <c r="I60" s="7" t="n"/>
      <c r="J60" s="9">
        <f>IF(OR(NOT(ISNUMBER($I60)),NOT(ISNUMBER($H60)),$H60=0),"",$I60*CARBON_FRACTION_BIOMASS/$H60)</f>
        <v/>
      </c>
      <c r="K60" s="6" t="n"/>
      <c r="L60" s="6" t="n"/>
      <c r="M60" s="9">
        <f>IF($A60="","",IF(ISNUMBER($G60),$G60,0)+IF(ISNUMBER($J60),$J60,0)+IF(ISNUMBER($L60),$L60,0))</f>
        <v/>
      </c>
      <c r="N60" s="11">
        <f>IF($A60="","",IF(COUNTIF('1. Plot &amp; Site Log'!$A$5:$A$64,$A60)=0,"Plot ID not in the Plot &amp; Site Log. ","")&amp;IF(OR($C60&lt;&gt;"Yes",PEAK_SEASON_SAMPLED&lt;&gt;"Yes"),"Not confirmed as peak-season. A standing crop measured off-peak is not "&amp;"comparable to anything, including your own next visit. ","")&amp;IF($B60="","No sampling date. A clip-and-weigh without a date cannot be interpreted. ","")&amp;IF(AND(ISNUMBER($K60),$K60&gt;=TREE_COVER_THRESHOLD_PCT,NOT(ISNUMBER($L60))),"Canopy cover is at or above the threshold but no tree carbon is entered — "&amp;"measure trees with the Forests protocol. ","")&amp;IF(AND(ISNUMBER($I60),$I60&gt;0),"Shrub figures are ABOVE-ground only; shrub roots are in neither this pool nor "&amp;"the soil core. Declare the gap. ",""))</f>
        <v/>
      </c>
      <c r="O60" s="6" t="n"/>
    </row>
    <row r="61">
      <c r="A61" s="6" t="n"/>
      <c r="B61" s="6" t="n"/>
      <c r="C61" s="6" t="n"/>
      <c r="D61" s="6" t="n"/>
      <c r="E61" s="7" t="n"/>
      <c r="F61" s="7" t="n"/>
      <c r="G61" s="9">
        <f>IF(OR(NOT(ISNUMBER($D61)),$D61=0,AND(NOT(ISNUMBER($E61)),NOT(ISNUMBER($F61)))),"",(IF(ISNUMBER($E61),$E61,0)+IF(ISNUMBER($F61),$F61,0))/$D61*CARBON_FRACTION_BIOMASS/1000)</f>
        <v/>
      </c>
      <c r="H61" s="6" t="n"/>
      <c r="I61" s="7" t="n"/>
      <c r="J61" s="9">
        <f>IF(OR(NOT(ISNUMBER($I61)),NOT(ISNUMBER($H61)),$H61=0),"",$I61*CARBON_FRACTION_BIOMASS/$H61)</f>
        <v/>
      </c>
      <c r="K61" s="6" t="n"/>
      <c r="L61" s="6" t="n"/>
      <c r="M61" s="9">
        <f>IF($A61="","",IF(ISNUMBER($G61),$G61,0)+IF(ISNUMBER($J61),$J61,0)+IF(ISNUMBER($L61),$L61,0))</f>
        <v/>
      </c>
      <c r="N61" s="11">
        <f>IF($A61="","",IF(COUNTIF('1. Plot &amp; Site Log'!$A$5:$A$64,$A61)=0,"Plot ID not in the Plot &amp; Site Log. ","")&amp;IF(OR($C61&lt;&gt;"Yes",PEAK_SEASON_SAMPLED&lt;&gt;"Yes"),"Not confirmed as peak-season. A standing crop measured off-peak is not "&amp;"comparable to anything, including your own next visit. ","")&amp;IF($B61="","No sampling date. A clip-and-weigh without a date cannot be interpreted. ","")&amp;IF(AND(ISNUMBER($K61),$K61&gt;=TREE_COVER_THRESHOLD_PCT,NOT(ISNUMBER($L61))),"Canopy cover is at or above the threshold but no tree carbon is entered — "&amp;"measure trees with the Forests protocol. ","")&amp;IF(AND(ISNUMBER($I61),$I61&gt;0),"Shrub figures are ABOVE-ground only; shrub roots are in neither this pool nor "&amp;"the soil core. Declare the gap. ",""))</f>
        <v/>
      </c>
      <c r="O61" s="6" t="n"/>
    </row>
    <row r="62">
      <c r="A62" s="6" t="n"/>
      <c r="B62" s="6" t="n"/>
      <c r="C62" s="6" t="n"/>
      <c r="D62" s="6" t="n"/>
      <c r="E62" s="7" t="n"/>
      <c r="F62" s="7" t="n"/>
      <c r="G62" s="9">
        <f>IF(OR(NOT(ISNUMBER($D62)),$D62=0,AND(NOT(ISNUMBER($E62)),NOT(ISNUMBER($F62)))),"",(IF(ISNUMBER($E62),$E62,0)+IF(ISNUMBER($F62),$F62,0))/$D62*CARBON_FRACTION_BIOMASS/1000)</f>
        <v/>
      </c>
      <c r="H62" s="6" t="n"/>
      <c r="I62" s="7" t="n"/>
      <c r="J62" s="9">
        <f>IF(OR(NOT(ISNUMBER($I62)),NOT(ISNUMBER($H62)),$H62=0),"",$I62*CARBON_FRACTION_BIOMASS/$H62)</f>
        <v/>
      </c>
      <c r="K62" s="6" t="n"/>
      <c r="L62" s="6" t="n"/>
      <c r="M62" s="9">
        <f>IF($A62="","",IF(ISNUMBER($G62),$G62,0)+IF(ISNUMBER($J62),$J62,0)+IF(ISNUMBER($L62),$L62,0))</f>
        <v/>
      </c>
      <c r="N62" s="11">
        <f>IF($A62="","",IF(COUNTIF('1. Plot &amp; Site Log'!$A$5:$A$64,$A62)=0,"Plot ID not in the Plot &amp; Site Log. ","")&amp;IF(OR($C62&lt;&gt;"Yes",PEAK_SEASON_SAMPLED&lt;&gt;"Yes"),"Not confirmed as peak-season. A standing crop measured off-peak is not "&amp;"comparable to anything, including your own next visit. ","")&amp;IF($B62="","No sampling date. A clip-and-weigh without a date cannot be interpreted. ","")&amp;IF(AND(ISNUMBER($K62),$K62&gt;=TREE_COVER_THRESHOLD_PCT,NOT(ISNUMBER($L62))),"Canopy cover is at or above the threshold but no tree carbon is entered — "&amp;"measure trees with the Forests protocol. ","")&amp;IF(AND(ISNUMBER($I62),$I62&gt;0),"Shrub figures are ABOVE-ground only; shrub roots are in neither this pool nor "&amp;"the soil core. Declare the gap. ",""))</f>
        <v/>
      </c>
      <c r="O62" s="6" t="n"/>
    </row>
    <row r="63">
      <c r="A63" s="6" t="n"/>
      <c r="B63" s="6" t="n"/>
      <c r="C63" s="6" t="n"/>
      <c r="D63" s="6" t="n"/>
      <c r="E63" s="7" t="n"/>
      <c r="F63" s="7" t="n"/>
      <c r="G63" s="9">
        <f>IF(OR(NOT(ISNUMBER($D63)),$D63=0,AND(NOT(ISNUMBER($E63)),NOT(ISNUMBER($F63)))),"",(IF(ISNUMBER($E63),$E63,0)+IF(ISNUMBER($F63),$F63,0))/$D63*CARBON_FRACTION_BIOMASS/1000)</f>
        <v/>
      </c>
      <c r="H63" s="6" t="n"/>
      <c r="I63" s="7" t="n"/>
      <c r="J63" s="9">
        <f>IF(OR(NOT(ISNUMBER($I63)),NOT(ISNUMBER($H63)),$H63=0),"",$I63*CARBON_FRACTION_BIOMASS/$H63)</f>
        <v/>
      </c>
      <c r="K63" s="6" t="n"/>
      <c r="L63" s="6" t="n"/>
      <c r="M63" s="9">
        <f>IF($A63="","",IF(ISNUMBER($G63),$G63,0)+IF(ISNUMBER($J63),$J63,0)+IF(ISNUMBER($L63),$L63,0))</f>
        <v/>
      </c>
      <c r="N63" s="11">
        <f>IF($A63="","",IF(COUNTIF('1. Plot &amp; Site Log'!$A$5:$A$64,$A63)=0,"Plot ID not in the Plot &amp; Site Log. ","")&amp;IF(OR($C63&lt;&gt;"Yes",PEAK_SEASON_SAMPLED&lt;&gt;"Yes"),"Not confirmed as peak-season. A standing crop measured off-peak is not "&amp;"comparable to anything, including your own next visit. ","")&amp;IF($B63="","No sampling date. A clip-and-weigh without a date cannot be interpreted. ","")&amp;IF(AND(ISNUMBER($K63),$K63&gt;=TREE_COVER_THRESHOLD_PCT,NOT(ISNUMBER($L63))),"Canopy cover is at or above the threshold but no tree carbon is entered — "&amp;"measure trees with the Forests protocol. ","")&amp;IF(AND(ISNUMBER($I63),$I63&gt;0),"Shrub figures are ABOVE-ground only; shrub roots are in neither this pool nor "&amp;"the soil core. Declare the gap. ",""))</f>
        <v/>
      </c>
      <c r="O63" s="6" t="n"/>
    </row>
    <row r="64">
      <c r="A64" s="6" t="n"/>
      <c r="B64" s="6" t="n"/>
      <c r="C64" s="6" t="n"/>
      <c r="D64" s="6" t="n"/>
      <c r="E64" s="7" t="n"/>
      <c r="F64" s="7" t="n"/>
      <c r="G64" s="9">
        <f>IF(OR(NOT(ISNUMBER($D64)),$D64=0,AND(NOT(ISNUMBER($E64)),NOT(ISNUMBER($F64)))),"",(IF(ISNUMBER($E64),$E64,0)+IF(ISNUMBER($F64),$F64,0))/$D64*CARBON_FRACTION_BIOMASS/1000)</f>
        <v/>
      </c>
      <c r="H64" s="6" t="n"/>
      <c r="I64" s="7" t="n"/>
      <c r="J64" s="9">
        <f>IF(OR(NOT(ISNUMBER($I64)),NOT(ISNUMBER($H64)),$H64=0),"",$I64*CARBON_FRACTION_BIOMASS/$H64)</f>
        <v/>
      </c>
      <c r="K64" s="6" t="n"/>
      <c r="L64" s="6" t="n"/>
      <c r="M64" s="9">
        <f>IF($A64="","",IF(ISNUMBER($G64),$G64,0)+IF(ISNUMBER($J64),$J64,0)+IF(ISNUMBER($L64),$L64,0))</f>
        <v/>
      </c>
      <c r="N64" s="11">
        <f>IF($A64="","",IF(COUNTIF('1. Plot &amp; Site Log'!$A$5:$A$64,$A64)=0,"Plot ID not in the Plot &amp; Site Log. ","")&amp;IF(OR($C64&lt;&gt;"Yes",PEAK_SEASON_SAMPLED&lt;&gt;"Yes"),"Not confirmed as peak-season. A standing crop measured off-peak is not "&amp;"comparable to anything, including your own next visit. ","")&amp;IF($B64="","No sampling date. A clip-and-weigh without a date cannot be interpreted. ","")&amp;IF(AND(ISNUMBER($K64),$K64&gt;=TREE_COVER_THRESHOLD_PCT,NOT(ISNUMBER($L64))),"Canopy cover is at or above the threshold but no tree carbon is entered — "&amp;"measure trees with the Forests protocol. ","")&amp;IF(AND(ISNUMBER($I64),$I64&gt;0),"Shrub figures are ABOVE-ground only; shrub roots are in neither this pool nor "&amp;"the soil core. Declare the gap. ",""))</f>
        <v/>
      </c>
      <c r="O64" s="6" t="n"/>
    </row>
  </sheetData>
  <mergeCells count="2">
    <mergeCell ref="A1:O1"/>
    <mergeCell ref="A2:O2"/>
  </mergeCells>
  <dataValidations count="1">
    <dataValidation sqref="C5:C64" showDropDown="0" showInputMessage="0" showErrorMessage="0" allowBlank="1" type="list">
      <formula1>"Yes,No,Unknown"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64"/>
  <sheetViews>
    <sheetView workbookViewId="0">
      <pane ySplit="4" topLeftCell="A5" activePane="bottomLeft" state="frozen"/>
      <selection pane="bottomLeft" activeCell="A1" sqref="A1"/>
    </sheetView>
  </sheetViews>
  <sheetFormatPr baseColWidth="8" defaultRowHeight="15"/>
  <cols>
    <col width="12" customWidth="1" min="1" max="1"/>
    <col width="10" customWidth="1" min="2" max="2"/>
    <col width="11" customWidth="1" min="3" max="3"/>
    <col width="16" customWidth="1" min="4" max="4"/>
    <col width="16" customWidth="1" min="5" max="5"/>
    <col width="13" customWidth="1" min="6" max="6"/>
    <col width="14" customWidth="1" min="7" max="7"/>
    <col width="15" customWidth="1" min="8" max="8"/>
    <col width="17" customWidth="1" min="9" max="9"/>
    <col width="17" customWidth="1" min="10" max="10"/>
    <col width="52" customWidth="1" min="11" max="11"/>
    <col hidden="1" width="9" customWidth="1" min="12" max="12"/>
    <col hidden="1" width="9" customWidth="1" min="13" max="13"/>
    <col hidden="1" width="7" customWidth="1" min="14" max="14"/>
    <col hidden="1" width="8" customWidth="1" min="15" max="15"/>
    <col hidden="1" width="8" customWidth="1" min="16" max="16"/>
    <col hidden="1" width="9" customWidth="1" min="17" max="17"/>
    <col hidden="1" width="9" customWidth="1" min="18" max="18"/>
  </cols>
  <sheetData>
    <row r="1">
      <c r="A1" s="1" t="inlineStr">
        <is>
          <t>PLOT SUMMARY</t>
        </is>
      </c>
    </row>
    <row r="2" ht="32" customHeight="1">
      <c r="A2" s="2" t="inlineStr">
        <is>
          <t>One row per plot, calculated for you. Soil carbon is reported on two bases — to the reporting depth, and to the full depth you actually cored. Root carbon is measured, not derived from a ratio.</t>
        </is>
      </c>
    </row>
    <row r="4" ht="46" customHeight="1">
      <c r="A4" s="14" t="inlineStr">
        <is>
          <t>Plot ID</t>
        </is>
      </c>
      <c r="B4" s="14" t="inlineStr">
        <is>
          <t>Site ID</t>
        </is>
      </c>
      <c r="C4" s="14" t="inlineStr">
        <is>
          <t>Increments</t>
        </is>
      </c>
      <c r="D4" s="14" t="inlineStr">
        <is>
          <t>Soil C to reporting depth (kg C/m²)</t>
        </is>
      </c>
      <c r="E4" s="14" t="inlineStr">
        <is>
          <t>Soil C, full profile (kg C/m²)</t>
        </is>
      </c>
      <c r="F4" s="14" t="inlineStr">
        <is>
          <t>Deepest increment (cm)</t>
        </is>
      </c>
      <c r="G4" s="14" t="inlineStr">
        <is>
          <t>Root C (kg C/m²)</t>
        </is>
      </c>
      <c r="H4" s="14" t="inlineStr">
        <is>
          <t>Vegetation C (kg C/m²)</t>
        </is>
      </c>
      <c r="I4" s="14" t="inlineStr">
        <is>
          <t>TOTAL to reporting depth (kg C/m²)</t>
        </is>
      </c>
      <c r="J4" s="14" t="inlineStr">
        <is>
          <t>TOTAL, full profile (kg C/m²)</t>
        </is>
      </c>
      <c r="K4" s="14" t="inlineStr">
        <is>
          <t>QC flags</t>
        </is>
      </c>
      <c r="L4" s="14" t="inlineStr">
        <is>
          <t>_soil</t>
        </is>
      </c>
      <c r="M4" s="14" t="inlineStr">
        <is>
          <t>_root</t>
        </is>
      </c>
      <c r="N4" s="14" t="inlineStr">
        <is>
          <t>_inc</t>
        </is>
      </c>
      <c r="O4" s="14" t="inlineStr">
        <is>
          <t>_cores</t>
        </is>
      </c>
      <c r="P4" s="14" t="inlineStr">
        <is>
          <t>_rootcores</t>
        </is>
      </c>
      <c r="Q4" s="14" t="inlineStr">
        <is>
          <t>_soil2</t>
        </is>
      </c>
      <c r="R4" s="14" t="inlineStr">
        <is>
          <t>_root2</t>
        </is>
      </c>
    </row>
    <row r="5">
      <c r="A5" s="10">
        <f>IF(INDEX('1. Plot &amp; Site Log'!$A$5:$A$64,1)="","",INDEX('1. Plot &amp; Site Log'!$A$5:$A$64,1))</f>
        <v/>
      </c>
      <c r="B5" s="10">
        <f>IF($A5="","",INDEX('1. Plot &amp; Site Log'!$B$5:$B$64,MATCH($A5,'1. Plot &amp; Site Log'!$A$5:$A$64,0)))</f>
        <v/>
      </c>
      <c r="C5" s="10">
        <f>IF($A5="","",COUNTIFS('2. Soil Data'!$A$5:$A$604,$A5))</f>
        <v/>
      </c>
      <c r="D5" s="10">
        <f>IF(OR($A5="",$C5=0,$O5=0),"",SUMIFS('2. Soil Data'!$R$5:$R$604,'2. Soil Data'!$A$5:$A$604,$A5)/$O5)</f>
        <v/>
      </c>
      <c r="E5" s="10">
        <f>IF(OR($A5="",$C5=0,$O5=0),"",SUMIFS('2. Soil Data'!$P$5:$P$604,'2. Soil Data'!$A$5:$A$604,$A5)/$O5)</f>
        <v/>
      </c>
      <c r="F5" s="10">
        <f>IF($A5="","",SUMPRODUCT(MAX(('2. Soil Data'!$A$5:$A$604=$A5)*IF(ISNUMBER('2. Soil Data'!$E$5:$E$604),'2. Soil Data'!$E$5:$E$604,0))))</f>
        <v/>
      </c>
      <c r="G5" s="10">
        <f>IF(OR($A5="",$P5=0),"",SUMIFS('3. Root Biomass'!$N$5:$N$904,'3. Root Biomass'!$A$5:$A$904,$A5)/$P5)</f>
        <v/>
      </c>
      <c r="H5" s="10">
        <f>IF($A5="","",IFERROR(SUMIFS('4. Vegetation Data'!$M$5:$M$64,'4. Vegetation Data'!$A$5:$A$64,$A5),""))</f>
        <v/>
      </c>
      <c r="I5" s="10">
        <f>IF($A5="","",IF(ISNUMBER($D5),$D5,0)+IF(ISNUMBER($G5),$G5,0)+IF(ISNUMBER($H5),$H5,0))</f>
        <v/>
      </c>
      <c r="J5" s="10">
        <f>IF($A5="","",IF(ISNUMBER($E5),$E5,0)+IF(ISNUMBER($G5),$G5,0)+IF(ISNUMBER($H5),$H5,0))</f>
        <v/>
      </c>
      <c r="K5" s="11">
        <f>IF($A5="","",IF($C5=0,"No soil increments for this plot — it contributes nothing. ","")&amp;IF(AND(ISNUMBER($F5),$F5&lt;SOIL_REPORTING_DEPTH_CM),"Cored shallower than the reporting depth, so the reporting-depth figure is an UNDERESTIMATE for this plot. ","")&amp;IF(AND(ISNUMBER($G5),$G5&gt;0,ISNUMBER($F5)),"Root total reaches only "&amp;$F5&amp;" cm — the bottom of the core, not the bottom of the roots. Report it as a MINIMUM. ","")&amp;IF(AND(ISNUMBER($G5),$G5&gt;0,ROOTS_REMOVED_BEFORE_SOIL_C&lt;&gt;"Yes"),"Root carbon is being added to a soil stock NOT confirmed root-free — fine-root carbon is probably counted twice. ",""))</f>
        <v/>
      </c>
      <c r="L5" s="9">
        <f>IF(ISNUMBER($D5),$D5,"")</f>
        <v/>
      </c>
      <c r="M5" s="9">
        <f>IF(ISNUMBER($G5),$G5,"")</f>
        <v/>
      </c>
      <c r="N5" s="9">
        <f>IF(AND(ISNUMBER($D5),$A5&lt;&gt;""),1,0)</f>
        <v/>
      </c>
      <c r="O5" s="9">
        <f>IF($A5="","",SUMIFS('2. Soil Data'!$U$5:$U$604,'2. Soil Data'!$A$5:$A$604,$A5))</f>
        <v/>
      </c>
      <c r="P5" s="9">
        <f>IF($A5="","",SUMIFS('3. Root Biomass'!$Q$5:$Q$904,'3. Root Biomass'!$A$5:$A$904,$A5))</f>
        <v/>
      </c>
      <c r="Q5" s="9">
        <f>IF(ISNUMBER($D5),$D5^2,"")</f>
        <v/>
      </c>
      <c r="R5" s="9">
        <f>IF(ISNUMBER($G5),$G5^2,"")</f>
        <v/>
      </c>
    </row>
    <row r="6">
      <c r="A6" s="10">
        <f>IF(INDEX('1. Plot &amp; Site Log'!$A$5:$A$64,2)="","",INDEX('1. Plot &amp; Site Log'!$A$5:$A$64,2))</f>
        <v/>
      </c>
      <c r="B6" s="10">
        <f>IF($A6="","",INDEX('1. Plot &amp; Site Log'!$B$5:$B$64,MATCH($A6,'1. Plot &amp; Site Log'!$A$5:$A$64,0)))</f>
        <v/>
      </c>
      <c r="C6" s="10">
        <f>IF($A6="","",COUNTIFS('2. Soil Data'!$A$5:$A$604,$A6))</f>
        <v/>
      </c>
      <c r="D6" s="10">
        <f>IF(OR($A6="",$C6=0,$O6=0),"",SUMIFS('2. Soil Data'!$R$5:$R$604,'2. Soil Data'!$A$5:$A$604,$A6)/$O6)</f>
        <v/>
      </c>
      <c r="E6" s="10">
        <f>IF(OR($A6="",$C6=0,$O6=0),"",SUMIFS('2. Soil Data'!$P$5:$P$604,'2. Soil Data'!$A$5:$A$604,$A6)/$O6)</f>
        <v/>
      </c>
      <c r="F6" s="10">
        <f>IF($A6="","",SUMPRODUCT(MAX(('2. Soil Data'!$A$5:$A$604=$A6)*IF(ISNUMBER('2. Soil Data'!$E$5:$E$604),'2. Soil Data'!$E$5:$E$604,0))))</f>
        <v/>
      </c>
      <c r="G6" s="10">
        <f>IF(OR($A6="",$P6=0),"",SUMIFS('3. Root Biomass'!$N$5:$N$904,'3. Root Biomass'!$A$5:$A$904,$A6)/$P6)</f>
        <v/>
      </c>
      <c r="H6" s="10">
        <f>IF($A6="","",IFERROR(SUMIFS('4. Vegetation Data'!$M$5:$M$64,'4. Vegetation Data'!$A$5:$A$64,$A6),""))</f>
        <v/>
      </c>
      <c r="I6" s="10">
        <f>IF($A6="","",IF(ISNUMBER($D6),$D6,0)+IF(ISNUMBER($G6),$G6,0)+IF(ISNUMBER($H6),$H6,0))</f>
        <v/>
      </c>
      <c r="J6" s="10">
        <f>IF($A6="","",IF(ISNUMBER($E6),$E6,0)+IF(ISNUMBER($G6),$G6,0)+IF(ISNUMBER($H6),$H6,0))</f>
        <v/>
      </c>
      <c r="K6" s="11">
        <f>IF($A6="","",IF($C6=0,"No soil increments for this plot — it contributes nothing. ","")&amp;IF(AND(ISNUMBER($F6),$F6&lt;SOIL_REPORTING_DEPTH_CM),"Cored shallower than the reporting depth, so the reporting-depth figure is an UNDERESTIMATE for this plot. ","")&amp;IF(AND(ISNUMBER($G6),$G6&gt;0,ISNUMBER($F6)),"Root total reaches only "&amp;$F6&amp;" cm — the bottom of the core, not the bottom of the roots. Report it as a MINIMUM. ","")&amp;IF(AND(ISNUMBER($G6),$G6&gt;0,ROOTS_REMOVED_BEFORE_SOIL_C&lt;&gt;"Yes"),"Root carbon is being added to a soil stock NOT confirmed root-free — fine-root carbon is probably counted twice. ",""))</f>
        <v/>
      </c>
      <c r="L6" s="9">
        <f>IF(ISNUMBER($D6),$D6,"")</f>
        <v/>
      </c>
      <c r="M6" s="9">
        <f>IF(ISNUMBER($G6),$G6,"")</f>
        <v/>
      </c>
      <c r="N6" s="9">
        <f>IF(AND(ISNUMBER($D6),$A6&lt;&gt;""),1,0)</f>
        <v/>
      </c>
      <c r="O6" s="9">
        <f>IF($A6="","",SUMIFS('2. Soil Data'!$U$5:$U$604,'2. Soil Data'!$A$5:$A$604,$A6))</f>
        <v/>
      </c>
      <c r="P6" s="9">
        <f>IF($A6="","",SUMIFS('3. Root Biomass'!$Q$5:$Q$904,'3. Root Biomass'!$A$5:$A$904,$A6))</f>
        <v/>
      </c>
      <c r="Q6" s="9">
        <f>IF(ISNUMBER($D6),$D6^2,"")</f>
        <v/>
      </c>
      <c r="R6" s="9">
        <f>IF(ISNUMBER($G6),$G6^2,"")</f>
        <v/>
      </c>
    </row>
    <row r="7">
      <c r="A7" s="10">
        <f>IF(INDEX('1. Plot &amp; Site Log'!$A$5:$A$64,3)="","",INDEX('1. Plot &amp; Site Log'!$A$5:$A$64,3))</f>
        <v/>
      </c>
      <c r="B7" s="10">
        <f>IF($A7="","",INDEX('1. Plot &amp; Site Log'!$B$5:$B$64,MATCH($A7,'1. Plot &amp; Site Log'!$A$5:$A$64,0)))</f>
        <v/>
      </c>
      <c r="C7" s="10">
        <f>IF($A7="","",COUNTIFS('2. Soil Data'!$A$5:$A$604,$A7))</f>
        <v/>
      </c>
      <c r="D7" s="10">
        <f>IF(OR($A7="",$C7=0,$O7=0),"",SUMIFS('2. Soil Data'!$R$5:$R$604,'2. Soil Data'!$A$5:$A$604,$A7)/$O7)</f>
        <v/>
      </c>
      <c r="E7" s="10">
        <f>IF(OR($A7="",$C7=0,$O7=0),"",SUMIFS('2. Soil Data'!$P$5:$P$604,'2. Soil Data'!$A$5:$A$604,$A7)/$O7)</f>
        <v/>
      </c>
      <c r="F7" s="10">
        <f>IF($A7="","",SUMPRODUCT(MAX(('2. Soil Data'!$A$5:$A$604=$A7)*IF(ISNUMBER('2. Soil Data'!$E$5:$E$604),'2. Soil Data'!$E$5:$E$604,0))))</f>
        <v/>
      </c>
      <c r="G7" s="10">
        <f>IF(OR($A7="",$P7=0),"",SUMIFS('3. Root Biomass'!$N$5:$N$904,'3. Root Biomass'!$A$5:$A$904,$A7)/$P7)</f>
        <v/>
      </c>
      <c r="H7" s="10">
        <f>IF($A7="","",IFERROR(SUMIFS('4. Vegetation Data'!$M$5:$M$64,'4. Vegetation Data'!$A$5:$A$64,$A7),""))</f>
        <v/>
      </c>
      <c r="I7" s="10">
        <f>IF($A7="","",IF(ISNUMBER($D7),$D7,0)+IF(ISNUMBER($G7),$G7,0)+IF(ISNUMBER($H7),$H7,0))</f>
        <v/>
      </c>
      <c r="J7" s="10">
        <f>IF($A7="","",IF(ISNUMBER($E7),$E7,0)+IF(ISNUMBER($G7),$G7,0)+IF(ISNUMBER($H7),$H7,0))</f>
        <v/>
      </c>
      <c r="K7" s="11">
        <f>IF($A7="","",IF($C7=0,"No soil increments for this plot — it contributes nothing. ","")&amp;IF(AND(ISNUMBER($F7),$F7&lt;SOIL_REPORTING_DEPTH_CM),"Cored shallower than the reporting depth, so the reporting-depth figure is an UNDERESTIMATE for this plot. ","")&amp;IF(AND(ISNUMBER($G7),$G7&gt;0,ISNUMBER($F7)),"Root total reaches only "&amp;$F7&amp;" cm — the bottom of the core, not the bottom of the roots. Report it as a MINIMUM. ","")&amp;IF(AND(ISNUMBER($G7),$G7&gt;0,ROOTS_REMOVED_BEFORE_SOIL_C&lt;&gt;"Yes"),"Root carbon is being added to a soil stock NOT confirmed root-free — fine-root carbon is probably counted twice. ",""))</f>
        <v/>
      </c>
      <c r="L7" s="9">
        <f>IF(ISNUMBER($D7),$D7,"")</f>
        <v/>
      </c>
      <c r="M7" s="9">
        <f>IF(ISNUMBER($G7),$G7,"")</f>
        <v/>
      </c>
      <c r="N7" s="9">
        <f>IF(AND(ISNUMBER($D7),$A7&lt;&gt;""),1,0)</f>
        <v/>
      </c>
      <c r="O7" s="9">
        <f>IF($A7="","",SUMIFS('2. Soil Data'!$U$5:$U$604,'2. Soil Data'!$A$5:$A$604,$A7))</f>
        <v/>
      </c>
      <c r="P7" s="9">
        <f>IF($A7="","",SUMIFS('3. Root Biomass'!$Q$5:$Q$904,'3. Root Biomass'!$A$5:$A$904,$A7))</f>
        <v/>
      </c>
      <c r="Q7" s="9">
        <f>IF(ISNUMBER($D7),$D7^2,"")</f>
        <v/>
      </c>
      <c r="R7" s="9">
        <f>IF(ISNUMBER($G7),$G7^2,"")</f>
        <v/>
      </c>
    </row>
    <row r="8">
      <c r="A8" s="10">
        <f>IF(INDEX('1. Plot &amp; Site Log'!$A$5:$A$64,4)="","",INDEX('1. Plot &amp; Site Log'!$A$5:$A$64,4))</f>
        <v/>
      </c>
      <c r="B8" s="10">
        <f>IF($A8="","",INDEX('1. Plot &amp; Site Log'!$B$5:$B$64,MATCH($A8,'1. Plot &amp; Site Log'!$A$5:$A$64,0)))</f>
        <v/>
      </c>
      <c r="C8" s="10">
        <f>IF($A8="","",COUNTIFS('2. Soil Data'!$A$5:$A$604,$A8))</f>
        <v/>
      </c>
      <c r="D8" s="10">
        <f>IF(OR($A8="",$C8=0,$O8=0),"",SUMIFS('2. Soil Data'!$R$5:$R$604,'2. Soil Data'!$A$5:$A$604,$A8)/$O8)</f>
        <v/>
      </c>
      <c r="E8" s="10">
        <f>IF(OR($A8="",$C8=0,$O8=0),"",SUMIFS('2. Soil Data'!$P$5:$P$604,'2. Soil Data'!$A$5:$A$604,$A8)/$O8)</f>
        <v/>
      </c>
      <c r="F8" s="10">
        <f>IF($A8="","",SUMPRODUCT(MAX(('2. Soil Data'!$A$5:$A$604=$A8)*IF(ISNUMBER('2. Soil Data'!$E$5:$E$604),'2. Soil Data'!$E$5:$E$604,0))))</f>
        <v/>
      </c>
      <c r="G8" s="10">
        <f>IF(OR($A8="",$P8=0),"",SUMIFS('3. Root Biomass'!$N$5:$N$904,'3. Root Biomass'!$A$5:$A$904,$A8)/$P8)</f>
        <v/>
      </c>
      <c r="H8" s="10">
        <f>IF($A8="","",IFERROR(SUMIFS('4. Vegetation Data'!$M$5:$M$64,'4. Vegetation Data'!$A$5:$A$64,$A8),""))</f>
        <v/>
      </c>
      <c r="I8" s="10">
        <f>IF($A8="","",IF(ISNUMBER($D8),$D8,0)+IF(ISNUMBER($G8),$G8,0)+IF(ISNUMBER($H8),$H8,0))</f>
        <v/>
      </c>
      <c r="J8" s="10">
        <f>IF($A8="","",IF(ISNUMBER($E8),$E8,0)+IF(ISNUMBER($G8),$G8,0)+IF(ISNUMBER($H8),$H8,0))</f>
        <v/>
      </c>
      <c r="K8" s="11">
        <f>IF($A8="","",IF($C8=0,"No soil increments for this plot — it contributes nothing. ","")&amp;IF(AND(ISNUMBER($F8),$F8&lt;SOIL_REPORTING_DEPTH_CM),"Cored shallower than the reporting depth, so the reporting-depth figure is an UNDERESTIMATE for this plot. ","")&amp;IF(AND(ISNUMBER($G8),$G8&gt;0,ISNUMBER($F8)),"Root total reaches only "&amp;$F8&amp;" cm — the bottom of the core, not the bottom of the roots. Report it as a MINIMUM. ","")&amp;IF(AND(ISNUMBER($G8),$G8&gt;0,ROOTS_REMOVED_BEFORE_SOIL_C&lt;&gt;"Yes"),"Root carbon is being added to a soil stock NOT confirmed root-free — fine-root carbon is probably counted twice. ",""))</f>
        <v/>
      </c>
      <c r="L8" s="9">
        <f>IF(ISNUMBER($D8),$D8,"")</f>
        <v/>
      </c>
      <c r="M8" s="9">
        <f>IF(ISNUMBER($G8),$G8,"")</f>
        <v/>
      </c>
      <c r="N8" s="9">
        <f>IF(AND(ISNUMBER($D8),$A8&lt;&gt;""),1,0)</f>
        <v/>
      </c>
      <c r="O8" s="9">
        <f>IF($A8="","",SUMIFS('2. Soil Data'!$U$5:$U$604,'2. Soil Data'!$A$5:$A$604,$A8))</f>
        <v/>
      </c>
      <c r="P8" s="9">
        <f>IF($A8="","",SUMIFS('3. Root Biomass'!$Q$5:$Q$904,'3. Root Biomass'!$A$5:$A$904,$A8))</f>
        <v/>
      </c>
      <c r="Q8" s="9">
        <f>IF(ISNUMBER($D8),$D8^2,"")</f>
        <v/>
      </c>
      <c r="R8" s="9">
        <f>IF(ISNUMBER($G8),$G8^2,"")</f>
        <v/>
      </c>
    </row>
    <row r="9">
      <c r="A9" s="10">
        <f>IF(INDEX('1. Plot &amp; Site Log'!$A$5:$A$64,5)="","",INDEX('1. Plot &amp; Site Log'!$A$5:$A$64,5))</f>
        <v/>
      </c>
      <c r="B9" s="10">
        <f>IF($A9="","",INDEX('1. Plot &amp; Site Log'!$B$5:$B$64,MATCH($A9,'1. Plot &amp; Site Log'!$A$5:$A$64,0)))</f>
        <v/>
      </c>
      <c r="C9" s="10">
        <f>IF($A9="","",COUNTIFS('2. Soil Data'!$A$5:$A$604,$A9))</f>
        <v/>
      </c>
      <c r="D9" s="10">
        <f>IF(OR($A9="",$C9=0,$O9=0),"",SUMIFS('2. Soil Data'!$R$5:$R$604,'2. Soil Data'!$A$5:$A$604,$A9)/$O9)</f>
        <v/>
      </c>
      <c r="E9" s="10">
        <f>IF(OR($A9="",$C9=0,$O9=0),"",SUMIFS('2. Soil Data'!$P$5:$P$604,'2. Soil Data'!$A$5:$A$604,$A9)/$O9)</f>
        <v/>
      </c>
      <c r="F9" s="10">
        <f>IF($A9="","",SUMPRODUCT(MAX(('2. Soil Data'!$A$5:$A$604=$A9)*IF(ISNUMBER('2. Soil Data'!$E$5:$E$604),'2. Soil Data'!$E$5:$E$604,0))))</f>
        <v/>
      </c>
      <c r="G9" s="10">
        <f>IF(OR($A9="",$P9=0),"",SUMIFS('3. Root Biomass'!$N$5:$N$904,'3. Root Biomass'!$A$5:$A$904,$A9)/$P9)</f>
        <v/>
      </c>
      <c r="H9" s="10">
        <f>IF($A9="","",IFERROR(SUMIFS('4. Vegetation Data'!$M$5:$M$64,'4. Vegetation Data'!$A$5:$A$64,$A9),""))</f>
        <v/>
      </c>
      <c r="I9" s="10">
        <f>IF($A9="","",IF(ISNUMBER($D9),$D9,0)+IF(ISNUMBER($G9),$G9,0)+IF(ISNUMBER($H9),$H9,0))</f>
        <v/>
      </c>
      <c r="J9" s="10">
        <f>IF($A9="","",IF(ISNUMBER($E9),$E9,0)+IF(ISNUMBER($G9),$G9,0)+IF(ISNUMBER($H9),$H9,0))</f>
        <v/>
      </c>
      <c r="K9" s="11">
        <f>IF($A9="","",IF($C9=0,"No soil increments for this plot — it contributes nothing. ","")&amp;IF(AND(ISNUMBER($F9),$F9&lt;SOIL_REPORTING_DEPTH_CM),"Cored shallower than the reporting depth, so the reporting-depth figure is an UNDERESTIMATE for this plot. ","")&amp;IF(AND(ISNUMBER($G9),$G9&gt;0,ISNUMBER($F9)),"Root total reaches only "&amp;$F9&amp;" cm — the bottom of the core, not the bottom of the roots. Report it as a MINIMUM. ","")&amp;IF(AND(ISNUMBER($G9),$G9&gt;0,ROOTS_REMOVED_BEFORE_SOIL_C&lt;&gt;"Yes"),"Root carbon is being added to a soil stock NOT confirmed root-free — fine-root carbon is probably counted twice. ",""))</f>
        <v/>
      </c>
      <c r="L9" s="9">
        <f>IF(ISNUMBER($D9),$D9,"")</f>
        <v/>
      </c>
      <c r="M9" s="9">
        <f>IF(ISNUMBER($G9),$G9,"")</f>
        <v/>
      </c>
      <c r="N9" s="9">
        <f>IF(AND(ISNUMBER($D9),$A9&lt;&gt;""),1,0)</f>
        <v/>
      </c>
      <c r="O9" s="9">
        <f>IF($A9="","",SUMIFS('2. Soil Data'!$U$5:$U$604,'2. Soil Data'!$A$5:$A$604,$A9))</f>
        <v/>
      </c>
      <c r="P9" s="9">
        <f>IF($A9="","",SUMIFS('3. Root Biomass'!$Q$5:$Q$904,'3. Root Biomass'!$A$5:$A$904,$A9))</f>
        <v/>
      </c>
      <c r="Q9" s="9">
        <f>IF(ISNUMBER($D9),$D9^2,"")</f>
        <v/>
      </c>
      <c r="R9" s="9">
        <f>IF(ISNUMBER($G9),$G9^2,"")</f>
        <v/>
      </c>
    </row>
    <row r="10">
      <c r="A10" s="10">
        <f>IF(INDEX('1. Plot &amp; Site Log'!$A$5:$A$64,6)="","",INDEX('1. Plot &amp; Site Log'!$A$5:$A$64,6))</f>
        <v/>
      </c>
      <c r="B10" s="10">
        <f>IF($A10="","",INDEX('1. Plot &amp; Site Log'!$B$5:$B$64,MATCH($A10,'1. Plot &amp; Site Log'!$A$5:$A$64,0)))</f>
        <v/>
      </c>
      <c r="C10" s="10">
        <f>IF($A10="","",COUNTIFS('2. Soil Data'!$A$5:$A$604,$A10))</f>
        <v/>
      </c>
      <c r="D10" s="10">
        <f>IF(OR($A10="",$C10=0,$O10=0),"",SUMIFS('2. Soil Data'!$R$5:$R$604,'2. Soil Data'!$A$5:$A$604,$A10)/$O10)</f>
        <v/>
      </c>
      <c r="E10" s="10">
        <f>IF(OR($A10="",$C10=0,$O10=0),"",SUMIFS('2. Soil Data'!$P$5:$P$604,'2. Soil Data'!$A$5:$A$604,$A10)/$O10)</f>
        <v/>
      </c>
      <c r="F10" s="10">
        <f>IF($A10="","",SUMPRODUCT(MAX(('2. Soil Data'!$A$5:$A$604=$A10)*IF(ISNUMBER('2. Soil Data'!$E$5:$E$604),'2. Soil Data'!$E$5:$E$604,0))))</f>
        <v/>
      </c>
      <c r="G10" s="10">
        <f>IF(OR($A10="",$P10=0),"",SUMIFS('3. Root Biomass'!$N$5:$N$904,'3. Root Biomass'!$A$5:$A$904,$A10)/$P10)</f>
        <v/>
      </c>
      <c r="H10" s="10">
        <f>IF($A10="","",IFERROR(SUMIFS('4. Vegetation Data'!$M$5:$M$64,'4. Vegetation Data'!$A$5:$A$64,$A10),""))</f>
        <v/>
      </c>
      <c r="I10" s="10">
        <f>IF($A10="","",IF(ISNUMBER($D10),$D10,0)+IF(ISNUMBER($G10),$G10,0)+IF(ISNUMBER($H10),$H10,0))</f>
        <v/>
      </c>
      <c r="J10" s="10">
        <f>IF($A10="","",IF(ISNUMBER($E10),$E10,0)+IF(ISNUMBER($G10),$G10,0)+IF(ISNUMBER($H10),$H10,0))</f>
        <v/>
      </c>
      <c r="K10" s="11">
        <f>IF($A10="","",IF($C10=0,"No soil increments for this plot — it contributes nothing. ","")&amp;IF(AND(ISNUMBER($F10),$F10&lt;SOIL_REPORTING_DEPTH_CM),"Cored shallower than the reporting depth, so the reporting-depth figure is an UNDERESTIMATE for this plot. ","")&amp;IF(AND(ISNUMBER($G10),$G10&gt;0,ISNUMBER($F10)),"Root total reaches only "&amp;$F10&amp;" cm — the bottom of the core, not the bottom of the roots. Report it as a MINIMUM. ","")&amp;IF(AND(ISNUMBER($G10),$G10&gt;0,ROOTS_REMOVED_BEFORE_SOIL_C&lt;&gt;"Yes"),"Root carbon is being added to a soil stock NOT confirmed root-free — fine-root carbon is probably counted twice. ",""))</f>
        <v/>
      </c>
      <c r="L10" s="9">
        <f>IF(ISNUMBER($D10),$D10,"")</f>
        <v/>
      </c>
      <c r="M10" s="9">
        <f>IF(ISNUMBER($G10),$G10,"")</f>
        <v/>
      </c>
      <c r="N10" s="9">
        <f>IF(AND(ISNUMBER($D10),$A10&lt;&gt;""),1,0)</f>
        <v/>
      </c>
      <c r="O10" s="9">
        <f>IF($A10="","",SUMIFS('2. Soil Data'!$U$5:$U$604,'2. Soil Data'!$A$5:$A$604,$A10))</f>
        <v/>
      </c>
      <c r="P10" s="9">
        <f>IF($A10="","",SUMIFS('3. Root Biomass'!$Q$5:$Q$904,'3. Root Biomass'!$A$5:$A$904,$A10))</f>
        <v/>
      </c>
      <c r="Q10" s="9">
        <f>IF(ISNUMBER($D10),$D10^2,"")</f>
        <v/>
      </c>
      <c r="R10" s="9">
        <f>IF(ISNUMBER($G10),$G10^2,"")</f>
        <v/>
      </c>
    </row>
    <row r="11">
      <c r="A11" s="10">
        <f>IF(INDEX('1. Plot &amp; Site Log'!$A$5:$A$64,7)="","",INDEX('1. Plot &amp; Site Log'!$A$5:$A$64,7))</f>
        <v/>
      </c>
      <c r="B11" s="10">
        <f>IF($A11="","",INDEX('1. Plot &amp; Site Log'!$B$5:$B$64,MATCH($A11,'1. Plot &amp; Site Log'!$A$5:$A$64,0)))</f>
        <v/>
      </c>
      <c r="C11" s="10">
        <f>IF($A11="","",COUNTIFS('2. Soil Data'!$A$5:$A$604,$A11))</f>
        <v/>
      </c>
      <c r="D11" s="10">
        <f>IF(OR($A11="",$C11=0,$O11=0),"",SUMIFS('2. Soil Data'!$R$5:$R$604,'2. Soil Data'!$A$5:$A$604,$A11)/$O11)</f>
        <v/>
      </c>
      <c r="E11" s="10">
        <f>IF(OR($A11="",$C11=0,$O11=0),"",SUMIFS('2. Soil Data'!$P$5:$P$604,'2. Soil Data'!$A$5:$A$604,$A11)/$O11)</f>
        <v/>
      </c>
      <c r="F11" s="10">
        <f>IF($A11="","",SUMPRODUCT(MAX(('2. Soil Data'!$A$5:$A$604=$A11)*IF(ISNUMBER('2. Soil Data'!$E$5:$E$604),'2. Soil Data'!$E$5:$E$604,0))))</f>
        <v/>
      </c>
      <c r="G11" s="10">
        <f>IF(OR($A11="",$P11=0),"",SUMIFS('3. Root Biomass'!$N$5:$N$904,'3. Root Biomass'!$A$5:$A$904,$A11)/$P11)</f>
        <v/>
      </c>
      <c r="H11" s="10">
        <f>IF($A11="","",IFERROR(SUMIFS('4. Vegetation Data'!$M$5:$M$64,'4. Vegetation Data'!$A$5:$A$64,$A11),""))</f>
        <v/>
      </c>
      <c r="I11" s="10">
        <f>IF($A11="","",IF(ISNUMBER($D11),$D11,0)+IF(ISNUMBER($G11),$G11,0)+IF(ISNUMBER($H11),$H11,0))</f>
        <v/>
      </c>
      <c r="J11" s="10">
        <f>IF($A11="","",IF(ISNUMBER($E11),$E11,0)+IF(ISNUMBER($G11),$G11,0)+IF(ISNUMBER($H11),$H11,0))</f>
        <v/>
      </c>
      <c r="K11" s="11">
        <f>IF($A11="","",IF($C11=0,"No soil increments for this plot — it contributes nothing. ","")&amp;IF(AND(ISNUMBER($F11),$F11&lt;SOIL_REPORTING_DEPTH_CM),"Cored shallower than the reporting depth, so the reporting-depth figure is an UNDERESTIMATE for this plot. ","")&amp;IF(AND(ISNUMBER($G11),$G11&gt;0,ISNUMBER($F11)),"Root total reaches only "&amp;$F11&amp;" cm — the bottom of the core, not the bottom of the roots. Report it as a MINIMUM. ","")&amp;IF(AND(ISNUMBER($G11),$G11&gt;0,ROOTS_REMOVED_BEFORE_SOIL_C&lt;&gt;"Yes"),"Root carbon is being added to a soil stock NOT confirmed root-free — fine-root carbon is probably counted twice. ",""))</f>
        <v/>
      </c>
      <c r="L11" s="9">
        <f>IF(ISNUMBER($D11),$D11,"")</f>
        <v/>
      </c>
      <c r="M11" s="9">
        <f>IF(ISNUMBER($G11),$G11,"")</f>
        <v/>
      </c>
      <c r="N11" s="9">
        <f>IF(AND(ISNUMBER($D11),$A11&lt;&gt;""),1,0)</f>
        <v/>
      </c>
      <c r="O11" s="9">
        <f>IF($A11="","",SUMIFS('2. Soil Data'!$U$5:$U$604,'2. Soil Data'!$A$5:$A$604,$A11))</f>
        <v/>
      </c>
      <c r="P11" s="9">
        <f>IF($A11="","",SUMIFS('3. Root Biomass'!$Q$5:$Q$904,'3. Root Biomass'!$A$5:$A$904,$A11))</f>
        <v/>
      </c>
      <c r="Q11" s="9">
        <f>IF(ISNUMBER($D11),$D11^2,"")</f>
        <v/>
      </c>
      <c r="R11" s="9">
        <f>IF(ISNUMBER($G11),$G11^2,"")</f>
        <v/>
      </c>
    </row>
    <row r="12">
      <c r="A12" s="10">
        <f>IF(INDEX('1. Plot &amp; Site Log'!$A$5:$A$64,8)="","",INDEX('1. Plot &amp; Site Log'!$A$5:$A$64,8))</f>
        <v/>
      </c>
      <c r="B12" s="10">
        <f>IF($A12="","",INDEX('1. Plot &amp; Site Log'!$B$5:$B$64,MATCH($A12,'1. Plot &amp; Site Log'!$A$5:$A$64,0)))</f>
        <v/>
      </c>
      <c r="C12" s="10">
        <f>IF($A12="","",COUNTIFS('2. Soil Data'!$A$5:$A$604,$A12))</f>
        <v/>
      </c>
      <c r="D12" s="10">
        <f>IF(OR($A12="",$C12=0,$O12=0),"",SUMIFS('2. Soil Data'!$R$5:$R$604,'2. Soil Data'!$A$5:$A$604,$A12)/$O12)</f>
        <v/>
      </c>
      <c r="E12" s="10">
        <f>IF(OR($A12="",$C12=0,$O12=0),"",SUMIFS('2. Soil Data'!$P$5:$P$604,'2. Soil Data'!$A$5:$A$604,$A12)/$O12)</f>
        <v/>
      </c>
      <c r="F12" s="10">
        <f>IF($A12="","",SUMPRODUCT(MAX(('2. Soil Data'!$A$5:$A$604=$A12)*IF(ISNUMBER('2. Soil Data'!$E$5:$E$604),'2. Soil Data'!$E$5:$E$604,0))))</f>
        <v/>
      </c>
      <c r="G12" s="10">
        <f>IF(OR($A12="",$P12=0),"",SUMIFS('3. Root Biomass'!$N$5:$N$904,'3. Root Biomass'!$A$5:$A$904,$A12)/$P12)</f>
        <v/>
      </c>
      <c r="H12" s="10">
        <f>IF($A12="","",IFERROR(SUMIFS('4. Vegetation Data'!$M$5:$M$64,'4. Vegetation Data'!$A$5:$A$64,$A12),""))</f>
        <v/>
      </c>
      <c r="I12" s="10">
        <f>IF($A12="","",IF(ISNUMBER($D12),$D12,0)+IF(ISNUMBER($G12),$G12,0)+IF(ISNUMBER($H12),$H12,0))</f>
        <v/>
      </c>
      <c r="J12" s="10">
        <f>IF($A12="","",IF(ISNUMBER($E12),$E12,0)+IF(ISNUMBER($G12),$G12,0)+IF(ISNUMBER($H12),$H12,0))</f>
        <v/>
      </c>
      <c r="K12" s="11">
        <f>IF($A12="","",IF($C12=0,"No soil increments for this plot — it contributes nothing. ","")&amp;IF(AND(ISNUMBER($F12),$F12&lt;SOIL_REPORTING_DEPTH_CM),"Cored shallower than the reporting depth, so the reporting-depth figure is an UNDERESTIMATE for this plot. ","")&amp;IF(AND(ISNUMBER($G12),$G12&gt;0,ISNUMBER($F12)),"Root total reaches only "&amp;$F12&amp;" cm — the bottom of the core, not the bottom of the roots. Report it as a MINIMUM. ","")&amp;IF(AND(ISNUMBER($G12),$G12&gt;0,ROOTS_REMOVED_BEFORE_SOIL_C&lt;&gt;"Yes"),"Root carbon is being added to a soil stock NOT confirmed root-free — fine-root carbon is probably counted twice. ",""))</f>
        <v/>
      </c>
      <c r="L12" s="9">
        <f>IF(ISNUMBER($D12),$D12,"")</f>
        <v/>
      </c>
      <c r="M12" s="9">
        <f>IF(ISNUMBER($G12),$G12,"")</f>
        <v/>
      </c>
      <c r="N12" s="9">
        <f>IF(AND(ISNUMBER($D12),$A12&lt;&gt;""),1,0)</f>
        <v/>
      </c>
      <c r="O12" s="9">
        <f>IF($A12="","",SUMIFS('2. Soil Data'!$U$5:$U$604,'2. Soil Data'!$A$5:$A$604,$A12))</f>
        <v/>
      </c>
      <c r="P12" s="9">
        <f>IF($A12="","",SUMIFS('3. Root Biomass'!$Q$5:$Q$904,'3. Root Biomass'!$A$5:$A$904,$A12))</f>
        <v/>
      </c>
      <c r="Q12" s="9">
        <f>IF(ISNUMBER($D12),$D12^2,"")</f>
        <v/>
      </c>
      <c r="R12" s="9">
        <f>IF(ISNUMBER($G12),$G12^2,"")</f>
        <v/>
      </c>
    </row>
    <row r="13">
      <c r="A13" s="10">
        <f>IF(INDEX('1. Plot &amp; Site Log'!$A$5:$A$64,9)="","",INDEX('1. Plot &amp; Site Log'!$A$5:$A$64,9))</f>
        <v/>
      </c>
      <c r="B13" s="10">
        <f>IF($A13="","",INDEX('1. Plot &amp; Site Log'!$B$5:$B$64,MATCH($A13,'1. Plot &amp; Site Log'!$A$5:$A$64,0)))</f>
        <v/>
      </c>
      <c r="C13" s="10">
        <f>IF($A13="","",COUNTIFS('2. Soil Data'!$A$5:$A$604,$A13))</f>
        <v/>
      </c>
      <c r="D13" s="10">
        <f>IF(OR($A13="",$C13=0,$O13=0),"",SUMIFS('2. Soil Data'!$R$5:$R$604,'2. Soil Data'!$A$5:$A$604,$A13)/$O13)</f>
        <v/>
      </c>
      <c r="E13" s="10">
        <f>IF(OR($A13="",$C13=0,$O13=0),"",SUMIFS('2. Soil Data'!$P$5:$P$604,'2. Soil Data'!$A$5:$A$604,$A13)/$O13)</f>
        <v/>
      </c>
      <c r="F13" s="10">
        <f>IF($A13="","",SUMPRODUCT(MAX(('2. Soil Data'!$A$5:$A$604=$A13)*IF(ISNUMBER('2. Soil Data'!$E$5:$E$604),'2. Soil Data'!$E$5:$E$604,0))))</f>
        <v/>
      </c>
      <c r="G13" s="10">
        <f>IF(OR($A13="",$P13=0),"",SUMIFS('3. Root Biomass'!$N$5:$N$904,'3. Root Biomass'!$A$5:$A$904,$A13)/$P13)</f>
        <v/>
      </c>
      <c r="H13" s="10">
        <f>IF($A13="","",IFERROR(SUMIFS('4. Vegetation Data'!$M$5:$M$64,'4. Vegetation Data'!$A$5:$A$64,$A13),""))</f>
        <v/>
      </c>
      <c r="I13" s="10">
        <f>IF($A13="","",IF(ISNUMBER($D13),$D13,0)+IF(ISNUMBER($G13),$G13,0)+IF(ISNUMBER($H13),$H13,0))</f>
        <v/>
      </c>
      <c r="J13" s="10">
        <f>IF($A13="","",IF(ISNUMBER($E13),$E13,0)+IF(ISNUMBER($G13),$G13,0)+IF(ISNUMBER($H13),$H13,0))</f>
        <v/>
      </c>
      <c r="K13" s="11">
        <f>IF($A13="","",IF($C13=0,"No soil increments for this plot — it contributes nothing. ","")&amp;IF(AND(ISNUMBER($F13),$F13&lt;SOIL_REPORTING_DEPTH_CM),"Cored shallower than the reporting depth, so the reporting-depth figure is an UNDERESTIMATE for this plot. ","")&amp;IF(AND(ISNUMBER($G13),$G13&gt;0,ISNUMBER($F13)),"Root total reaches only "&amp;$F13&amp;" cm — the bottom of the core, not the bottom of the roots. Report it as a MINIMUM. ","")&amp;IF(AND(ISNUMBER($G13),$G13&gt;0,ROOTS_REMOVED_BEFORE_SOIL_C&lt;&gt;"Yes"),"Root carbon is being added to a soil stock NOT confirmed root-free — fine-root carbon is probably counted twice. ",""))</f>
        <v/>
      </c>
      <c r="L13" s="9">
        <f>IF(ISNUMBER($D13),$D13,"")</f>
        <v/>
      </c>
      <c r="M13" s="9">
        <f>IF(ISNUMBER($G13),$G13,"")</f>
        <v/>
      </c>
      <c r="N13" s="9">
        <f>IF(AND(ISNUMBER($D13),$A13&lt;&gt;""),1,0)</f>
        <v/>
      </c>
      <c r="O13" s="9">
        <f>IF($A13="","",SUMIFS('2. Soil Data'!$U$5:$U$604,'2. Soil Data'!$A$5:$A$604,$A13))</f>
        <v/>
      </c>
      <c r="P13" s="9">
        <f>IF($A13="","",SUMIFS('3. Root Biomass'!$Q$5:$Q$904,'3. Root Biomass'!$A$5:$A$904,$A13))</f>
        <v/>
      </c>
      <c r="Q13" s="9">
        <f>IF(ISNUMBER($D13),$D13^2,"")</f>
        <v/>
      </c>
      <c r="R13" s="9">
        <f>IF(ISNUMBER($G13),$G13^2,"")</f>
        <v/>
      </c>
    </row>
    <row r="14">
      <c r="A14" s="10">
        <f>IF(INDEX('1. Plot &amp; Site Log'!$A$5:$A$64,10)="","",INDEX('1. Plot &amp; Site Log'!$A$5:$A$64,10))</f>
        <v/>
      </c>
      <c r="B14" s="10">
        <f>IF($A14="","",INDEX('1. Plot &amp; Site Log'!$B$5:$B$64,MATCH($A14,'1. Plot &amp; Site Log'!$A$5:$A$64,0)))</f>
        <v/>
      </c>
      <c r="C14" s="10">
        <f>IF($A14="","",COUNTIFS('2. Soil Data'!$A$5:$A$604,$A14))</f>
        <v/>
      </c>
      <c r="D14" s="10">
        <f>IF(OR($A14="",$C14=0,$O14=0),"",SUMIFS('2. Soil Data'!$R$5:$R$604,'2. Soil Data'!$A$5:$A$604,$A14)/$O14)</f>
        <v/>
      </c>
      <c r="E14" s="10">
        <f>IF(OR($A14="",$C14=0,$O14=0),"",SUMIFS('2. Soil Data'!$P$5:$P$604,'2. Soil Data'!$A$5:$A$604,$A14)/$O14)</f>
        <v/>
      </c>
      <c r="F14" s="10">
        <f>IF($A14="","",SUMPRODUCT(MAX(('2. Soil Data'!$A$5:$A$604=$A14)*IF(ISNUMBER('2. Soil Data'!$E$5:$E$604),'2. Soil Data'!$E$5:$E$604,0))))</f>
        <v/>
      </c>
      <c r="G14" s="10">
        <f>IF(OR($A14="",$P14=0),"",SUMIFS('3. Root Biomass'!$N$5:$N$904,'3. Root Biomass'!$A$5:$A$904,$A14)/$P14)</f>
        <v/>
      </c>
      <c r="H14" s="10">
        <f>IF($A14="","",IFERROR(SUMIFS('4. Vegetation Data'!$M$5:$M$64,'4. Vegetation Data'!$A$5:$A$64,$A14),""))</f>
        <v/>
      </c>
      <c r="I14" s="10">
        <f>IF($A14="","",IF(ISNUMBER($D14),$D14,0)+IF(ISNUMBER($G14),$G14,0)+IF(ISNUMBER($H14),$H14,0))</f>
        <v/>
      </c>
      <c r="J14" s="10">
        <f>IF($A14="","",IF(ISNUMBER($E14),$E14,0)+IF(ISNUMBER($G14),$G14,0)+IF(ISNUMBER($H14),$H14,0))</f>
        <v/>
      </c>
      <c r="K14" s="11">
        <f>IF($A14="","",IF($C14=0,"No soil increments for this plot — it contributes nothing. ","")&amp;IF(AND(ISNUMBER($F14),$F14&lt;SOIL_REPORTING_DEPTH_CM),"Cored shallower than the reporting depth, so the reporting-depth figure is an UNDERESTIMATE for this plot. ","")&amp;IF(AND(ISNUMBER($G14),$G14&gt;0,ISNUMBER($F14)),"Root total reaches only "&amp;$F14&amp;" cm — the bottom of the core, not the bottom of the roots. Report it as a MINIMUM. ","")&amp;IF(AND(ISNUMBER($G14),$G14&gt;0,ROOTS_REMOVED_BEFORE_SOIL_C&lt;&gt;"Yes"),"Root carbon is being added to a soil stock NOT confirmed root-free — fine-root carbon is probably counted twice. ",""))</f>
        <v/>
      </c>
      <c r="L14" s="9">
        <f>IF(ISNUMBER($D14),$D14,"")</f>
        <v/>
      </c>
      <c r="M14" s="9">
        <f>IF(ISNUMBER($G14),$G14,"")</f>
        <v/>
      </c>
      <c r="N14" s="9">
        <f>IF(AND(ISNUMBER($D14),$A14&lt;&gt;""),1,0)</f>
        <v/>
      </c>
      <c r="O14" s="9">
        <f>IF($A14="","",SUMIFS('2. Soil Data'!$U$5:$U$604,'2. Soil Data'!$A$5:$A$604,$A14))</f>
        <v/>
      </c>
      <c r="P14" s="9">
        <f>IF($A14="","",SUMIFS('3. Root Biomass'!$Q$5:$Q$904,'3. Root Biomass'!$A$5:$A$904,$A14))</f>
        <v/>
      </c>
      <c r="Q14" s="9">
        <f>IF(ISNUMBER($D14),$D14^2,"")</f>
        <v/>
      </c>
      <c r="R14" s="9">
        <f>IF(ISNUMBER($G14),$G14^2,"")</f>
        <v/>
      </c>
    </row>
    <row r="15">
      <c r="A15" s="10">
        <f>IF(INDEX('1. Plot &amp; Site Log'!$A$5:$A$64,11)="","",INDEX('1. Plot &amp; Site Log'!$A$5:$A$64,11))</f>
        <v/>
      </c>
      <c r="B15" s="10">
        <f>IF($A15="","",INDEX('1. Plot &amp; Site Log'!$B$5:$B$64,MATCH($A15,'1. Plot &amp; Site Log'!$A$5:$A$64,0)))</f>
        <v/>
      </c>
      <c r="C15" s="10">
        <f>IF($A15="","",COUNTIFS('2. Soil Data'!$A$5:$A$604,$A15))</f>
        <v/>
      </c>
      <c r="D15" s="10">
        <f>IF(OR($A15="",$C15=0,$O15=0),"",SUMIFS('2. Soil Data'!$R$5:$R$604,'2. Soil Data'!$A$5:$A$604,$A15)/$O15)</f>
        <v/>
      </c>
      <c r="E15" s="10">
        <f>IF(OR($A15="",$C15=0,$O15=0),"",SUMIFS('2. Soil Data'!$P$5:$P$604,'2. Soil Data'!$A$5:$A$604,$A15)/$O15)</f>
        <v/>
      </c>
      <c r="F15" s="10">
        <f>IF($A15="","",SUMPRODUCT(MAX(('2. Soil Data'!$A$5:$A$604=$A15)*IF(ISNUMBER('2. Soil Data'!$E$5:$E$604),'2. Soil Data'!$E$5:$E$604,0))))</f>
        <v/>
      </c>
      <c r="G15" s="10">
        <f>IF(OR($A15="",$P15=0),"",SUMIFS('3. Root Biomass'!$N$5:$N$904,'3. Root Biomass'!$A$5:$A$904,$A15)/$P15)</f>
        <v/>
      </c>
      <c r="H15" s="10">
        <f>IF($A15="","",IFERROR(SUMIFS('4. Vegetation Data'!$M$5:$M$64,'4. Vegetation Data'!$A$5:$A$64,$A15),""))</f>
        <v/>
      </c>
      <c r="I15" s="10">
        <f>IF($A15="","",IF(ISNUMBER($D15),$D15,0)+IF(ISNUMBER($G15),$G15,0)+IF(ISNUMBER($H15),$H15,0))</f>
        <v/>
      </c>
      <c r="J15" s="10">
        <f>IF($A15="","",IF(ISNUMBER($E15),$E15,0)+IF(ISNUMBER($G15),$G15,0)+IF(ISNUMBER($H15),$H15,0))</f>
        <v/>
      </c>
      <c r="K15" s="11">
        <f>IF($A15="","",IF($C15=0,"No soil increments for this plot — it contributes nothing. ","")&amp;IF(AND(ISNUMBER($F15),$F15&lt;SOIL_REPORTING_DEPTH_CM),"Cored shallower than the reporting depth, so the reporting-depth figure is an UNDERESTIMATE for this plot. ","")&amp;IF(AND(ISNUMBER($G15),$G15&gt;0,ISNUMBER($F15)),"Root total reaches only "&amp;$F15&amp;" cm — the bottom of the core, not the bottom of the roots. Report it as a MINIMUM. ","")&amp;IF(AND(ISNUMBER($G15),$G15&gt;0,ROOTS_REMOVED_BEFORE_SOIL_C&lt;&gt;"Yes"),"Root carbon is being added to a soil stock NOT confirmed root-free — fine-root carbon is probably counted twice. ",""))</f>
        <v/>
      </c>
      <c r="L15" s="9">
        <f>IF(ISNUMBER($D15),$D15,"")</f>
        <v/>
      </c>
      <c r="M15" s="9">
        <f>IF(ISNUMBER($G15),$G15,"")</f>
        <v/>
      </c>
      <c r="N15" s="9">
        <f>IF(AND(ISNUMBER($D15),$A15&lt;&gt;""),1,0)</f>
        <v/>
      </c>
      <c r="O15" s="9">
        <f>IF($A15="","",SUMIFS('2. Soil Data'!$U$5:$U$604,'2. Soil Data'!$A$5:$A$604,$A15))</f>
        <v/>
      </c>
      <c r="P15" s="9">
        <f>IF($A15="","",SUMIFS('3. Root Biomass'!$Q$5:$Q$904,'3. Root Biomass'!$A$5:$A$904,$A15))</f>
        <v/>
      </c>
      <c r="Q15" s="9">
        <f>IF(ISNUMBER($D15),$D15^2,"")</f>
        <v/>
      </c>
      <c r="R15" s="9">
        <f>IF(ISNUMBER($G15),$G15^2,"")</f>
        <v/>
      </c>
    </row>
    <row r="16">
      <c r="A16" s="10">
        <f>IF(INDEX('1. Plot &amp; Site Log'!$A$5:$A$64,12)="","",INDEX('1. Plot &amp; Site Log'!$A$5:$A$64,12))</f>
        <v/>
      </c>
      <c r="B16" s="10">
        <f>IF($A16="","",INDEX('1. Plot &amp; Site Log'!$B$5:$B$64,MATCH($A16,'1. Plot &amp; Site Log'!$A$5:$A$64,0)))</f>
        <v/>
      </c>
      <c r="C16" s="10">
        <f>IF($A16="","",COUNTIFS('2. Soil Data'!$A$5:$A$604,$A16))</f>
        <v/>
      </c>
      <c r="D16" s="10">
        <f>IF(OR($A16="",$C16=0,$O16=0),"",SUMIFS('2. Soil Data'!$R$5:$R$604,'2. Soil Data'!$A$5:$A$604,$A16)/$O16)</f>
        <v/>
      </c>
      <c r="E16" s="10">
        <f>IF(OR($A16="",$C16=0,$O16=0),"",SUMIFS('2. Soil Data'!$P$5:$P$604,'2. Soil Data'!$A$5:$A$604,$A16)/$O16)</f>
        <v/>
      </c>
      <c r="F16" s="10">
        <f>IF($A16="","",SUMPRODUCT(MAX(('2. Soil Data'!$A$5:$A$604=$A16)*IF(ISNUMBER('2. Soil Data'!$E$5:$E$604),'2. Soil Data'!$E$5:$E$604,0))))</f>
        <v/>
      </c>
      <c r="G16" s="10">
        <f>IF(OR($A16="",$P16=0),"",SUMIFS('3. Root Biomass'!$N$5:$N$904,'3. Root Biomass'!$A$5:$A$904,$A16)/$P16)</f>
        <v/>
      </c>
      <c r="H16" s="10">
        <f>IF($A16="","",IFERROR(SUMIFS('4. Vegetation Data'!$M$5:$M$64,'4. Vegetation Data'!$A$5:$A$64,$A16),""))</f>
        <v/>
      </c>
      <c r="I16" s="10">
        <f>IF($A16="","",IF(ISNUMBER($D16),$D16,0)+IF(ISNUMBER($G16),$G16,0)+IF(ISNUMBER($H16),$H16,0))</f>
        <v/>
      </c>
      <c r="J16" s="10">
        <f>IF($A16="","",IF(ISNUMBER($E16),$E16,0)+IF(ISNUMBER($G16),$G16,0)+IF(ISNUMBER($H16),$H16,0))</f>
        <v/>
      </c>
      <c r="K16" s="11">
        <f>IF($A16="","",IF($C16=0,"No soil increments for this plot — it contributes nothing. ","")&amp;IF(AND(ISNUMBER($F16),$F16&lt;SOIL_REPORTING_DEPTH_CM),"Cored shallower than the reporting depth, so the reporting-depth figure is an UNDERESTIMATE for this plot. ","")&amp;IF(AND(ISNUMBER($G16),$G16&gt;0,ISNUMBER($F16)),"Root total reaches only "&amp;$F16&amp;" cm — the bottom of the core, not the bottom of the roots. Report it as a MINIMUM. ","")&amp;IF(AND(ISNUMBER($G16),$G16&gt;0,ROOTS_REMOVED_BEFORE_SOIL_C&lt;&gt;"Yes"),"Root carbon is being added to a soil stock NOT confirmed root-free — fine-root carbon is probably counted twice. ",""))</f>
        <v/>
      </c>
      <c r="L16" s="9">
        <f>IF(ISNUMBER($D16),$D16,"")</f>
        <v/>
      </c>
      <c r="M16" s="9">
        <f>IF(ISNUMBER($G16),$G16,"")</f>
        <v/>
      </c>
      <c r="N16" s="9">
        <f>IF(AND(ISNUMBER($D16),$A16&lt;&gt;""),1,0)</f>
        <v/>
      </c>
      <c r="O16" s="9">
        <f>IF($A16="","",SUMIFS('2. Soil Data'!$U$5:$U$604,'2. Soil Data'!$A$5:$A$604,$A16))</f>
        <v/>
      </c>
      <c r="P16" s="9">
        <f>IF($A16="","",SUMIFS('3. Root Biomass'!$Q$5:$Q$904,'3. Root Biomass'!$A$5:$A$904,$A16))</f>
        <v/>
      </c>
      <c r="Q16" s="9">
        <f>IF(ISNUMBER($D16),$D16^2,"")</f>
        <v/>
      </c>
      <c r="R16" s="9">
        <f>IF(ISNUMBER($G16),$G16^2,"")</f>
        <v/>
      </c>
    </row>
    <row r="17">
      <c r="A17" s="10">
        <f>IF(INDEX('1. Plot &amp; Site Log'!$A$5:$A$64,13)="","",INDEX('1. Plot &amp; Site Log'!$A$5:$A$64,13))</f>
        <v/>
      </c>
      <c r="B17" s="10">
        <f>IF($A17="","",INDEX('1. Plot &amp; Site Log'!$B$5:$B$64,MATCH($A17,'1. Plot &amp; Site Log'!$A$5:$A$64,0)))</f>
        <v/>
      </c>
      <c r="C17" s="10">
        <f>IF($A17="","",COUNTIFS('2. Soil Data'!$A$5:$A$604,$A17))</f>
        <v/>
      </c>
      <c r="D17" s="10">
        <f>IF(OR($A17="",$C17=0,$O17=0),"",SUMIFS('2. Soil Data'!$R$5:$R$604,'2. Soil Data'!$A$5:$A$604,$A17)/$O17)</f>
        <v/>
      </c>
      <c r="E17" s="10">
        <f>IF(OR($A17="",$C17=0,$O17=0),"",SUMIFS('2. Soil Data'!$P$5:$P$604,'2. Soil Data'!$A$5:$A$604,$A17)/$O17)</f>
        <v/>
      </c>
      <c r="F17" s="10">
        <f>IF($A17="","",SUMPRODUCT(MAX(('2. Soil Data'!$A$5:$A$604=$A17)*IF(ISNUMBER('2. Soil Data'!$E$5:$E$604),'2. Soil Data'!$E$5:$E$604,0))))</f>
        <v/>
      </c>
      <c r="G17" s="10">
        <f>IF(OR($A17="",$P17=0),"",SUMIFS('3. Root Biomass'!$N$5:$N$904,'3. Root Biomass'!$A$5:$A$904,$A17)/$P17)</f>
        <v/>
      </c>
      <c r="H17" s="10">
        <f>IF($A17="","",IFERROR(SUMIFS('4. Vegetation Data'!$M$5:$M$64,'4. Vegetation Data'!$A$5:$A$64,$A17),""))</f>
        <v/>
      </c>
      <c r="I17" s="10">
        <f>IF($A17="","",IF(ISNUMBER($D17),$D17,0)+IF(ISNUMBER($G17),$G17,0)+IF(ISNUMBER($H17),$H17,0))</f>
        <v/>
      </c>
      <c r="J17" s="10">
        <f>IF($A17="","",IF(ISNUMBER($E17),$E17,0)+IF(ISNUMBER($G17),$G17,0)+IF(ISNUMBER($H17),$H17,0))</f>
        <v/>
      </c>
      <c r="K17" s="11">
        <f>IF($A17="","",IF($C17=0,"No soil increments for this plot — it contributes nothing. ","")&amp;IF(AND(ISNUMBER($F17),$F17&lt;SOIL_REPORTING_DEPTH_CM),"Cored shallower than the reporting depth, so the reporting-depth figure is an UNDERESTIMATE for this plot. ","")&amp;IF(AND(ISNUMBER($G17),$G17&gt;0,ISNUMBER($F17)),"Root total reaches only "&amp;$F17&amp;" cm — the bottom of the core, not the bottom of the roots. Report it as a MINIMUM. ","")&amp;IF(AND(ISNUMBER($G17),$G17&gt;0,ROOTS_REMOVED_BEFORE_SOIL_C&lt;&gt;"Yes"),"Root carbon is being added to a soil stock NOT confirmed root-free — fine-root carbon is probably counted twice. ",""))</f>
        <v/>
      </c>
      <c r="L17" s="9">
        <f>IF(ISNUMBER($D17),$D17,"")</f>
        <v/>
      </c>
      <c r="M17" s="9">
        <f>IF(ISNUMBER($G17),$G17,"")</f>
        <v/>
      </c>
      <c r="N17" s="9">
        <f>IF(AND(ISNUMBER($D17),$A17&lt;&gt;""),1,0)</f>
        <v/>
      </c>
      <c r="O17" s="9">
        <f>IF($A17="","",SUMIFS('2. Soil Data'!$U$5:$U$604,'2. Soil Data'!$A$5:$A$604,$A17))</f>
        <v/>
      </c>
      <c r="P17" s="9">
        <f>IF($A17="","",SUMIFS('3. Root Biomass'!$Q$5:$Q$904,'3. Root Biomass'!$A$5:$A$904,$A17))</f>
        <v/>
      </c>
      <c r="Q17" s="9">
        <f>IF(ISNUMBER($D17),$D17^2,"")</f>
        <v/>
      </c>
      <c r="R17" s="9">
        <f>IF(ISNUMBER($G17),$G17^2,"")</f>
        <v/>
      </c>
    </row>
    <row r="18">
      <c r="A18" s="10">
        <f>IF(INDEX('1. Plot &amp; Site Log'!$A$5:$A$64,14)="","",INDEX('1. Plot &amp; Site Log'!$A$5:$A$64,14))</f>
        <v/>
      </c>
      <c r="B18" s="10">
        <f>IF($A18="","",INDEX('1. Plot &amp; Site Log'!$B$5:$B$64,MATCH($A18,'1. Plot &amp; Site Log'!$A$5:$A$64,0)))</f>
        <v/>
      </c>
      <c r="C18" s="10">
        <f>IF($A18="","",COUNTIFS('2. Soil Data'!$A$5:$A$604,$A18))</f>
        <v/>
      </c>
      <c r="D18" s="10">
        <f>IF(OR($A18="",$C18=0,$O18=0),"",SUMIFS('2. Soil Data'!$R$5:$R$604,'2. Soil Data'!$A$5:$A$604,$A18)/$O18)</f>
        <v/>
      </c>
      <c r="E18" s="10">
        <f>IF(OR($A18="",$C18=0,$O18=0),"",SUMIFS('2. Soil Data'!$P$5:$P$604,'2. Soil Data'!$A$5:$A$604,$A18)/$O18)</f>
        <v/>
      </c>
      <c r="F18" s="10">
        <f>IF($A18="","",SUMPRODUCT(MAX(('2. Soil Data'!$A$5:$A$604=$A18)*IF(ISNUMBER('2. Soil Data'!$E$5:$E$604),'2. Soil Data'!$E$5:$E$604,0))))</f>
        <v/>
      </c>
      <c r="G18" s="10">
        <f>IF(OR($A18="",$P18=0),"",SUMIFS('3. Root Biomass'!$N$5:$N$904,'3. Root Biomass'!$A$5:$A$904,$A18)/$P18)</f>
        <v/>
      </c>
      <c r="H18" s="10">
        <f>IF($A18="","",IFERROR(SUMIFS('4. Vegetation Data'!$M$5:$M$64,'4. Vegetation Data'!$A$5:$A$64,$A18),""))</f>
        <v/>
      </c>
      <c r="I18" s="10">
        <f>IF($A18="","",IF(ISNUMBER($D18),$D18,0)+IF(ISNUMBER($G18),$G18,0)+IF(ISNUMBER($H18),$H18,0))</f>
        <v/>
      </c>
      <c r="J18" s="10">
        <f>IF($A18="","",IF(ISNUMBER($E18),$E18,0)+IF(ISNUMBER($G18),$G18,0)+IF(ISNUMBER($H18),$H18,0))</f>
        <v/>
      </c>
      <c r="K18" s="11">
        <f>IF($A18="","",IF($C18=0,"No soil increments for this plot — it contributes nothing. ","")&amp;IF(AND(ISNUMBER($F18),$F18&lt;SOIL_REPORTING_DEPTH_CM),"Cored shallower than the reporting depth, so the reporting-depth figure is an UNDERESTIMATE for this plot. ","")&amp;IF(AND(ISNUMBER($G18),$G18&gt;0,ISNUMBER($F18)),"Root total reaches only "&amp;$F18&amp;" cm — the bottom of the core, not the bottom of the roots. Report it as a MINIMUM. ","")&amp;IF(AND(ISNUMBER($G18),$G18&gt;0,ROOTS_REMOVED_BEFORE_SOIL_C&lt;&gt;"Yes"),"Root carbon is being added to a soil stock NOT confirmed root-free — fine-root carbon is probably counted twice. ",""))</f>
        <v/>
      </c>
      <c r="L18" s="9">
        <f>IF(ISNUMBER($D18),$D18,"")</f>
        <v/>
      </c>
      <c r="M18" s="9">
        <f>IF(ISNUMBER($G18),$G18,"")</f>
        <v/>
      </c>
      <c r="N18" s="9">
        <f>IF(AND(ISNUMBER($D18),$A18&lt;&gt;""),1,0)</f>
        <v/>
      </c>
      <c r="O18" s="9">
        <f>IF($A18="","",SUMIFS('2. Soil Data'!$U$5:$U$604,'2. Soil Data'!$A$5:$A$604,$A18))</f>
        <v/>
      </c>
      <c r="P18" s="9">
        <f>IF($A18="","",SUMIFS('3. Root Biomass'!$Q$5:$Q$904,'3. Root Biomass'!$A$5:$A$904,$A18))</f>
        <v/>
      </c>
      <c r="Q18" s="9">
        <f>IF(ISNUMBER($D18),$D18^2,"")</f>
        <v/>
      </c>
      <c r="R18" s="9">
        <f>IF(ISNUMBER($G18),$G18^2,"")</f>
        <v/>
      </c>
    </row>
    <row r="19">
      <c r="A19" s="10">
        <f>IF(INDEX('1. Plot &amp; Site Log'!$A$5:$A$64,15)="","",INDEX('1. Plot &amp; Site Log'!$A$5:$A$64,15))</f>
        <v/>
      </c>
      <c r="B19" s="10">
        <f>IF($A19="","",INDEX('1. Plot &amp; Site Log'!$B$5:$B$64,MATCH($A19,'1. Plot &amp; Site Log'!$A$5:$A$64,0)))</f>
        <v/>
      </c>
      <c r="C19" s="10">
        <f>IF($A19="","",COUNTIFS('2. Soil Data'!$A$5:$A$604,$A19))</f>
        <v/>
      </c>
      <c r="D19" s="10">
        <f>IF(OR($A19="",$C19=0,$O19=0),"",SUMIFS('2. Soil Data'!$R$5:$R$604,'2. Soil Data'!$A$5:$A$604,$A19)/$O19)</f>
        <v/>
      </c>
      <c r="E19" s="10">
        <f>IF(OR($A19="",$C19=0,$O19=0),"",SUMIFS('2. Soil Data'!$P$5:$P$604,'2. Soil Data'!$A$5:$A$604,$A19)/$O19)</f>
        <v/>
      </c>
      <c r="F19" s="10">
        <f>IF($A19="","",SUMPRODUCT(MAX(('2. Soil Data'!$A$5:$A$604=$A19)*IF(ISNUMBER('2. Soil Data'!$E$5:$E$604),'2. Soil Data'!$E$5:$E$604,0))))</f>
        <v/>
      </c>
      <c r="G19" s="10">
        <f>IF(OR($A19="",$P19=0),"",SUMIFS('3. Root Biomass'!$N$5:$N$904,'3. Root Biomass'!$A$5:$A$904,$A19)/$P19)</f>
        <v/>
      </c>
      <c r="H19" s="10">
        <f>IF($A19="","",IFERROR(SUMIFS('4. Vegetation Data'!$M$5:$M$64,'4. Vegetation Data'!$A$5:$A$64,$A19),""))</f>
        <v/>
      </c>
      <c r="I19" s="10">
        <f>IF($A19="","",IF(ISNUMBER($D19),$D19,0)+IF(ISNUMBER($G19),$G19,0)+IF(ISNUMBER($H19),$H19,0))</f>
        <v/>
      </c>
      <c r="J19" s="10">
        <f>IF($A19="","",IF(ISNUMBER($E19),$E19,0)+IF(ISNUMBER($G19),$G19,0)+IF(ISNUMBER($H19),$H19,0))</f>
        <v/>
      </c>
      <c r="K19" s="11">
        <f>IF($A19="","",IF($C19=0,"No soil increments for this plot — it contributes nothing. ","")&amp;IF(AND(ISNUMBER($F19),$F19&lt;SOIL_REPORTING_DEPTH_CM),"Cored shallower than the reporting depth, so the reporting-depth figure is an UNDERESTIMATE for this plot. ","")&amp;IF(AND(ISNUMBER($G19),$G19&gt;0,ISNUMBER($F19)),"Root total reaches only "&amp;$F19&amp;" cm — the bottom of the core, not the bottom of the roots. Report it as a MINIMUM. ","")&amp;IF(AND(ISNUMBER($G19),$G19&gt;0,ROOTS_REMOVED_BEFORE_SOIL_C&lt;&gt;"Yes"),"Root carbon is being added to a soil stock NOT confirmed root-free — fine-root carbon is probably counted twice. ",""))</f>
        <v/>
      </c>
      <c r="L19" s="9">
        <f>IF(ISNUMBER($D19),$D19,"")</f>
        <v/>
      </c>
      <c r="M19" s="9">
        <f>IF(ISNUMBER($G19),$G19,"")</f>
        <v/>
      </c>
      <c r="N19" s="9">
        <f>IF(AND(ISNUMBER($D19),$A19&lt;&gt;""),1,0)</f>
        <v/>
      </c>
      <c r="O19" s="9">
        <f>IF($A19="","",SUMIFS('2. Soil Data'!$U$5:$U$604,'2. Soil Data'!$A$5:$A$604,$A19))</f>
        <v/>
      </c>
      <c r="P19" s="9">
        <f>IF($A19="","",SUMIFS('3. Root Biomass'!$Q$5:$Q$904,'3. Root Biomass'!$A$5:$A$904,$A19))</f>
        <v/>
      </c>
      <c r="Q19" s="9">
        <f>IF(ISNUMBER($D19),$D19^2,"")</f>
        <v/>
      </c>
      <c r="R19" s="9">
        <f>IF(ISNUMBER($G19),$G19^2,"")</f>
        <v/>
      </c>
    </row>
    <row r="20">
      <c r="A20" s="10">
        <f>IF(INDEX('1. Plot &amp; Site Log'!$A$5:$A$64,16)="","",INDEX('1. Plot &amp; Site Log'!$A$5:$A$64,16))</f>
        <v/>
      </c>
      <c r="B20" s="10">
        <f>IF($A20="","",INDEX('1. Plot &amp; Site Log'!$B$5:$B$64,MATCH($A20,'1. Plot &amp; Site Log'!$A$5:$A$64,0)))</f>
        <v/>
      </c>
      <c r="C20" s="10">
        <f>IF($A20="","",COUNTIFS('2. Soil Data'!$A$5:$A$604,$A20))</f>
        <v/>
      </c>
      <c r="D20" s="10">
        <f>IF(OR($A20="",$C20=0,$O20=0),"",SUMIFS('2. Soil Data'!$R$5:$R$604,'2. Soil Data'!$A$5:$A$604,$A20)/$O20)</f>
        <v/>
      </c>
      <c r="E20" s="10">
        <f>IF(OR($A20="",$C20=0,$O20=0),"",SUMIFS('2. Soil Data'!$P$5:$P$604,'2. Soil Data'!$A$5:$A$604,$A20)/$O20)</f>
        <v/>
      </c>
      <c r="F20" s="10">
        <f>IF($A20="","",SUMPRODUCT(MAX(('2. Soil Data'!$A$5:$A$604=$A20)*IF(ISNUMBER('2. Soil Data'!$E$5:$E$604),'2. Soil Data'!$E$5:$E$604,0))))</f>
        <v/>
      </c>
      <c r="G20" s="10">
        <f>IF(OR($A20="",$P20=0),"",SUMIFS('3. Root Biomass'!$N$5:$N$904,'3. Root Biomass'!$A$5:$A$904,$A20)/$P20)</f>
        <v/>
      </c>
      <c r="H20" s="10">
        <f>IF($A20="","",IFERROR(SUMIFS('4. Vegetation Data'!$M$5:$M$64,'4. Vegetation Data'!$A$5:$A$64,$A20),""))</f>
        <v/>
      </c>
      <c r="I20" s="10">
        <f>IF($A20="","",IF(ISNUMBER($D20),$D20,0)+IF(ISNUMBER($G20),$G20,0)+IF(ISNUMBER($H20),$H20,0))</f>
        <v/>
      </c>
      <c r="J20" s="10">
        <f>IF($A20="","",IF(ISNUMBER($E20),$E20,0)+IF(ISNUMBER($G20),$G20,0)+IF(ISNUMBER($H20),$H20,0))</f>
        <v/>
      </c>
      <c r="K20" s="11">
        <f>IF($A20="","",IF($C20=0,"No soil increments for this plot — it contributes nothing. ","")&amp;IF(AND(ISNUMBER($F20),$F20&lt;SOIL_REPORTING_DEPTH_CM),"Cored shallower than the reporting depth, so the reporting-depth figure is an UNDERESTIMATE for this plot. ","")&amp;IF(AND(ISNUMBER($G20),$G20&gt;0,ISNUMBER($F20)),"Root total reaches only "&amp;$F20&amp;" cm — the bottom of the core, not the bottom of the roots. Report it as a MINIMUM. ","")&amp;IF(AND(ISNUMBER($G20),$G20&gt;0,ROOTS_REMOVED_BEFORE_SOIL_C&lt;&gt;"Yes"),"Root carbon is being added to a soil stock NOT confirmed root-free — fine-root carbon is probably counted twice. ",""))</f>
        <v/>
      </c>
      <c r="L20" s="9">
        <f>IF(ISNUMBER($D20),$D20,"")</f>
        <v/>
      </c>
      <c r="M20" s="9">
        <f>IF(ISNUMBER($G20),$G20,"")</f>
        <v/>
      </c>
      <c r="N20" s="9">
        <f>IF(AND(ISNUMBER($D20),$A20&lt;&gt;""),1,0)</f>
        <v/>
      </c>
      <c r="O20" s="9">
        <f>IF($A20="","",SUMIFS('2. Soil Data'!$U$5:$U$604,'2. Soil Data'!$A$5:$A$604,$A20))</f>
        <v/>
      </c>
      <c r="P20" s="9">
        <f>IF($A20="","",SUMIFS('3. Root Biomass'!$Q$5:$Q$904,'3. Root Biomass'!$A$5:$A$904,$A20))</f>
        <v/>
      </c>
      <c r="Q20" s="9">
        <f>IF(ISNUMBER($D20),$D20^2,"")</f>
        <v/>
      </c>
      <c r="R20" s="9">
        <f>IF(ISNUMBER($G20),$G20^2,"")</f>
        <v/>
      </c>
    </row>
    <row r="21">
      <c r="A21" s="10">
        <f>IF(INDEX('1. Plot &amp; Site Log'!$A$5:$A$64,17)="","",INDEX('1. Plot &amp; Site Log'!$A$5:$A$64,17))</f>
        <v/>
      </c>
      <c r="B21" s="10">
        <f>IF($A21="","",INDEX('1. Plot &amp; Site Log'!$B$5:$B$64,MATCH($A21,'1. Plot &amp; Site Log'!$A$5:$A$64,0)))</f>
        <v/>
      </c>
      <c r="C21" s="10">
        <f>IF($A21="","",COUNTIFS('2. Soil Data'!$A$5:$A$604,$A21))</f>
        <v/>
      </c>
      <c r="D21" s="10">
        <f>IF(OR($A21="",$C21=0,$O21=0),"",SUMIFS('2. Soil Data'!$R$5:$R$604,'2. Soil Data'!$A$5:$A$604,$A21)/$O21)</f>
        <v/>
      </c>
      <c r="E21" s="10">
        <f>IF(OR($A21="",$C21=0,$O21=0),"",SUMIFS('2. Soil Data'!$P$5:$P$604,'2. Soil Data'!$A$5:$A$604,$A21)/$O21)</f>
        <v/>
      </c>
      <c r="F21" s="10">
        <f>IF($A21="","",SUMPRODUCT(MAX(('2. Soil Data'!$A$5:$A$604=$A21)*IF(ISNUMBER('2. Soil Data'!$E$5:$E$604),'2. Soil Data'!$E$5:$E$604,0))))</f>
        <v/>
      </c>
      <c r="G21" s="10">
        <f>IF(OR($A21="",$P21=0),"",SUMIFS('3. Root Biomass'!$N$5:$N$904,'3. Root Biomass'!$A$5:$A$904,$A21)/$P21)</f>
        <v/>
      </c>
      <c r="H21" s="10">
        <f>IF($A21="","",IFERROR(SUMIFS('4. Vegetation Data'!$M$5:$M$64,'4. Vegetation Data'!$A$5:$A$64,$A21),""))</f>
        <v/>
      </c>
      <c r="I21" s="10">
        <f>IF($A21="","",IF(ISNUMBER($D21),$D21,0)+IF(ISNUMBER($G21),$G21,0)+IF(ISNUMBER($H21),$H21,0))</f>
        <v/>
      </c>
      <c r="J21" s="10">
        <f>IF($A21="","",IF(ISNUMBER($E21),$E21,0)+IF(ISNUMBER($G21),$G21,0)+IF(ISNUMBER($H21),$H21,0))</f>
        <v/>
      </c>
      <c r="K21" s="11">
        <f>IF($A21="","",IF($C21=0,"No soil increments for this plot — it contributes nothing. ","")&amp;IF(AND(ISNUMBER($F21),$F21&lt;SOIL_REPORTING_DEPTH_CM),"Cored shallower than the reporting depth, so the reporting-depth figure is an UNDERESTIMATE for this plot. ","")&amp;IF(AND(ISNUMBER($G21),$G21&gt;0,ISNUMBER($F21)),"Root total reaches only "&amp;$F21&amp;" cm — the bottom of the core, not the bottom of the roots. Report it as a MINIMUM. ","")&amp;IF(AND(ISNUMBER($G21),$G21&gt;0,ROOTS_REMOVED_BEFORE_SOIL_C&lt;&gt;"Yes"),"Root carbon is being added to a soil stock NOT confirmed root-free — fine-root carbon is probably counted twice. ",""))</f>
        <v/>
      </c>
      <c r="L21" s="9">
        <f>IF(ISNUMBER($D21),$D21,"")</f>
        <v/>
      </c>
      <c r="M21" s="9">
        <f>IF(ISNUMBER($G21),$G21,"")</f>
        <v/>
      </c>
      <c r="N21" s="9">
        <f>IF(AND(ISNUMBER($D21),$A21&lt;&gt;""),1,0)</f>
        <v/>
      </c>
      <c r="O21" s="9">
        <f>IF($A21="","",SUMIFS('2. Soil Data'!$U$5:$U$604,'2. Soil Data'!$A$5:$A$604,$A21))</f>
        <v/>
      </c>
      <c r="P21" s="9">
        <f>IF($A21="","",SUMIFS('3. Root Biomass'!$Q$5:$Q$904,'3. Root Biomass'!$A$5:$A$904,$A21))</f>
        <v/>
      </c>
      <c r="Q21" s="9">
        <f>IF(ISNUMBER($D21),$D21^2,"")</f>
        <v/>
      </c>
      <c r="R21" s="9">
        <f>IF(ISNUMBER($G21),$G21^2,"")</f>
        <v/>
      </c>
    </row>
    <row r="22">
      <c r="A22" s="10">
        <f>IF(INDEX('1. Plot &amp; Site Log'!$A$5:$A$64,18)="","",INDEX('1. Plot &amp; Site Log'!$A$5:$A$64,18))</f>
        <v/>
      </c>
      <c r="B22" s="10">
        <f>IF($A22="","",INDEX('1. Plot &amp; Site Log'!$B$5:$B$64,MATCH($A22,'1. Plot &amp; Site Log'!$A$5:$A$64,0)))</f>
        <v/>
      </c>
      <c r="C22" s="10">
        <f>IF($A22="","",COUNTIFS('2. Soil Data'!$A$5:$A$604,$A22))</f>
        <v/>
      </c>
      <c r="D22" s="10">
        <f>IF(OR($A22="",$C22=0,$O22=0),"",SUMIFS('2. Soil Data'!$R$5:$R$604,'2. Soil Data'!$A$5:$A$604,$A22)/$O22)</f>
        <v/>
      </c>
      <c r="E22" s="10">
        <f>IF(OR($A22="",$C22=0,$O22=0),"",SUMIFS('2. Soil Data'!$P$5:$P$604,'2. Soil Data'!$A$5:$A$604,$A22)/$O22)</f>
        <v/>
      </c>
      <c r="F22" s="10">
        <f>IF($A22="","",SUMPRODUCT(MAX(('2. Soil Data'!$A$5:$A$604=$A22)*IF(ISNUMBER('2. Soil Data'!$E$5:$E$604),'2. Soil Data'!$E$5:$E$604,0))))</f>
        <v/>
      </c>
      <c r="G22" s="10">
        <f>IF(OR($A22="",$P22=0),"",SUMIFS('3. Root Biomass'!$N$5:$N$904,'3. Root Biomass'!$A$5:$A$904,$A22)/$P22)</f>
        <v/>
      </c>
      <c r="H22" s="10">
        <f>IF($A22="","",IFERROR(SUMIFS('4. Vegetation Data'!$M$5:$M$64,'4. Vegetation Data'!$A$5:$A$64,$A22),""))</f>
        <v/>
      </c>
      <c r="I22" s="10">
        <f>IF($A22="","",IF(ISNUMBER($D22),$D22,0)+IF(ISNUMBER($G22),$G22,0)+IF(ISNUMBER($H22),$H22,0))</f>
        <v/>
      </c>
      <c r="J22" s="10">
        <f>IF($A22="","",IF(ISNUMBER($E22),$E22,0)+IF(ISNUMBER($G22),$G22,0)+IF(ISNUMBER($H22),$H22,0))</f>
        <v/>
      </c>
      <c r="K22" s="11">
        <f>IF($A22="","",IF($C22=0,"No soil increments for this plot — it contributes nothing. ","")&amp;IF(AND(ISNUMBER($F22),$F22&lt;SOIL_REPORTING_DEPTH_CM),"Cored shallower than the reporting depth, so the reporting-depth figure is an UNDERESTIMATE for this plot. ","")&amp;IF(AND(ISNUMBER($G22),$G22&gt;0,ISNUMBER($F22)),"Root total reaches only "&amp;$F22&amp;" cm — the bottom of the core, not the bottom of the roots. Report it as a MINIMUM. ","")&amp;IF(AND(ISNUMBER($G22),$G22&gt;0,ROOTS_REMOVED_BEFORE_SOIL_C&lt;&gt;"Yes"),"Root carbon is being added to a soil stock NOT confirmed root-free — fine-root carbon is probably counted twice. ",""))</f>
        <v/>
      </c>
      <c r="L22" s="9">
        <f>IF(ISNUMBER($D22),$D22,"")</f>
        <v/>
      </c>
      <c r="M22" s="9">
        <f>IF(ISNUMBER($G22),$G22,"")</f>
        <v/>
      </c>
      <c r="N22" s="9">
        <f>IF(AND(ISNUMBER($D22),$A22&lt;&gt;""),1,0)</f>
        <v/>
      </c>
      <c r="O22" s="9">
        <f>IF($A22="","",SUMIFS('2. Soil Data'!$U$5:$U$604,'2. Soil Data'!$A$5:$A$604,$A22))</f>
        <v/>
      </c>
      <c r="P22" s="9">
        <f>IF($A22="","",SUMIFS('3. Root Biomass'!$Q$5:$Q$904,'3. Root Biomass'!$A$5:$A$904,$A22))</f>
        <v/>
      </c>
      <c r="Q22" s="9">
        <f>IF(ISNUMBER($D22),$D22^2,"")</f>
        <v/>
      </c>
      <c r="R22" s="9">
        <f>IF(ISNUMBER($G22),$G22^2,"")</f>
        <v/>
      </c>
    </row>
    <row r="23">
      <c r="A23" s="10">
        <f>IF(INDEX('1. Plot &amp; Site Log'!$A$5:$A$64,19)="","",INDEX('1. Plot &amp; Site Log'!$A$5:$A$64,19))</f>
        <v/>
      </c>
      <c r="B23" s="10">
        <f>IF($A23="","",INDEX('1. Plot &amp; Site Log'!$B$5:$B$64,MATCH($A23,'1. Plot &amp; Site Log'!$A$5:$A$64,0)))</f>
        <v/>
      </c>
      <c r="C23" s="10">
        <f>IF($A23="","",COUNTIFS('2. Soil Data'!$A$5:$A$604,$A23))</f>
        <v/>
      </c>
      <c r="D23" s="10">
        <f>IF(OR($A23="",$C23=0,$O23=0),"",SUMIFS('2. Soil Data'!$R$5:$R$604,'2. Soil Data'!$A$5:$A$604,$A23)/$O23)</f>
        <v/>
      </c>
      <c r="E23" s="10">
        <f>IF(OR($A23="",$C23=0,$O23=0),"",SUMIFS('2. Soil Data'!$P$5:$P$604,'2. Soil Data'!$A$5:$A$604,$A23)/$O23)</f>
        <v/>
      </c>
      <c r="F23" s="10">
        <f>IF($A23="","",SUMPRODUCT(MAX(('2. Soil Data'!$A$5:$A$604=$A23)*IF(ISNUMBER('2. Soil Data'!$E$5:$E$604),'2. Soil Data'!$E$5:$E$604,0))))</f>
        <v/>
      </c>
      <c r="G23" s="10">
        <f>IF(OR($A23="",$P23=0),"",SUMIFS('3. Root Biomass'!$N$5:$N$904,'3. Root Biomass'!$A$5:$A$904,$A23)/$P23)</f>
        <v/>
      </c>
      <c r="H23" s="10">
        <f>IF($A23="","",IFERROR(SUMIFS('4. Vegetation Data'!$M$5:$M$64,'4. Vegetation Data'!$A$5:$A$64,$A23),""))</f>
        <v/>
      </c>
      <c r="I23" s="10">
        <f>IF($A23="","",IF(ISNUMBER($D23),$D23,0)+IF(ISNUMBER($G23),$G23,0)+IF(ISNUMBER($H23),$H23,0))</f>
        <v/>
      </c>
      <c r="J23" s="10">
        <f>IF($A23="","",IF(ISNUMBER($E23),$E23,0)+IF(ISNUMBER($G23),$G23,0)+IF(ISNUMBER($H23),$H23,0))</f>
        <v/>
      </c>
      <c r="K23" s="11">
        <f>IF($A23="","",IF($C23=0,"No soil increments for this plot — it contributes nothing. ","")&amp;IF(AND(ISNUMBER($F23),$F23&lt;SOIL_REPORTING_DEPTH_CM),"Cored shallower than the reporting depth, so the reporting-depth figure is an UNDERESTIMATE for this plot. ","")&amp;IF(AND(ISNUMBER($G23),$G23&gt;0,ISNUMBER($F23)),"Root total reaches only "&amp;$F23&amp;" cm — the bottom of the core, not the bottom of the roots. Report it as a MINIMUM. ","")&amp;IF(AND(ISNUMBER($G23),$G23&gt;0,ROOTS_REMOVED_BEFORE_SOIL_C&lt;&gt;"Yes"),"Root carbon is being added to a soil stock NOT confirmed root-free — fine-root carbon is probably counted twice. ",""))</f>
        <v/>
      </c>
      <c r="L23" s="9">
        <f>IF(ISNUMBER($D23),$D23,"")</f>
        <v/>
      </c>
      <c r="M23" s="9">
        <f>IF(ISNUMBER($G23),$G23,"")</f>
        <v/>
      </c>
      <c r="N23" s="9">
        <f>IF(AND(ISNUMBER($D23),$A23&lt;&gt;""),1,0)</f>
        <v/>
      </c>
      <c r="O23" s="9">
        <f>IF($A23="","",SUMIFS('2. Soil Data'!$U$5:$U$604,'2. Soil Data'!$A$5:$A$604,$A23))</f>
        <v/>
      </c>
      <c r="P23" s="9">
        <f>IF($A23="","",SUMIFS('3. Root Biomass'!$Q$5:$Q$904,'3. Root Biomass'!$A$5:$A$904,$A23))</f>
        <v/>
      </c>
      <c r="Q23" s="9">
        <f>IF(ISNUMBER($D23),$D23^2,"")</f>
        <v/>
      </c>
      <c r="R23" s="9">
        <f>IF(ISNUMBER($G23),$G23^2,"")</f>
        <v/>
      </c>
    </row>
    <row r="24">
      <c r="A24" s="10">
        <f>IF(INDEX('1. Plot &amp; Site Log'!$A$5:$A$64,20)="","",INDEX('1. Plot &amp; Site Log'!$A$5:$A$64,20))</f>
        <v/>
      </c>
      <c r="B24" s="10">
        <f>IF($A24="","",INDEX('1. Plot &amp; Site Log'!$B$5:$B$64,MATCH($A24,'1. Plot &amp; Site Log'!$A$5:$A$64,0)))</f>
        <v/>
      </c>
      <c r="C24" s="10">
        <f>IF($A24="","",COUNTIFS('2. Soil Data'!$A$5:$A$604,$A24))</f>
        <v/>
      </c>
      <c r="D24" s="10">
        <f>IF(OR($A24="",$C24=0,$O24=0),"",SUMIFS('2. Soil Data'!$R$5:$R$604,'2. Soil Data'!$A$5:$A$604,$A24)/$O24)</f>
        <v/>
      </c>
      <c r="E24" s="10">
        <f>IF(OR($A24="",$C24=0,$O24=0),"",SUMIFS('2. Soil Data'!$P$5:$P$604,'2. Soil Data'!$A$5:$A$604,$A24)/$O24)</f>
        <v/>
      </c>
      <c r="F24" s="10">
        <f>IF($A24="","",SUMPRODUCT(MAX(('2. Soil Data'!$A$5:$A$604=$A24)*IF(ISNUMBER('2. Soil Data'!$E$5:$E$604),'2. Soil Data'!$E$5:$E$604,0))))</f>
        <v/>
      </c>
      <c r="G24" s="10">
        <f>IF(OR($A24="",$P24=0),"",SUMIFS('3. Root Biomass'!$N$5:$N$904,'3. Root Biomass'!$A$5:$A$904,$A24)/$P24)</f>
        <v/>
      </c>
      <c r="H24" s="10">
        <f>IF($A24="","",IFERROR(SUMIFS('4. Vegetation Data'!$M$5:$M$64,'4. Vegetation Data'!$A$5:$A$64,$A24),""))</f>
        <v/>
      </c>
      <c r="I24" s="10">
        <f>IF($A24="","",IF(ISNUMBER($D24),$D24,0)+IF(ISNUMBER($G24),$G24,0)+IF(ISNUMBER($H24),$H24,0))</f>
        <v/>
      </c>
      <c r="J24" s="10">
        <f>IF($A24="","",IF(ISNUMBER($E24),$E24,0)+IF(ISNUMBER($G24),$G24,0)+IF(ISNUMBER($H24),$H24,0))</f>
        <v/>
      </c>
      <c r="K24" s="11">
        <f>IF($A24="","",IF($C24=0,"No soil increments for this plot — it contributes nothing. ","")&amp;IF(AND(ISNUMBER($F24),$F24&lt;SOIL_REPORTING_DEPTH_CM),"Cored shallower than the reporting depth, so the reporting-depth figure is an UNDERESTIMATE for this plot. ","")&amp;IF(AND(ISNUMBER($G24),$G24&gt;0,ISNUMBER($F24)),"Root total reaches only "&amp;$F24&amp;" cm — the bottom of the core, not the bottom of the roots. Report it as a MINIMUM. ","")&amp;IF(AND(ISNUMBER($G24),$G24&gt;0,ROOTS_REMOVED_BEFORE_SOIL_C&lt;&gt;"Yes"),"Root carbon is being added to a soil stock NOT confirmed root-free — fine-root carbon is probably counted twice. ",""))</f>
        <v/>
      </c>
      <c r="L24" s="9">
        <f>IF(ISNUMBER($D24),$D24,"")</f>
        <v/>
      </c>
      <c r="M24" s="9">
        <f>IF(ISNUMBER($G24),$G24,"")</f>
        <v/>
      </c>
      <c r="N24" s="9">
        <f>IF(AND(ISNUMBER($D24),$A24&lt;&gt;""),1,0)</f>
        <v/>
      </c>
      <c r="O24" s="9">
        <f>IF($A24="","",SUMIFS('2. Soil Data'!$U$5:$U$604,'2. Soil Data'!$A$5:$A$604,$A24))</f>
        <v/>
      </c>
      <c r="P24" s="9">
        <f>IF($A24="","",SUMIFS('3. Root Biomass'!$Q$5:$Q$904,'3. Root Biomass'!$A$5:$A$904,$A24))</f>
        <v/>
      </c>
      <c r="Q24" s="9">
        <f>IF(ISNUMBER($D24),$D24^2,"")</f>
        <v/>
      </c>
      <c r="R24" s="9">
        <f>IF(ISNUMBER($G24),$G24^2,"")</f>
        <v/>
      </c>
    </row>
    <row r="25">
      <c r="A25" s="10">
        <f>IF(INDEX('1. Plot &amp; Site Log'!$A$5:$A$64,21)="","",INDEX('1. Plot &amp; Site Log'!$A$5:$A$64,21))</f>
        <v/>
      </c>
      <c r="B25" s="10">
        <f>IF($A25="","",INDEX('1. Plot &amp; Site Log'!$B$5:$B$64,MATCH($A25,'1. Plot &amp; Site Log'!$A$5:$A$64,0)))</f>
        <v/>
      </c>
      <c r="C25" s="10">
        <f>IF($A25="","",COUNTIFS('2. Soil Data'!$A$5:$A$604,$A25))</f>
        <v/>
      </c>
      <c r="D25" s="10">
        <f>IF(OR($A25="",$C25=0,$O25=0),"",SUMIFS('2. Soil Data'!$R$5:$R$604,'2. Soil Data'!$A$5:$A$604,$A25)/$O25)</f>
        <v/>
      </c>
      <c r="E25" s="10">
        <f>IF(OR($A25="",$C25=0,$O25=0),"",SUMIFS('2. Soil Data'!$P$5:$P$604,'2. Soil Data'!$A$5:$A$604,$A25)/$O25)</f>
        <v/>
      </c>
      <c r="F25" s="10">
        <f>IF($A25="","",SUMPRODUCT(MAX(('2. Soil Data'!$A$5:$A$604=$A25)*IF(ISNUMBER('2. Soil Data'!$E$5:$E$604),'2. Soil Data'!$E$5:$E$604,0))))</f>
        <v/>
      </c>
      <c r="G25" s="10">
        <f>IF(OR($A25="",$P25=0),"",SUMIFS('3. Root Biomass'!$N$5:$N$904,'3. Root Biomass'!$A$5:$A$904,$A25)/$P25)</f>
        <v/>
      </c>
      <c r="H25" s="10">
        <f>IF($A25="","",IFERROR(SUMIFS('4. Vegetation Data'!$M$5:$M$64,'4. Vegetation Data'!$A$5:$A$64,$A25),""))</f>
        <v/>
      </c>
      <c r="I25" s="10">
        <f>IF($A25="","",IF(ISNUMBER($D25),$D25,0)+IF(ISNUMBER($G25),$G25,0)+IF(ISNUMBER($H25),$H25,0))</f>
        <v/>
      </c>
      <c r="J25" s="10">
        <f>IF($A25="","",IF(ISNUMBER($E25),$E25,0)+IF(ISNUMBER($G25),$G25,0)+IF(ISNUMBER($H25),$H25,0))</f>
        <v/>
      </c>
      <c r="K25" s="11">
        <f>IF($A25="","",IF($C25=0,"No soil increments for this plot — it contributes nothing. ","")&amp;IF(AND(ISNUMBER($F25),$F25&lt;SOIL_REPORTING_DEPTH_CM),"Cored shallower than the reporting depth, so the reporting-depth figure is an UNDERESTIMATE for this plot. ","")&amp;IF(AND(ISNUMBER($G25),$G25&gt;0,ISNUMBER($F25)),"Root total reaches only "&amp;$F25&amp;" cm — the bottom of the core, not the bottom of the roots. Report it as a MINIMUM. ","")&amp;IF(AND(ISNUMBER($G25),$G25&gt;0,ROOTS_REMOVED_BEFORE_SOIL_C&lt;&gt;"Yes"),"Root carbon is being added to a soil stock NOT confirmed root-free — fine-root carbon is probably counted twice. ",""))</f>
        <v/>
      </c>
      <c r="L25" s="9">
        <f>IF(ISNUMBER($D25),$D25,"")</f>
        <v/>
      </c>
      <c r="M25" s="9">
        <f>IF(ISNUMBER($G25),$G25,"")</f>
        <v/>
      </c>
      <c r="N25" s="9">
        <f>IF(AND(ISNUMBER($D25),$A25&lt;&gt;""),1,0)</f>
        <v/>
      </c>
      <c r="O25" s="9">
        <f>IF($A25="","",SUMIFS('2. Soil Data'!$U$5:$U$604,'2. Soil Data'!$A$5:$A$604,$A25))</f>
        <v/>
      </c>
      <c r="P25" s="9">
        <f>IF($A25="","",SUMIFS('3. Root Biomass'!$Q$5:$Q$904,'3. Root Biomass'!$A$5:$A$904,$A25))</f>
        <v/>
      </c>
      <c r="Q25" s="9">
        <f>IF(ISNUMBER($D25),$D25^2,"")</f>
        <v/>
      </c>
      <c r="R25" s="9">
        <f>IF(ISNUMBER($G25),$G25^2,"")</f>
        <v/>
      </c>
    </row>
    <row r="26">
      <c r="A26" s="10">
        <f>IF(INDEX('1. Plot &amp; Site Log'!$A$5:$A$64,22)="","",INDEX('1. Plot &amp; Site Log'!$A$5:$A$64,22))</f>
        <v/>
      </c>
      <c r="B26" s="10">
        <f>IF($A26="","",INDEX('1. Plot &amp; Site Log'!$B$5:$B$64,MATCH($A26,'1. Plot &amp; Site Log'!$A$5:$A$64,0)))</f>
        <v/>
      </c>
      <c r="C26" s="10">
        <f>IF($A26="","",COUNTIFS('2. Soil Data'!$A$5:$A$604,$A26))</f>
        <v/>
      </c>
      <c r="D26" s="10">
        <f>IF(OR($A26="",$C26=0,$O26=0),"",SUMIFS('2. Soil Data'!$R$5:$R$604,'2. Soil Data'!$A$5:$A$604,$A26)/$O26)</f>
        <v/>
      </c>
      <c r="E26" s="10">
        <f>IF(OR($A26="",$C26=0,$O26=0),"",SUMIFS('2. Soil Data'!$P$5:$P$604,'2. Soil Data'!$A$5:$A$604,$A26)/$O26)</f>
        <v/>
      </c>
      <c r="F26" s="10">
        <f>IF($A26="","",SUMPRODUCT(MAX(('2. Soil Data'!$A$5:$A$604=$A26)*IF(ISNUMBER('2. Soil Data'!$E$5:$E$604),'2. Soil Data'!$E$5:$E$604,0))))</f>
        <v/>
      </c>
      <c r="G26" s="10">
        <f>IF(OR($A26="",$P26=0),"",SUMIFS('3. Root Biomass'!$N$5:$N$904,'3. Root Biomass'!$A$5:$A$904,$A26)/$P26)</f>
        <v/>
      </c>
      <c r="H26" s="10">
        <f>IF($A26="","",IFERROR(SUMIFS('4. Vegetation Data'!$M$5:$M$64,'4. Vegetation Data'!$A$5:$A$64,$A26),""))</f>
        <v/>
      </c>
      <c r="I26" s="10">
        <f>IF($A26="","",IF(ISNUMBER($D26),$D26,0)+IF(ISNUMBER($G26),$G26,0)+IF(ISNUMBER($H26),$H26,0))</f>
        <v/>
      </c>
      <c r="J26" s="10">
        <f>IF($A26="","",IF(ISNUMBER($E26),$E26,0)+IF(ISNUMBER($G26),$G26,0)+IF(ISNUMBER($H26),$H26,0))</f>
        <v/>
      </c>
      <c r="K26" s="11">
        <f>IF($A26="","",IF($C26=0,"No soil increments for this plot — it contributes nothing. ","")&amp;IF(AND(ISNUMBER($F26),$F26&lt;SOIL_REPORTING_DEPTH_CM),"Cored shallower than the reporting depth, so the reporting-depth figure is an UNDERESTIMATE for this plot. ","")&amp;IF(AND(ISNUMBER($G26),$G26&gt;0,ISNUMBER($F26)),"Root total reaches only "&amp;$F26&amp;" cm — the bottom of the core, not the bottom of the roots. Report it as a MINIMUM. ","")&amp;IF(AND(ISNUMBER($G26),$G26&gt;0,ROOTS_REMOVED_BEFORE_SOIL_C&lt;&gt;"Yes"),"Root carbon is being added to a soil stock NOT confirmed root-free — fine-root carbon is probably counted twice. ",""))</f>
        <v/>
      </c>
      <c r="L26" s="9">
        <f>IF(ISNUMBER($D26),$D26,"")</f>
        <v/>
      </c>
      <c r="M26" s="9">
        <f>IF(ISNUMBER($G26),$G26,"")</f>
        <v/>
      </c>
      <c r="N26" s="9">
        <f>IF(AND(ISNUMBER($D26),$A26&lt;&gt;""),1,0)</f>
        <v/>
      </c>
      <c r="O26" s="9">
        <f>IF($A26="","",SUMIFS('2. Soil Data'!$U$5:$U$604,'2. Soil Data'!$A$5:$A$604,$A26))</f>
        <v/>
      </c>
      <c r="P26" s="9">
        <f>IF($A26="","",SUMIFS('3. Root Biomass'!$Q$5:$Q$904,'3. Root Biomass'!$A$5:$A$904,$A26))</f>
        <v/>
      </c>
      <c r="Q26" s="9">
        <f>IF(ISNUMBER($D26),$D26^2,"")</f>
        <v/>
      </c>
      <c r="R26" s="9">
        <f>IF(ISNUMBER($G26),$G26^2,"")</f>
        <v/>
      </c>
    </row>
    <row r="27">
      <c r="A27" s="10">
        <f>IF(INDEX('1. Plot &amp; Site Log'!$A$5:$A$64,23)="","",INDEX('1. Plot &amp; Site Log'!$A$5:$A$64,23))</f>
        <v/>
      </c>
      <c r="B27" s="10">
        <f>IF($A27="","",INDEX('1. Plot &amp; Site Log'!$B$5:$B$64,MATCH($A27,'1. Plot &amp; Site Log'!$A$5:$A$64,0)))</f>
        <v/>
      </c>
      <c r="C27" s="10">
        <f>IF($A27="","",COUNTIFS('2. Soil Data'!$A$5:$A$604,$A27))</f>
        <v/>
      </c>
      <c r="D27" s="10">
        <f>IF(OR($A27="",$C27=0,$O27=0),"",SUMIFS('2. Soil Data'!$R$5:$R$604,'2. Soil Data'!$A$5:$A$604,$A27)/$O27)</f>
        <v/>
      </c>
      <c r="E27" s="10">
        <f>IF(OR($A27="",$C27=0,$O27=0),"",SUMIFS('2. Soil Data'!$P$5:$P$604,'2. Soil Data'!$A$5:$A$604,$A27)/$O27)</f>
        <v/>
      </c>
      <c r="F27" s="10">
        <f>IF($A27="","",SUMPRODUCT(MAX(('2. Soil Data'!$A$5:$A$604=$A27)*IF(ISNUMBER('2. Soil Data'!$E$5:$E$604),'2. Soil Data'!$E$5:$E$604,0))))</f>
        <v/>
      </c>
      <c r="G27" s="10">
        <f>IF(OR($A27="",$P27=0),"",SUMIFS('3. Root Biomass'!$N$5:$N$904,'3. Root Biomass'!$A$5:$A$904,$A27)/$P27)</f>
        <v/>
      </c>
      <c r="H27" s="10">
        <f>IF($A27="","",IFERROR(SUMIFS('4. Vegetation Data'!$M$5:$M$64,'4. Vegetation Data'!$A$5:$A$64,$A27),""))</f>
        <v/>
      </c>
      <c r="I27" s="10">
        <f>IF($A27="","",IF(ISNUMBER($D27),$D27,0)+IF(ISNUMBER($G27),$G27,0)+IF(ISNUMBER($H27),$H27,0))</f>
        <v/>
      </c>
      <c r="J27" s="10">
        <f>IF($A27="","",IF(ISNUMBER($E27),$E27,0)+IF(ISNUMBER($G27),$G27,0)+IF(ISNUMBER($H27),$H27,0))</f>
        <v/>
      </c>
      <c r="K27" s="11">
        <f>IF($A27="","",IF($C27=0,"No soil increments for this plot — it contributes nothing. ","")&amp;IF(AND(ISNUMBER($F27),$F27&lt;SOIL_REPORTING_DEPTH_CM),"Cored shallower than the reporting depth, so the reporting-depth figure is an UNDERESTIMATE for this plot. ","")&amp;IF(AND(ISNUMBER($G27),$G27&gt;0,ISNUMBER($F27)),"Root total reaches only "&amp;$F27&amp;" cm — the bottom of the core, not the bottom of the roots. Report it as a MINIMUM. ","")&amp;IF(AND(ISNUMBER($G27),$G27&gt;0,ROOTS_REMOVED_BEFORE_SOIL_C&lt;&gt;"Yes"),"Root carbon is being added to a soil stock NOT confirmed root-free — fine-root carbon is probably counted twice. ",""))</f>
        <v/>
      </c>
      <c r="L27" s="9">
        <f>IF(ISNUMBER($D27),$D27,"")</f>
        <v/>
      </c>
      <c r="M27" s="9">
        <f>IF(ISNUMBER($G27),$G27,"")</f>
        <v/>
      </c>
      <c r="N27" s="9">
        <f>IF(AND(ISNUMBER($D27),$A27&lt;&gt;""),1,0)</f>
        <v/>
      </c>
      <c r="O27" s="9">
        <f>IF($A27="","",SUMIFS('2. Soil Data'!$U$5:$U$604,'2. Soil Data'!$A$5:$A$604,$A27))</f>
        <v/>
      </c>
      <c r="P27" s="9">
        <f>IF($A27="","",SUMIFS('3. Root Biomass'!$Q$5:$Q$904,'3. Root Biomass'!$A$5:$A$904,$A27))</f>
        <v/>
      </c>
      <c r="Q27" s="9">
        <f>IF(ISNUMBER($D27),$D27^2,"")</f>
        <v/>
      </c>
      <c r="R27" s="9">
        <f>IF(ISNUMBER($G27),$G27^2,"")</f>
        <v/>
      </c>
    </row>
    <row r="28">
      <c r="A28" s="10">
        <f>IF(INDEX('1. Plot &amp; Site Log'!$A$5:$A$64,24)="","",INDEX('1. Plot &amp; Site Log'!$A$5:$A$64,24))</f>
        <v/>
      </c>
      <c r="B28" s="10">
        <f>IF($A28="","",INDEX('1. Plot &amp; Site Log'!$B$5:$B$64,MATCH($A28,'1. Plot &amp; Site Log'!$A$5:$A$64,0)))</f>
        <v/>
      </c>
      <c r="C28" s="10">
        <f>IF($A28="","",COUNTIFS('2. Soil Data'!$A$5:$A$604,$A28))</f>
        <v/>
      </c>
      <c r="D28" s="10">
        <f>IF(OR($A28="",$C28=0,$O28=0),"",SUMIFS('2. Soil Data'!$R$5:$R$604,'2. Soil Data'!$A$5:$A$604,$A28)/$O28)</f>
        <v/>
      </c>
      <c r="E28" s="10">
        <f>IF(OR($A28="",$C28=0,$O28=0),"",SUMIFS('2. Soil Data'!$P$5:$P$604,'2. Soil Data'!$A$5:$A$604,$A28)/$O28)</f>
        <v/>
      </c>
      <c r="F28" s="10">
        <f>IF($A28="","",SUMPRODUCT(MAX(('2. Soil Data'!$A$5:$A$604=$A28)*IF(ISNUMBER('2. Soil Data'!$E$5:$E$604),'2. Soil Data'!$E$5:$E$604,0))))</f>
        <v/>
      </c>
      <c r="G28" s="10">
        <f>IF(OR($A28="",$P28=0),"",SUMIFS('3. Root Biomass'!$N$5:$N$904,'3. Root Biomass'!$A$5:$A$904,$A28)/$P28)</f>
        <v/>
      </c>
      <c r="H28" s="10">
        <f>IF($A28="","",IFERROR(SUMIFS('4. Vegetation Data'!$M$5:$M$64,'4. Vegetation Data'!$A$5:$A$64,$A28),""))</f>
        <v/>
      </c>
      <c r="I28" s="10">
        <f>IF($A28="","",IF(ISNUMBER($D28),$D28,0)+IF(ISNUMBER($G28),$G28,0)+IF(ISNUMBER($H28),$H28,0))</f>
        <v/>
      </c>
      <c r="J28" s="10">
        <f>IF($A28="","",IF(ISNUMBER($E28),$E28,0)+IF(ISNUMBER($G28),$G28,0)+IF(ISNUMBER($H28),$H28,0))</f>
        <v/>
      </c>
      <c r="K28" s="11">
        <f>IF($A28="","",IF($C28=0,"No soil increments for this plot — it contributes nothing. ","")&amp;IF(AND(ISNUMBER($F28),$F28&lt;SOIL_REPORTING_DEPTH_CM),"Cored shallower than the reporting depth, so the reporting-depth figure is an UNDERESTIMATE for this plot. ","")&amp;IF(AND(ISNUMBER($G28),$G28&gt;0,ISNUMBER($F28)),"Root total reaches only "&amp;$F28&amp;" cm — the bottom of the core, not the bottom of the roots. Report it as a MINIMUM. ","")&amp;IF(AND(ISNUMBER($G28),$G28&gt;0,ROOTS_REMOVED_BEFORE_SOIL_C&lt;&gt;"Yes"),"Root carbon is being added to a soil stock NOT confirmed root-free — fine-root carbon is probably counted twice. ",""))</f>
        <v/>
      </c>
      <c r="L28" s="9">
        <f>IF(ISNUMBER($D28),$D28,"")</f>
        <v/>
      </c>
      <c r="M28" s="9">
        <f>IF(ISNUMBER($G28),$G28,"")</f>
        <v/>
      </c>
      <c r="N28" s="9">
        <f>IF(AND(ISNUMBER($D28),$A28&lt;&gt;""),1,0)</f>
        <v/>
      </c>
      <c r="O28" s="9">
        <f>IF($A28="","",SUMIFS('2. Soil Data'!$U$5:$U$604,'2. Soil Data'!$A$5:$A$604,$A28))</f>
        <v/>
      </c>
      <c r="P28" s="9">
        <f>IF($A28="","",SUMIFS('3. Root Biomass'!$Q$5:$Q$904,'3. Root Biomass'!$A$5:$A$904,$A28))</f>
        <v/>
      </c>
      <c r="Q28" s="9">
        <f>IF(ISNUMBER($D28),$D28^2,"")</f>
        <v/>
      </c>
      <c r="R28" s="9">
        <f>IF(ISNUMBER($G28),$G28^2,"")</f>
        <v/>
      </c>
    </row>
    <row r="29">
      <c r="A29" s="10">
        <f>IF(INDEX('1. Plot &amp; Site Log'!$A$5:$A$64,25)="","",INDEX('1. Plot &amp; Site Log'!$A$5:$A$64,25))</f>
        <v/>
      </c>
      <c r="B29" s="10">
        <f>IF($A29="","",INDEX('1. Plot &amp; Site Log'!$B$5:$B$64,MATCH($A29,'1. Plot &amp; Site Log'!$A$5:$A$64,0)))</f>
        <v/>
      </c>
      <c r="C29" s="10">
        <f>IF($A29="","",COUNTIFS('2. Soil Data'!$A$5:$A$604,$A29))</f>
        <v/>
      </c>
      <c r="D29" s="10">
        <f>IF(OR($A29="",$C29=0,$O29=0),"",SUMIFS('2. Soil Data'!$R$5:$R$604,'2. Soil Data'!$A$5:$A$604,$A29)/$O29)</f>
        <v/>
      </c>
      <c r="E29" s="10">
        <f>IF(OR($A29="",$C29=0,$O29=0),"",SUMIFS('2. Soil Data'!$P$5:$P$604,'2. Soil Data'!$A$5:$A$604,$A29)/$O29)</f>
        <v/>
      </c>
      <c r="F29" s="10">
        <f>IF($A29="","",SUMPRODUCT(MAX(('2. Soil Data'!$A$5:$A$604=$A29)*IF(ISNUMBER('2. Soil Data'!$E$5:$E$604),'2. Soil Data'!$E$5:$E$604,0))))</f>
        <v/>
      </c>
      <c r="G29" s="10">
        <f>IF(OR($A29="",$P29=0),"",SUMIFS('3. Root Biomass'!$N$5:$N$904,'3. Root Biomass'!$A$5:$A$904,$A29)/$P29)</f>
        <v/>
      </c>
      <c r="H29" s="10">
        <f>IF($A29="","",IFERROR(SUMIFS('4. Vegetation Data'!$M$5:$M$64,'4. Vegetation Data'!$A$5:$A$64,$A29),""))</f>
        <v/>
      </c>
      <c r="I29" s="10">
        <f>IF($A29="","",IF(ISNUMBER($D29),$D29,0)+IF(ISNUMBER($G29),$G29,0)+IF(ISNUMBER($H29),$H29,0))</f>
        <v/>
      </c>
      <c r="J29" s="10">
        <f>IF($A29="","",IF(ISNUMBER($E29),$E29,0)+IF(ISNUMBER($G29),$G29,0)+IF(ISNUMBER($H29),$H29,0))</f>
        <v/>
      </c>
      <c r="K29" s="11">
        <f>IF($A29="","",IF($C29=0,"No soil increments for this plot — it contributes nothing. ","")&amp;IF(AND(ISNUMBER($F29),$F29&lt;SOIL_REPORTING_DEPTH_CM),"Cored shallower than the reporting depth, so the reporting-depth figure is an UNDERESTIMATE for this plot. ","")&amp;IF(AND(ISNUMBER($G29),$G29&gt;0,ISNUMBER($F29)),"Root total reaches only "&amp;$F29&amp;" cm — the bottom of the core, not the bottom of the roots. Report it as a MINIMUM. ","")&amp;IF(AND(ISNUMBER($G29),$G29&gt;0,ROOTS_REMOVED_BEFORE_SOIL_C&lt;&gt;"Yes"),"Root carbon is being added to a soil stock NOT confirmed root-free — fine-root carbon is probably counted twice. ",""))</f>
        <v/>
      </c>
      <c r="L29" s="9">
        <f>IF(ISNUMBER($D29),$D29,"")</f>
        <v/>
      </c>
      <c r="M29" s="9">
        <f>IF(ISNUMBER($G29),$G29,"")</f>
        <v/>
      </c>
      <c r="N29" s="9">
        <f>IF(AND(ISNUMBER($D29),$A29&lt;&gt;""),1,0)</f>
        <v/>
      </c>
      <c r="O29" s="9">
        <f>IF($A29="","",SUMIFS('2. Soil Data'!$U$5:$U$604,'2. Soil Data'!$A$5:$A$604,$A29))</f>
        <v/>
      </c>
      <c r="P29" s="9">
        <f>IF($A29="","",SUMIFS('3. Root Biomass'!$Q$5:$Q$904,'3. Root Biomass'!$A$5:$A$904,$A29))</f>
        <v/>
      </c>
      <c r="Q29" s="9">
        <f>IF(ISNUMBER($D29),$D29^2,"")</f>
        <v/>
      </c>
      <c r="R29" s="9">
        <f>IF(ISNUMBER($G29),$G29^2,"")</f>
        <v/>
      </c>
    </row>
    <row r="30">
      <c r="A30" s="10">
        <f>IF(INDEX('1. Plot &amp; Site Log'!$A$5:$A$64,26)="","",INDEX('1. Plot &amp; Site Log'!$A$5:$A$64,26))</f>
        <v/>
      </c>
      <c r="B30" s="10">
        <f>IF($A30="","",INDEX('1. Plot &amp; Site Log'!$B$5:$B$64,MATCH($A30,'1. Plot &amp; Site Log'!$A$5:$A$64,0)))</f>
        <v/>
      </c>
      <c r="C30" s="10">
        <f>IF($A30="","",COUNTIFS('2. Soil Data'!$A$5:$A$604,$A30))</f>
        <v/>
      </c>
      <c r="D30" s="10">
        <f>IF(OR($A30="",$C30=0,$O30=0),"",SUMIFS('2. Soil Data'!$R$5:$R$604,'2. Soil Data'!$A$5:$A$604,$A30)/$O30)</f>
        <v/>
      </c>
      <c r="E30" s="10">
        <f>IF(OR($A30="",$C30=0,$O30=0),"",SUMIFS('2. Soil Data'!$P$5:$P$604,'2. Soil Data'!$A$5:$A$604,$A30)/$O30)</f>
        <v/>
      </c>
      <c r="F30" s="10">
        <f>IF($A30="","",SUMPRODUCT(MAX(('2. Soil Data'!$A$5:$A$604=$A30)*IF(ISNUMBER('2. Soil Data'!$E$5:$E$604),'2. Soil Data'!$E$5:$E$604,0))))</f>
        <v/>
      </c>
      <c r="G30" s="10">
        <f>IF(OR($A30="",$P30=0),"",SUMIFS('3. Root Biomass'!$N$5:$N$904,'3. Root Biomass'!$A$5:$A$904,$A30)/$P30)</f>
        <v/>
      </c>
      <c r="H30" s="10">
        <f>IF($A30="","",IFERROR(SUMIFS('4. Vegetation Data'!$M$5:$M$64,'4. Vegetation Data'!$A$5:$A$64,$A30),""))</f>
        <v/>
      </c>
      <c r="I30" s="10">
        <f>IF($A30="","",IF(ISNUMBER($D30),$D30,0)+IF(ISNUMBER($G30),$G30,0)+IF(ISNUMBER($H30),$H30,0))</f>
        <v/>
      </c>
      <c r="J30" s="10">
        <f>IF($A30="","",IF(ISNUMBER($E30),$E30,0)+IF(ISNUMBER($G30),$G30,0)+IF(ISNUMBER($H30),$H30,0))</f>
        <v/>
      </c>
      <c r="K30" s="11">
        <f>IF($A30="","",IF($C30=0,"No soil increments for this plot — it contributes nothing. ","")&amp;IF(AND(ISNUMBER($F30),$F30&lt;SOIL_REPORTING_DEPTH_CM),"Cored shallower than the reporting depth, so the reporting-depth figure is an UNDERESTIMATE for this plot. ","")&amp;IF(AND(ISNUMBER($G30),$G30&gt;0,ISNUMBER($F30)),"Root total reaches only "&amp;$F30&amp;" cm — the bottom of the core, not the bottom of the roots. Report it as a MINIMUM. ","")&amp;IF(AND(ISNUMBER($G30),$G30&gt;0,ROOTS_REMOVED_BEFORE_SOIL_C&lt;&gt;"Yes"),"Root carbon is being added to a soil stock NOT confirmed root-free — fine-root carbon is probably counted twice. ",""))</f>
        <v/>
      </c>
      <c r="L30" s="9">
        <f>IF(ISNUMBER($D30),$D30,"")</f>
        <v/>
      </c>
      <c r="M30" s="9">
        <f>IF(ISNUMBER($G30),$G30,"")</f>
        <v/>
      </c>
      <c r="N30" s="9">
        <f>IF(AND(ISNUMBER($D30),$A30&lt;&gt;""),1,0)</f>
        <v/>
      </c>
      <c r="O30" s="9">
        <f>IF($A30="","",SUMIFS('2. Soil Data'!$U$5:$U$604,'2. Soil Data'!$A$5:$A$604,$A30))</f>
        <v/>
      </c>
      <c r="P30" s="9">
        <f>IF($A30="","",SUMIFS('3. Root Biomass'!$Q$5:$Q$904,'3. Root Biomass'!$A$5:$A$904,$A30))</f>
        <v/>
      </c>
      <c r="Q30" s="9">
        <f>IF(ISNUMBER($D30),$D30^2,"")</f>
        <v/>
      </c>
      <c r="R30" s="9">
        <f>IF(ISNUMBER($G30),$G30^2,"")</f>
        <v/>
      </c>
    </row>
    <row r="31">
      <c r="A31" s="10">
        <f>IF(INDEX('1. Plot &amp; Site Log'!$A$5:$A$64,27)="","",INDEX('1. Plot &amp; Site Log'!$A$5:$A$64,27))</f>
        <v/>
      </c>
      <c r="B31" s="10">
        <f>IF($A31="","",INDEX('1. Plot &amp; Site Log'!$B$5:$B$64,MATCH($A31,'1. Plot &amp; Site Log'!$A$5:$A$64,0)))</f>
        <v/>
      </c>
      <c r="C31" s="10">
        <f>IF($A31="","",COUNTIFS('2. Soil Data'!$A$5:$A$604,$A31))</f>
        <v/>
      </c>
      <c r="D31" s="10">
        <f>IF(OR($A31="",$C31=0,$O31=0),"",SUMIFS('2. Soil Data'!$R$5:$R$604,'2. Soil Data'!$A$5:$A$604,$A31)/$O31)</f>
        <v/>
      </c>
      <c r="E31" s="10">
        <f>IF(OR($A31="",$C31=0,$O31=0),"",SUMIFS('2. Soil Data'!$P$5:$P$604,'2. Soil Data'!$A$5:$A$604,$A31)/$O31)</f>
        <v/>
      </c>
      <c r="F31" s="10">
        <f>IF($A31="","",SUMPRODUCT(MAX(('2. Soil Data'!$A$5:$A$604=$A31)*IF(ISNUMBER('2. Soil Data'!$E$5:$E$604),'2. Soil Data'!$E$5:$E$604,0))))</f>
        <v/>
      </c>
      <c r="G31" s="10">
        <f>IF(OR($A31="",$P31=0),"",SUMIFS('3. Root Biomass'!$N$5:$N$904,'3. Root Biomass'!$A$5:$A$904,$A31)/$P31)</f>
        <v/>
      </c>
      <c r="H31" s="10">
        <f>IF($A31="","",IFERROR(SUMIFS('4. Vegetation Data'!$M$5:$M$64,'4. Vegetation Data'!$A$5:$A$64,$A31),""))</f>
        <v/>
      </c>
      <c r="I31" s="10">
        <f>IF($A31="","",IF(ISNUMBER($D31),$D31,0)+IF(ISNUMBER($G31),$G31,0)+IF(ISNUMBER($H31),$H31,0))</f>
        <v/>
      </c>
      <c r="J31" s="10">
        <f>IF($A31="","",IF(ISNUMBER($E31),$E31,0)+IF(ISNUMBER($G31),$G31,0)+IF(ISNUMBER($H31),$H31,0))</f>
        <v/>
      </c>
      <c r="K31" s="11">
        <f>IF($A31="","",IF($C31=0,"No soil increments for this plot — it contributes nothing. ","")&amp;IF(AND(ISNUMBER($F31),$F31&lt;SOIL_REPORTING_DEPTH_CM),"Cored shallower than the reporting depth, so the reporting-depth figure is an UNDERESTIMATE for this plot. ","")&amp;IF(AND(ISNUMBER($G31),$G31&gt;0,ISNUMBER($F31)),"Root total reaches only "&amp;$F31&amp;" cm — the bottom of the core, not the bottom of the roots. Report it as a MINIMUM. ","")&amp;IF(AND(ISNUMBER($G31),$G31&gt;0,ROOTS_REMOVED_BEFORE_SOIL_C&lt;&gt;"Yes"),"Root carbon is being added to a soil stock NOT confirmed root-free — fine-root carbon is probably counted twice. ",""))</f>
        <v/>
      </c>
      <c r="L31" s="9">
        <f>IF(ISNUMBER($D31),$D31,"")</f>
        <v/>
      </c>
      <c r="M31" s="9">
        <f>IF(ISNUMBER($G31),$G31,"")</f>
        <v/>
      </c>
      <c r="N31" s="9">
        <f>IF(AND(ISNUMBER($D31),$A31&lt;&gt;""),1,0)</f>
        <v/>
      </c>
      <c r="O31" s="9">
        <f>IF($A31="","",SUMIFS('2. Soil Data'!$U$5:$U$604,'2. Soil Data'!$A$5:$A$604,$A31))</f>
        <v/>
      </c>
      <c r="P31" s="9">
        <f>IF($A31="","",SUMIFS('3. Root Biomass'!$Q$5:$Q$904,'3. Root Biomass'!$A$5:$A$904,$A31))</f>
        <v/>
      </c>
      <c r="Q31" s="9">
        <f>IF(ISNUMBER($D31),$D31^2,"")</f>
        <v/>
      </c>
      <c r="R31" s="9">
        <f>IF(ISNUMBER($G31),$G31^2,"")</f>
        <v/>
      </c>
    </row>
    <row r="32">
      <c r="A32" s="10">
        <f>IF(INDEX('1. Plot &amp; Site Log'!$A$5:$A$64,28)="","",INDEX('1. Plot &amp; Site Log'!$A$5:$A$64,28))</f>
        <v/>
      </c>
      <c r="B32" s="10">
        <f>IF($A32="","",INDEX('1. Plot &amp; Site Log'!$B$5:$B$64,MATCH($A32,'1. Plot &amp; Site Log'!$A$5:$A$64,0)))</f>
        <v/>
      </c>
      <c r="C32" s="10">
        <f>IF($A32="","",COUNTIFS('2. Soil Data'!$A$5:$A$604,$A32))</f>
        <v/>
      </c>
      <c r="D32" s="10">
        <f>IF(OR($A32="",$C32=0,$O32=0),"",SUMIFS('2. Soil Data'!$R$5:$R$604,'2. Soil Data'!$A$5:$A$604,$A32)/$O32)</f>
        <v/>
      </c>
      <c r="E32" s="10">
        <f>IF(OR($A32="",$C32=0,$O32=0),"",SUMIFS('2. Soil Data'!$P$5:$P$604,'2. Soil Data'!$A$5:$A$604,$A32)/$O32)</f>
        <v/>
      </c>
      <c r="F32" s="10">
        <f>IF($A32="","",SUMPRODUCT(MAX(('2. Soil Data'!$A$5:$A$604=$A32)*IF(ISNUMBER('2. Soil Data'!$E$5:$E$604),'2. Soil Data'!$E$5:$E$604,0))))</f>
        <v/>
      </c>
      <c r="G32" s="10">
        <f>IF(OR($A32="",$P32=0),"",SUMIFS('3. Root Biomass'!$N$5:$N$904,'3. Root Biomass'!$A$5:$A$904,$A32)/$P32)</f>
        <v/>
      </c>
      <c r="H32" s="10">
        <f>IF($A32="","",IFERROR(SUMIFS('4. Vegetation Data'!$M$5:$M$64,'4. Vegetation Data'!$A$5:$A$64,$A32),""))</f>
        <v/>
      </c>
      <c r="I32" s="10">
        <f>IF($A32="","",IF(ISNUMBER($D32),$D32,0)+IF(ISNUMBER($G32),$G32,0)+IF(ISNUMBER($H32),$H32,0))</f>
        <v/>
      </c>
      <c r="J32" s="10">
        <f>IF($A32="","",IF(ISNUMBER($E32),$E32,0)+IF(ISNUMBER($G32),$G32,0)+IF(ISNUMBER($H32),$H32,0))</f>
        <v/>
      </c>
      <c r="K32" s="11">
        <f>IF($A32="","",IF($C32=0,"No soil increments for this plot — it contributes nothing. ","")&amp;IF(AND(ISNUMBER($F32),$F32&lt;SOIL_REPORTING_DEPTH_CM),"Cored shallower than the reporting depth, so the reporting-depth figure is an UNDERESTIMATE for this plot. ","")&amp;IF(AND(ISNUMBER($G32),$G32&gt;0,ISNUMBER($F32)),"Root total reaches only "&amp;$F32&amp;" cm — the bottom of the core, not the bottom of the roots. Report it as a MINIMUM. ","")&amp;IF(AND(ISNUMBER($G32),$G32&gt;0,ROOTS_REMOVED_BEFORE_SOIL_C&lt;&gt;"Yes"),"Root carbon is being added to a soil stock NOT confirmed root-free — fine-root carbon is probably counted twice. ",""))</f>
        <v/>
      </c>
      <c r="L32" s="9">
        <f>IF(ISNUMBER($D32),$D32,"")</f>
        <v/>
      </c>
      <c r="M32" s="9">
        <f>IF(ISNUMBER($G32),$G32,"")</f>
        <v/>
      </c>
      <c r="N32" s="9">
        <f>IF(AND(ISNUMBER($D32),$A32&lt;&gt;""),1,0)</f>
        <v/>
      </c>
      <c r="O32" s="9">
        <f>IF($A32="","",SUMIFS('2. Soil Data'!$U$5:$U$604,'2. Soil Data'!$A$5:$A$604,$A32))</f>
        <v/>
      </c>
      <c r="P32" s="9">
        <f>IF($A32="","",SUMIFS('3. Root Biomass'!$Q$5:$Q$904,'3. Root Biomass'!$A$5:$A$904,$A32))</f>
        <v/>
      </c>
      <c r="Q32" s="9">
        <f>IF(ISNUMBER($D32),$D32^2,"")</f>
        <v/>
      </c>
      <c r="R32" s="9">
        <f>IF(ISNUMBER($G32),$G32^2,"")</f>
        <v/>
      </c>
    </row>
    <row r="33">
      <c r="A33" s="10">
        <f>IF(INDEX('1. Plot &amp; Site Log'!$A$5:$A$64,29)="","",INDEX('1. Plot &amp; Site Log'!$A$5:$A$64,29))</f>
        <v/>
      </c>
      <c r="B33" s="10">
        <f>IF($A33="","",INDEX('1. Plot &amp; Site Log'!$B$5:$B$64,MATCH($A33,'1. Plot &amp; Site Log'!$A$5:$A$64,0)))</f>
        <v/>
      </c>
      <c r="C33" s="10">
        <f>IF($A33="","",COUNTIFS('2. Soil Data'!$A$5:$A$604,$A33))</f>
        <v/>
      </c>
      <c r="D33" s="10">
        <f>IF(OR($A33="",$C33=0,$O33=0),"",SUMIFS('2. Soil Data'!$R$5:$R$604,'2. Soil Data'!$A$5:$A$604,$A33)/$O33)</f>
        <v/>
      </c>
      <c r="E33" s="10">
        <f>IF(OR($A33="",$C33=0,$O33=0),"",SUMIFS('2. Soil Data'!$P$5:$P$604,'2. Soil Data'!$A$5:$A$604,$A33)/$O33)</f>
        <v/>
      </c>
      <c r="F33" s="10">
        <f>IF($A33="","",SUMPRODUCT(MAX(('2. Soil Data'!$A$5:$A$604=$A33)*IF(ISNUMBER('2. Soil Data'!$E$5:$E$604),'2. Soil Data'!$E$5:$E$604,0))))</f>
        <v/>
      </c>
      <c r="G33" s="10">
        <f>IF(OR($A33="",$P33=0),"",SUMIFS('3. Root Biomass'!$N$5:$N$904,'3. Root Biomass'!$A$5:$A$904,$A33)/$P33)</f>
        <v/>
      </c>
      <c r="H33" s="10">
        <f>IF($A33="","",IFERROR(SUMIFS('4. Vegetation Data'!$M$5:$M$64,'4. Vegetation Data'!$A$5:$A$64,$A33),""))</f>
        <v/>
      </c>
      <c r="I33" s="10">
        <f>IF($A33="","",IF(ISNUMBER($D33),$D33,0)+IF(ISNUMBER($G33),$G33,0)+IF(ISNUMBER($H33),$H33,0))</f>
        <v/>
      </c>
      <c r="J33" s="10">
        <f>IF($A33="","",IF(ISNUMBER($E33),$E33,0)+IF(ISNUMBER($G33),$G33,0)+IF(ISNUMBER($H33),$H33,0))</f>
        <v/>
      </c>
      <c r="K33" s="11">
        <f>IF($A33="","",IF($C33=0,"No soil increments for this plot — it contributes nothing. ","")&amp;IF(AND(ISNUMBER($F33),$F33&lt;SOIL_REPORTING_DEPTH_CM),"Cored shallower than the reporting depth, so the reporting-depth figure is an UNDERESTIMATE for this plot. ","")&amp;IF(AND(ISNUMBER($G33),$G33&gt;0,ISNUMBER($F33)),"Root total reaches only "&amp;$F33&amp;" cm — the bottom of the core, not the bottom of the roots. Report it as a MINIMUM. ","")&amp;IF(AND(ISNUMBER($G33),$G33&gt;0,ROOTS_REMOVED_BEFORE_SOIL_C&lt;&gt;"Yes"),"Root carbon is being added to a soil stock NOT confirmed root-free — fine-root carbon is probably counted twice. ",""))</f>
        <v/>
      </c>
      <c r="L33" s="9">
        <f>IF(ISNUMBER($D33),$D33,"")</f>
        <v/>
      </c>
      <c r="M33" s="9">
        <f>IF(ISNUMBER($G33),$G33,"")</f>
        <v/>
      </c>
      <c r="N33" s="9">
        <f>IF(AND(ISNUMBER($D33),$A33&lt;&gt;""),1,0)</f>
        <v/>
      </c>
      <c r="O33" s="9">
        <f>IF($A33="","",SUMIFS('2. Soil Data'!$U$5:$U$604,'2. Soil Data'!$A$5:$A$604,$A33))</f>
        <v/>
      </c>
      <c r="P33" s="9">
        <f>IF($A33="","",SUMIFS('3. Root Biomass'!$Q$5:$Q$904,'3. Root Biomass'!$A$5:$A$904,$A33))</f>
        <v/>
      </c>
      <c r="Q33" s="9">
        <f>IF(ISNUMBER($D33),$D33^2,"")</f>
        <v/>
      </c>
      <c r="R33" s="9">
        <f>IF(ISNUMBER($G33),$G33^2,"")</f>
        <v/>
      </c>
    </row>
    <row r="34">
      <c r="A34" s="10">
        <f>IF(INDEX('1. Plot &amp; Site Log'!$A$5:$A$64,30)="","",INDEX('1. Plot &amp; Site Log'!$A$5:$A$64,30))</f>
        <v/>
      </c>
      <c r="B34" s="10">
        <f>IF($A34="","",INDEX('1. Plot &amp; Site Log'!$B$5:$B$64,MATCH($A34,'1. Plot &amp; Site Log'!$A$5:$A$64,0)))</f>
        <v/>
      </c>
      <c r="C34" s="10">
        <f>IF($A34="","",COUNTIFS('2. Soil Data'!$A$5:$A$604,$A34))</f>
        <v/>
      </c>
      <c r="D34" s="10">
        <f>IF(OR($A34="",$C34=0,$O34=0),"",SUMIFS('2. Soil Data'!$R$5:$R$604,'2. Soil Data'!$A$5:$A$604,$A34)/$O34)</f>
        <v/>
      </c>
      <c r="E34" s="10">
        <f>IF(OR($A34="",$C34=0,$O34=0),"",SUMIFS('2. Soil Data'!$P$5:$P$604,'2. Soil Data'!$A$5:$A$604,$A34)/$O34)</f>
        <v/>
      </c>
      <c r="F34" s="10">
        <f>IF($A34="","",SUMPRODUCT(MAX(('2. Soil Data'!$A$5:$A$604=$A34)*IF(ISNUMBER('2. Soil Data'!$E$5:$E$604),'2. Soil Data'!$E$5:$E$604,0))))</f>
        <v/>
      </c>
      <c r="G34" s="10">
        <f>IF(OR($A34="",$P34=0),"",SUMIFS('3. Root Biomass'!$N$5:$N$904,'3. Root Biomass'!$A$5:$A$904,$A34)/$P34)</f>
        <v/>
      </c>
      <c r="H34" s="10">
        <f>IF($A34="","",IFERROR(SUMIFS('4. Vegetation Data'!$M$5:$M$64,'4. Vegetation Data'!$A$5:$A$64,$A34),""))</f>
        <v/>
      </c>
      <c r="I34" s="10">
        <f>IF($A34="","",IF(ISNUMBER($D34),$D34,0)+IF(ISNUMBER($G34),$G34,0)+IF(ISNUMBER($H34),$H34,0))</f>
        <v/>
      </c>
      <c r="J34" s="10">
        <f>IF($A34="","",IF(ISNUMBER($E34),$E34,0)+IF(ISNUMBER($G34),$G34,0)+IF(ISNUMBER($H34),$H34,0))</f>
        <v/>
      </c>
      <c r="K34" s="11">
        <f>IF($A34="","",IF($C34=0,"No soil increments for this plot — it contributes nothing. ","")&amp;IF(AND(ISNUMBER($F34),$F34&lt;SOIL_REPORTING_DEPTH_CM),"Cored shallower than the reporting depth, so the reporting-depth figure is an UNDERESTIMATE for this plot. ","")&amp;IF(AND(ISNUMBER($G34),$G34&gt;0,ISNUMBER($F34)),"Root total reaches only "&amp;$F34&amp;" cm — the bottom of the core, not the bottom of the roots. Report it as a MINIMUM. ","")&amp;IF(AND(ISNUMBER($G34),$G34&gt;0,ROOTS_REMOVED_BEFORE_SOIL_C&lt;&gt;"Yes"),"Root carbon is being added to a soil stock NOT confirmed root-free — fine-root carbon is probably counted twice. ",""))</f>
        <v/>
      </c>
      <c r="L34" s="9">
        <f>IF(ISNUMBER($D34),$D34,"")</f>
        <v/>
      </c>
      <c r="M34" s="9">
        <f>IF(ISNUMBER($G34),$G34,"")</f>
        <v/>
      </c>
      <c r="N34" s="9">
        <f>IF(AND(ISNUMBER($D34),$A34&lt;&gt;""),1,0)</f>
        <v/>
      </c>
      <c r="O34" s="9">
        <f>IF($A34="","",SUMIFS('2. Soil Data'!$U$5:$U$604,'2. Soil Data'!$A$5:$A$604,$A34))</f>
        <v/>
      </c>
      <c r="P34" s="9">
        <f>IF($A34="","",SUMIFS('3. Root Biomass'!$Q$5:$Q$904,'3. Root Biomass'!$A$5:$A$904,$A34))</f>
        <v/>
      </c>
      <c r="Q34" s="9">
        <f>IF(ISNUMBER($D34),$D34^2,"")</f>
        <v/>
      </c>
      <c r="R34" s="9">
        <f>IF(ISNUMBER($G34),$G34^2,"")</f>
        <v/>
      </c>
    </row>
    <row r="35">
      <c r="A35" s="10">
        <f>IF(INDEX('1. Plot &amp; Site Log'!$A$5:$A$64,31)="","",INDEX('1. Plot &amp; Site Log'!$A$5:$A$64,31))</f>
        <v/>
      </c>
      <c r="B35" s="10">
        <f>IF($A35="","",INDEX('1. Plot &amp; Site Log'!$B$5:$B$64,MATCH($A35,'1. Plot &amp; Site Log'!$A$5:$A$64,0)))</f>
        <v/>
      </c>
      <c r="C35" s="10">
        <f>IF($A35="","",COUNTIFS('2. Soil Data'!$A$5:$A$604,$A35))</f>
        <v/>
      </c>
      <c r="D35" s="10">
        <f>IF(OR($A35="",$C35=0,$O35=0),"",SUMIFS('2. Soil Data'!$R$5:$R$604,'2. Soil Data'!$A$5:$A$604,$A35)/$O35)</f>
        <v/>
      </c>
      <c r="E35" s="10">
        <f>IF(OR($A35="",$C35=0,$O35=0),"",SUMIFS('2. Soil Data'!$P$5:$P$604,'2. Soil Data'!$A$5:$A$604,$A35)/$O35)</f>
        <v/>
      </c>
      <c r="F35" s="10">
        <f>IF($A35="","",SUMPRODUCT(MAX(('2. Soil Data'!$A$5:$A$604=$A35)*IF(ISNUMBER('2. Soil Data'!$E$5:$E$604),'2. Soil Data'!$E$5:$E$604,0))))</f>
        <v/>
      </c>
      <c r="G35" s="10">
        <f>IF(OR($A35="",$P35=0),"",SUMIFS('3. Root Biomass'!$N$5:$N$904,'3. Root Biomass'!$A$5:$A$904,$A35)/$P35)</f>
        <v/>
      </c>
      <c r="H35" s="10">
        <f>IF($A35="","",IFERROR(SUMIFS('4. Vegetation Data'!$M$5:$M$64,'4. Vegetation Data'!$A$5:$A$64,$A35),""))</f>
        <v/>
      </c>
      <c r="I35" s="10">
        <f>IF($A35="","",IF(ISNUMBER($D35),$D35,0)+IF(ISNUMBER($G35),$G35,0)+IF(ISNUMBER($H35),$H35,0))</f>
        <v/>
      </c>
      <c r="J35" s="10">
        <f>IF($A35="","",IF(ISNUMBER($E35),$E35,0)+IF(ISNUMBER($G35),$G35,0)+IF(ISNUMBER($H35),$H35,0))</f>
        <v/>
      </c>
      <c r="K35" s="11">
        <f>IF($A35="","",IF($C35=0,"No soil increments for this plot — it contributes nothing. ","")&amp;IF(AND(ISNUMBER($F35),$F35&lt;SOIL_REPORTING_DEPTH_CM),"Cored shallower than the reporting depth, so the reporting-depth figure is an UNDERESTIMATE for this plot. ","")&amp;IF(AND(ISNUMBER($G35),$G35&gt;0,ISNUMBER($F35)),"Root total reaches only "&amp;$F35&amp;" cm — the bottom of the core, not the bottom of the roots. Report it as a MINIMUM. ","")&amp;IF(AND(ISNUMBER($G35),$G35&gt;0,ROOTS_REMOVED_BEFORE_SOIL_C&lt;&gt;"Yes"),"Root carbon is being added to a soil stock NOT confirmed root-free — fine-root carbon is probably counted twice. ",""))</f>
        <v/>
      </c>
      <c r="L35" s="9">
        <f>IF(ISNUMBER($D35),$D35,"")</f>
        <v/>
      </c>
      <c r="M35" s="9">
        <f>IF(ISNUMBER($G35),$G35,"")</f>
        <v/>
      </c>
      <c r="N35" s="9">
        <f>IF(AND(ISNUMBER($D35),$A35&lt;&gt;""),1,0)</f>
        <v/>
      </c>
      <c r="O35" s="9">
        <f>IF($A35="","",SUMIFS('2. Soil Data'!$U$5:$U$604,'2. Soil Data'!$A$5:$A$604,$A35))</f>
        <v/>
      </c>
      <c r="P35" s="9">
        <f>IF($A35="","",SUMIFS('3. Root Biomass'!$Q$5:$Q$904,'3. Root Biomass'!$A$5:$A$904,$A35))</f>
        <v/>
      </c>
      <c r="Q35" s="9">
        <f>IF(ISNUMBER($D35),$D35^2,"")</f>
        <v/>
      </c>
      <c r="R35" s="9">
        <f>IF(ISNUMBER($G35),$G35^2,"")</f>
        <v/>
      </c>
    </row>
    <row r="36">
      <c r="A36" s="10">
        <f>IF(INDEX('1. Plot &amp; Site Log'!$A$5:$A$64,32)="","",INDEX('1. Plot &amp; Site Log'!$A$5:$A$64,32))</f>
        <v/>
      </c>
      <c r="B36" s="10">
        <f>IF($A36="","",INDEX('1. Plot &amp; Site Log'!$B$5:$B$64,MATCH($A36,'1. Plot &amp; Site Log'!$A$5:$A$64,0)))</f>
        <v/>
      </c>
      <c r="C36" s="10">
        <f>IF($A36="","",COUNTIFS('2. Soil Data'!$A$5:$A$604,$A36))</f>
        <v/>
      </c>
      <c r="D36" s="10">
        <f>IF(OR($A36="",$C36=0,$O36=0),"",SUMIFS('2. Soil Data'!$R$5:$R$604,'2. Soil Data'!$A$5:$A$604,$A36)/$O36)</f>
        <v/>
      </c>
      <c r="E36" s="10">
        <f>IF(OR($A36="",$C36=0,$O36=0),"",SUMIFS('2. Soil Data'!$P$5:$P$604,'2. Soil Data'!$A$5:$A$604,$A36)/$O36)</f>
        <v/>
      </c>
      <c r="F36" s="10">
        <f>IF($A36="","",SUMPRODUCT(MAX(('2. Soil Data'!$A$5:$A$604=$A36)*IF(ISNUMBER('2. Soil Data'!$E$5:$E$604),'2. Soil Data'!$E$5:$E$604,0))))</f>
        <v/>
      </c>
      <c r="G36" s="10">
        <f>IF(OR($A36="",$P36=0),"",SUMIFS('3. Root Biomass'!$N$5:$N$904,'3. Root Biomass'!$A$5:$A$904,$A36)/$P36)</f>
        <v/>
      </c>
      <c r="H36" s="10">
        <f>IF($A36="","",IFERROR(SUMIFS('4. Vegetation Data'!$M$5:$M$64,'4. Vegetation Data'!$A$5:$A$64,$A36),""))</f>
        <v/>
      </c>
      <c r="I36" s="10">
        <f>IF($A36="","",IF(ISNUMBER($D36),$D36,0)+IF(ISNUMBER($G36),$G36,0)+IF(ISNUMBER($H36),$H36,0))</f>
        <v/>
      </c>
      <c r="J36" s="10">
        <f>IF($A36="","",IF(ISNUMBER($E36),$E36,0)+IF(ISNUMBER($G36),$G36,0)+IF(ISNUMBER($H36),$H36,0))</f>
        <v/>
      </c>
      <c r="K36" s="11">
        <f>IF($A36="","",IF($C36=0,"No soil increments for this plot — it contributes nothing. ","")&amp;IF(AND(ISNUMBER($F36),$F36&lt;SOIL_REPORTING_DEPTH_CM),"Cored shallower than the reporting depth, so the reporting-depth figure is an UNDERESTIMATE for this plot. ","")&amp;IF(AND(ISNUMBER($G36),$G36&gt;0,ISNUMBER($F36)),"Root total reaches only "&amp;$F36&amp;" cm — the bottom of the core, not the bottom of the roots. Report it as a MINIMUM. ","")&amp;IF(AND(ISNUMBER($G36),$G36&gt;0,ROOTS_REMOVED_BEFORE_SOIL_C&lt;&gt;"Yes"),"Root carbon is being added to a soil stock NOT confirmed root-free — fine-root carbon is probably counted twice. ",""))</f>
        <v/>
      </c>
      <c r="L36" s="9">
        <f>IF(ISNUMBER($D36),$D36,"")</f>
        <v/>
      </c>
      <c r="M36" s="9">
        <f>IF(ISNUMBER($G36),$G36,"")</f>
        <v/>
      </c>
      <c r="N36" s="9">
        <f>IF(AND(ISNUMBER($D36),$A36&lt;&gt;""),1,0)</f>
        <v/>
      </c>
      <c r="O36" s="9">
        <f>IF($A36="","",SUMIFS('2. Soil Data'!$U$5:$U$604,'2. Soil Data'!$A$5:$A$604,$A36))</f>
        <v/>
      </c>
      <c r="P36" s="9">
        <f>IF($A36="","",SUMIFS('3. Root Biomass'!$Q$5:$Q$904,'3. Root Biomass'!$A$5:$A$904,$A36))</f>
        <v/>
      </c>
      <c r="Q36" s="9">
        <f>IF(ISNUMBER($D36),$D36^2,"")</f>
        <v/>
      </c>
      <c r="R36" s="9">
        <f>IF(ISNUMBER($G36),$G36^2,"")</f>
        <v/>
      </c>
    </row>
    <row r="37">
      <c r="A37" s="10">
        <f>IF(INDEX('1. Plot &amp; Site Log'!$A$5:$A$64,33)="","",INDEX('1. Plot &amp; Site Log'!$A$5:$A$64,33))</f>
        <v/>
      </c>
      <c r="B37" s="10">
        <f>IF($A37="","",INDEX('1. Plot &amp; Site Log'!$B$5:$B$64,MATCH($A37,'1. Plot &amp; Site Log'!$A$5:$A$64,0)))</f>
        <v/>
      </c>
      <c r="C37" s="10">
        <f>IF($A37="","",COUNTIFS('2. Soil Data'!$A$5:$A$604,$A37))</f>
        <v/>
      </c>
      <c r="D37" s="10">
        <f>IF(OR($A37="",$C37=0,$O37=0),"",SUMIFS('2. Soil Data'!$R$5:$R$604,'2. Soil Data'!$A$5:$A$604,$A37)/$O37)</f>
        <v/>
      </c>
      <c r="E37" s="10">
        <f>IF(OR($A37="",$C37=0,$O37=0),"",SUMIFS('2. Soil Data'!$P$5:$P$604,'2. Soil Data'!$A$5:$A$604,$A37)/$O37)</f>
        <v/>
      </c>
      <c r="F37" s="10">
        <f>IF($A37="","",SUMPRODUCT(MAX(('2. Soil Data'!$A$5:$A$604=$A37)*IF(ISNUMBER('2. Soil Data'!$E$5:$E$604),'2. Soil Data'!$E$5:$E$604,0))))</f>
        <v/>
      </c>
      <c r="G37" s="10">
        <f>IF(OR($A37="",$P37=0),"",SUMIFS('3. Root Biomass'!$N$5:$N$904,'3. Root Biomass'!$A$5:$A$904,$A37)/$P37)</f>
        <v/>
      </c>
      <c r="H37" s="10">
        <f>IF($A37="","",IFERROR(SUMIFS('4. Vegetation Data'!$M$5:$M$64,'4. Vegetation Data'!$A$5:$A$64,$A37),""))</f>
        <v/>
      </c>
      <c r="I37" s="10">
        <f>IF($A37="","",IF(ISNUMBER($D37),$D37,0)+IF(ISNUMBER($G37),$G37,0)+IF(ISNUMBER($H37),$H37,0))</f>
        <v/>
      </c>
      <c r="J37" s="10">
        <f>IF($A37="","",IF(ISNUMBER($E37),$E37,0)+IF(ISNUMBER($G37),$G37,0)+IF(ISNUMBER($H37),$H37,0))</f>
        <v/>
      </c>
      <c r="K37" s="11">
        <f>IF($A37="","",IF($C37=0,"No soil increments for this plot — it contributes nothing. ","")&amp;IF(AND(ISNUMBER($F37),$F37&lt;SOIL_REPORTING_DEPTH_CM),"Cored shallower than the reporting depth, so the reporting-depth figure is an UNDERESTIMATE for this plot. ","")&amp;IF(AND(ISNUMBER($G37),$G37&gt;0,ISNUMBER($F37)),"Root total reaches only "&amp;$F37&amp;" cm — the bottom of the core, not the bottom of the roots. Report it as a MINIMUM. ","")&amp;IF(AND(ISNUMBER($G37),$G37&gt;0,ROOTS_REMOVED_BEFORE_SOIL_C&lt;&gt;"Yes"),"Root carbon is being added to a soil stock NOT confirmed root-free — fine-root carbon is probably counted twice. ",""))</f>
        <v/>
      </c>
      <c r="L37" s="9">
        <f>IF(ISNUMBER($D37),$D37,"")</f>
        <v/>
      </c>
      <c r="M37" s="9">
        <f>IF(ISNUMBER($G37),$G37,"")</f>
        <v/>
      </c>
      <c r="N37" s="9">
        <f>IF(AND(ISNUMBER($D37),$A37&lt;&gt;""),1,0)</f>
        <v/>
      </c>
      <c r="O37" s="9">
        <f>IF($A37="","",SUMIFS('2. Soil Data'!$U$5:$U$604,'2. Soil Data'!$A$5:$A$604,$A37))</f>
        <v/>
      </c>
      <c r="P37" s="9">
        <f>IF($A37="","",SUMIFS('3. Root Biomass'!$Q$5:$Q$904,'3. Root Biomass'!$A$5:$A$904,$A37))</f>
        <v/>
      </c>
      <c r="Q37" s="9">
        <f>IF(ISNUMBER($D37),$D37^2,"")</f>
        <v/>
      </c>
      <c r="R37" s="9">
        <f>IF(ISNUMBER($G37),$G37^2,"")</f>
        <v/>
      </c>
    </row>
    <row r="38">
      <c r="A38" s="10">
        <f>IF(INDEX('1. Plot &amp; Site Log'!$A$5:$A$64,34)="","",INDEX('1. Plot &amp; Site Log'!$A$5:$A$64,34))</f>
        <v/>
      </c>
      <c r="B38" s="10">
        <f>IF($A38="","",INDEX('1. Plot &amp; Site Log'!$B$5:$B$64,MATCH($A38,'1. Plot &amp; Site Log'!$A$5:$A$64,0)))</f>
        <v/>
      </c>
      <c r="C38" s="10">
        <f>IF($A38="","",COUNTIFS('2. Soil Data'!$A$5:$A$604,$A38))</f>
        <v/>
      </c>
      <c r="D38" s="10">
        <f>IF(OR($A38="",$C38=0,$O38=0),"",SUMIFS('2. Soil Data'!$R$5:$R$604,'2. Soil Data'!$A$5:$A$604,$A38)/$O38)</f>
        <v/>
      </c>
      <c r="E38" s="10">
        <f>IF(OR($A38="",$C38=0,$O38=0),"",SUMIFS('2. Soil Data'!$P$5:$P$604,'2. Soil Data'!$A$5:$A$604,$A38)/$O38)</f>
        <v/>
      </c>
      <c r="F38" s="10">
        <f>IF($A38="","",SUMPRODUCT(MAX(('2. Soil Data'!$A$5:$A$604=$A38)*IF(ISNUMBER('2. Soil Data'!$E$5:$E$604),'2. Soil Data'!$E$5:$E$604,0))))</f>
        <v/>
      </c>
      <c r="G38" s="10">
        <f>IF(OR($A38="",$P38=0),"",SUMIFS('3. Root Biomass'!$N$5:$N$904,'3. Root Biomass'!$A$5:$A$904,$A38)/$P38)</f>
        <v/>
      </c>
      <c r="H38" s="10">
        <f>IF($A38="","",IFERROR(SUMIFS('4. Vegetation Data'!$M$5:$M$64,'4. Vegetation Data'!$A$5:$A$64,$A38),""))</f>
        <v/>
      </c>
      <c r="I38" s="10">
        <f>IF($A38="","",IF(ISNUMBER($D38),$D38,0)+IF(ISNUMBER($G38),$G38,0)+IF(ISNUMBER($H38),$H38,0))</f>
        <v/>
      </c>
      <c r="J38" s="10">
        <f>IF($A38="","",IF(ISNUMBER($E38),$E38,0)+IF(ISNUMBER($G38),$G38,0)+IF(ISNUMBER($H38),$H38,0))</f>
        <v/>
      </c>
      <c r="K38" s="11">
        <f>IF($A38="","",IF($C38=0,"No soil increments for this plot — it contributes nothing. ","")&amp;IF(AND(ISNUMBER($F38),$F38&lt;SOIL_REPORTING_DEPTH_CM),"Cored shallower than the reporting depth, so the reporting-depth figure is an UNDERESTIMATE for this plot. ","")&amp;IF(AND(ISNUMBER($G38),$G38&gt;0,ISNUMBER($F38)),"Root total reaches only "&amp;$F38&amp;" cm — the bottom of the core, not the bottom of the roots. Report it as a MINIMUM. ","")&amp;IF(AND(ISNUMBER($G38),$G38&gt;0,ROOTS_REMOVED_BEFORE_SOIL_C&lt;&gt;"Yes"),"Root carbon is being added to a soil stock NOT confirmed root-free — fine-root carbon is probably counted twice. ",""))</f>
        <v/>
      </c>
      <c r="L38" s="9">
        <f>IF(ISNUMBER($D38),$D38,"")</f>
        <v/>
      </c>
      <c r="M38" s="9">
        <f>IF(ISNUMBER($G38),$G38,"")</f>
        <v/>
      </c>
      <c r="N38" s="9">
        <f>IF(AND(ISNUMBER($D38),$A38&lt;&gt;""),1,0)</f>
        <v/>
      </c>
      <c r="O38" s="9">
        <f>IF($A38="","",SUMIFS('2. Soil Data'!$U$5:$U$604,'2. Soil Data'!$A$5:$A$604,$A38))</f>
        <v/>
      </c>
      <c r="P38" s="9">
        <f>IF($A38="","",SUMIFS('3. Root Biomass'!$Q$5:$Q$904,'3. Root Biomass'!$A$5:$A$904,$A38))</f>
        <v/>
      </c>
      <c r="Q38" s="9">
        <f>IF(ISNUMBER($D38),$D38^2,"")</f>
        <v/>
      </c>
      <c r="R38" s="9">
        <f>IF(ISNUMBER($G38),$G38^2,"")</f>
        <v/>
      </c>
    </row>
    <row r="39">
      <c r="A39" s="10">
        <f>IF(INDEX('1. Plot &amp; Site Log'!$A$5:$A$64,35)="","",INDEX('1. Plot &amp; Site Log'!$A$5:$A$64,35))</f>
        <v/>
      </c>
      <c r="B39" s="10">
        <f>IF($A39="","",INDEX('1. Plot &amp; Site Log'!$B$5:$B$64,MATCH($A39,'1. Plot &amp; Site Log'!$A$5:$A$64,0)))</f>
        <v/>
      </c>
      <c r="C39" s="10">
        <f>IF($A39="","",COUNTIFS('2. Soil Data'!$A$5:$A$604,$A39))</f>
        <v/>
      </c>
      <c r="D39" s="10">
        <f>IF(OR($A39="",$C39=0,$O39=0),"",SUMIFS('2. Soil Data'!$R$5:$R$604,'2. Soil Data'!$A$5:$A$604,$A39)/$O39)</f>
        <v/>
      </c>
      <c r="E39" s="10">
        <f>IF(OR($A39="",$C39=0,$O39=0),"",SUMIFS('2. Soil Data'!$P$5:$P$604,'2. Soil Data'!$A$5:$A$604,$A39)/$O39)</f>
        <v/>
      </c>
      <c r="F39" s="10">
        <f>IF($A39="","",SUMPRODUCT(MAX(('2. Soil Data'!$A$5:$A$604=$A39)*IF(ISNUMBER('2. Soil Data'!$E$5:$E$604),'2. Soil Data'!$E$5:$E$604,0))))</f>
        <v/>
      </c>
      <c r="G39" s="10">
        <f>IF(OR($A39="",$P39=0),"",SUMIFS('3. Root Biomass'!$N$5:$N$904,'3. Root Biomass'!$A$5:$A$904,$A39)/$P39)</f>
        <v/>
      </c>
      <c r="H39" s="10">
        <f>IF($A39="","",IFERROR(SUMIFS('4. Vegetation Data'!$M$5:$M$64,'4. Vegetation Data'!$A$5:$A$64,$A39),""))</f>
        <v/>
      </c>
      <c r="I39" s="10">
        <f>IF($A39="","",IF(ISNUMBER($D39),$D39,0)+IF(ISNUMBER($G39),$G39,0)+IF(ISNUMBER($H39),$H39,0))</f>
        <v/>
      </c>
      <c r="J39" s="10">
        <f>IF($A39="","",IF(ISNUMBER($E39),$E39,0)+IF(ISNUMBER($G39),$G39,0)+IF(ISNUMBER($H39),$H39,0))</f>
        <v/>
      </c>
      <c r="K39" s="11">
        <f>IF($A39="","",IF($C39=0,"No soil increments for this plot — it contributes nothing. ","")&amp;IF(AND(ISNUMBER($F39),$F39&lt;SOIL_REPORTING_DEPTH_CM),"Cored shallower than the reporting depth, so the reporting-depth figure is an UNDERESTIMATE for this plot. ","")&amp;IF(AND(ISNUMBER($G39),$G39&gt;0,ISNUMBER($F39)),"Root total reaches only "&amp;$F39&amp;" cm — the bottom of the core, not the bottom of the roots. Report it as a MINIMUM. ","")&amp;IF(AND(ISNUMBER($G39),$G39&gt;0,ROOTS_REMOVED_BEFORE_SOIL_C&lt;&gt;"Yes"),"Root carbon is being added to a soil stock NOT confirmed root-free — fine-root carbon is probably counted twice. ",""))</f>
        <v/>
      </c>
      <c r="L39" s="9">
        <f>IF(ISNUMBER($D39),$D39,"")</f>
        <v/>
      </c>
      <c r="M39" s="9">
        <f>IF(ISNUMBER($G39),$G39,"")</f>
        <v/>
      </c>
      <c r="N39" s="9">
        <f>IF(AND(ISNUMBER($D39),$A39&lt;&gt;""),1,0)</f>
        <v/>
      </c>
      <c r="O39" s="9">
        <f>IF($A39="","",SUMIFS('2. Soil Data'!$U$5:$U$604,'2. Soil Data'!$A$5:$A$604,$A39))</f>
        <v/>
      </c>
      <c r="P39" s="9">
        <f>IF($A39="","",SUMIFS('3. Root Biomass'!$Q$5:$Q$904,'3. Root Biomass'!$A$5:$A$904,$A39))</f>
        <v/>
      </c>
      <c r="Q39" s="9">
        <f>IF(ISNUMBER($D39),$D39^2,"")</f>
        <v/>
      </c>
      <c r="R39" s="9">
        <f>IF(ISNUMBER($G39),$G39^2,"")</f>
        <v/>
      </c>
    </row>
    <row r="40">
      <c r="A40" s="10">
        <f>IF(INDEX('1. Plot &amp; Site Log'!$A$5:$A$64,36)="","",INDEX('1. Plot &amp; Site Log'!$A$5:$A$64,36))</f>
        <v/>
      </c>
      <c r="B40" s="10">
        <f>IF($A40="","",INDEX('1. Plot &amp; Site Log'!$B$5:$B$64,MATCH($A40,'1. Plot &amp; Site Log'!$A$5:$A$64,0)))</f>
        <v/>
      </c>
      <c r="C40" s="10">
        <f>IF($A40="","",COUNTIFS('2. Soil Data'!$A$5:$A$604,$A40))</f>
        <v/>
      </c>
      <c r="D40" s="10">
        <f>IF(OR($A40="",$C40=0,$O40=0),"",SUMIFS('2. Soil Data'!$R$5:$R$604,'2. Soil Data'!$A$5:$A$604,$A40)/$O40)</f>
        <v/>
      </c>
      <c r="E40" s="10">
        <f>IF(OR($A40="",$C40=0,$O40=0),"",SUMIFS('2. Soil Data'!$P$5:$P$604,'2. Soil Data'!$A$5:$A$604,$A40)/$O40)</f>
        <v/>
      </c>
      <c r="F40" s="10">
        <f>IF($A40="","",SUMPRODUCT(MAX(('2. Soil Data'!$A$5:$A$604=$A40)*IF(ISNUMBER('2. Soil Data'!$E$5:$E$604),'2. Soil Data'!$E$5:$E$604,0))))</f>
        <v/>
      </c>
      <c r="G40" s="10">
        <f>IF(OR($A40="",$P40=0),"",SUMIFS('3. Root Biomass'!$N$5:$N$904,'3. Root Biomass'!$A$5:$A$904,$A40)/$P40)</f>
        <v/>
      </c>
      <c r="H40" s="10">
        <f>IF($A40="","",IFERROR(SUMIFS('4. Vegetation Data'!$M$5:$M$64,'4. Vegetation Data'!$A$5:$A$64,$A40),""))</f>
        <v/>
      </c>
      <c r="I40" s="10">
        <f>IF($A40="","",IF(ISNUMBER($D40),$D40,0)+IF(ISNUMBER($G40),$G40,0)+IF(ISNUMBER($H40),$H40,0))</f>
        <v/>
      </c>
      <c r="J40" s="10">
        <f>IF($A40="","",IF(ISNUMBER($E40),$E40,0)+IF(ISNUMBER($G40),$G40,0)+IF(ISNUMBER($H40),$H40,0))</f>
        <v/>
      </c>
      <c r="K40" s="11">
        <f>IF($A40="","",IF($C40=0,"No soil increments for this plot — it contributes nothing. ","")&amp;IF(AND(ISNUMBER($F40),$F40&lt;SOIL_REPORTING_DEPTH_CM),"Cored shallower than the reporting depth, so the reporting-depth figure is an UNDERESTIMATE for this plot. ","")&amp;IF(AND(ISNUMBER($G40),$G40&gt;0,ISNUMBER($F40)),"Root total reaches only "&amp;$F40&amp;" cm — the bottom of the core, not the bottom of the roots. Report it as a MINIMUM. ","")&amp;IF(AND(ISNUMBER($G40),$G40&gt;0,ROOTS_REMOVED_BEFORE_SOIL_C&lt;&gt;"Yes"),"Root carbon is being added to a soil stock NOT confirmed root-free — fine-root carbon is probably counted twice. ",""))</f>
        <v/>
      </c>
      <c r="L40" s="9">
        <f>IF(ISNUMBER($D40),$D40,"")</f>
        <v/>
      </c>
      <c r="M40" s="9">
        <f>IF(ISNUMBER($G40),$G40,"")</f>
        <v/>
      </c>
      <c r="N40" s="9">
        <f>IF(AND(ISNUMBER($D40),$A40&lt;&gt;""),1,0)</f>
        <v/>
      </c>
      <c r="O40" s="9">
        <f>IF($A40="","",SUMIFS('2. Soil Data'!$U$5:$U$604,'2. Soil Data'!$A$5:$A$604,$A40))</f>
        <v/>
      </c>
      <c r="P40" s="9">
        <f>IF($A40="","",SUMIFS('3. Root Biomass'!$Q$5:$Q$904,'3. Root Biomass'!$A$5:$A$904,$A40))</f>
        <v/>
      </c>
      <c r="Q40" s="9">
        <f>IF(ISNUMBER($D40),$D40^2,"")</f>
        <v/>
      </c>
      <c r="R40" s="9">
        <f>IF(ISNUMBER($G40),$G40^2,"")</f>
        <v/>
      </c>
    </row>
    <row r="41">
      <c r="A41" s="10">
        <f>IF(INDEX('1. Plot &amp; Site Log'!$A$5:$A$64,37)="","",INDEX('1. Plot &amp; Site Log'!$A$5:$A$64,37))</f>
        <v/>
      </c>
      <c r="B41" s="10">
        <f>IF($A41="","",INDEX('1. Plot &amp; Site Log'!$B$5:$B$64,MATCH($A41,'1. Plot &amp; Site Log'!$A$5:$A$64,0)))</f>
        <v/>
      </c>
      <c r="C41" s="10">
        <f>IF($A41="","",COUNTIFS('2. Soil Data'!$A$5:$A$604,$A41))</f>
        <v/>
      </c>
      <c r="D41" s="10">
        <f>IF(OR($A41="",$C41=0,$O41=0),"",SUMIFS('2. Soil Data'!$R$5:$R$604,'2. Soil Data'!$A$5:$A$604,$A41)/$O41)</f>
        <v/>
      </c>
      <c r="E41" s="10">
        <f>IF(OR($A41="",$C41=0,$O41=0),"",SUMIFS('2. Soil Data'!$P$5:$P$604,'2. Soil Data'!$A$5:$A$604,$A41)/$O41)</f>
        <v/>
      </c>
      <c r="F41" s="10">
        <f>IF($A41="","",SUMPRODUCT(MAX(('2. Soil Data'!$A$5:$A$604=$A41)*IF(ISNUMBER('2. Soil Data'!$E$5:$E$604),'2. Soil Data'!$E$5:$E$604,0))))</f>
        <v/>
      </c>
      <c r="G41" s="10">
        <f>IF(OR($A41="",$P41=0),"",SUMIFS('3. Root Biomass'!$N$5:$N$904,'3. Root Biomass'!$A$5:$A$904,$A41)/$P41)</f>
        <v/>
      </c>
      <c r="H41" s="10">
        <f>IF($A41="","",IFERROR(SUMIFS('4. Vegetation Data'!$M$5:$M$64,'4. Vegetation Data'!$A$5:$A$64,$A41),""))</f>
        <v/>
      </c>
      <c r="I41" s="10">
        <f>IF($A41="","",IF(ISNUMBER($D41),$D41,0)+IF(ISNUMBER($G41),$G41,0)+IF(ISNUMBER($H41),$H41,0))</f>
        <v/>
      </c>
      <c r="J41" s="10">
        <f>IF($A41="","",IF(ISNUMBER($E41),$E41,0)+IF(ISNUMBER($G41),$G41,0)+IF(ISNUMBER($H41),$H41,0))</f>
        <v/>
      </c>
      <c r="K41" s="11">
        <f>IF($A41="","",IF($C41=0,"No soil increments for this plot — it contributes nothing. ","")&amp;IF(AND(ISNUMBER($F41),$F41&lt;SOIL_REPORTING_DEPTH_CM),"Cored shallower than the reporting depth, so the reporting-depth figure is an UNDERESTIMATE for this plot. ","")&amp;IF(AND(ISNUMBER($G41),$G41&gt;0,ISNUMBER($F41)),"Root total reaches only "&amp;$F41&amp;" cm — the bottom of the core, not the bottom of the roots. Report it as a MINIMUM. ","")&amp;IF(AND(ISNUMBER($G41),$G41&gt;0,ROOTS_REMOVED_BEFORE_SOIL_C&lt;&gt;"Yes"),"Root carbon is being added to a soil stock NOT confirmed root-free — fine-root carbon is probably counted twice. ",""))</f>
        <v/>
      </c>
      <c r="L41" s="9">
        <f>IF(ISNUMBER($D41),$D41,"")</f>
        <v/>
      </c>
      <c r="M41" s="9">
        <f>IF(ISNUMBER($G41),$G41,"")</f>
        <v/>
      </c>
      <c r="N41" s="9">
        <f>IF(AND(ISNUMBER($D41),$A41&lt;&gt;""),1,0)</f>
        <v/>
      </c>
      <c r="O41" s="9">
        <f>IF($A41="","",SUMIFS('2. Soil Data'!$U$5:$U$604,'2. Soil Data'!$A$5:$A$604,$A41))</f>
        <v/>
      </c>
      <c r="P41" s="9">
        <f>IF($A41="","",SUMIFS('3. Root Biomass'!$Q$5:$Q$904,'3. Root Biomass'!$A$5:$A$904,$A41))</f>
        <v/>
      </c>
      <c r="Q41" s="9">
        <f>IF(ISNUMBER($D41),$D41^2,"")</f>
        <v/>
      </c>
      <c r="R41" s="9">
        <f>IF(ISNUMBER($G41),$G41^2,"")</f>
        <v/>
      </c>
    </row>
    <row r="42">
      <c r="A42" s="10">
        <f>IF(INDEX('1. Plot &amp; Site Log'!$A$5:$A$64,38)="","",INDEX('1. Plot &amp; Site Log'!$A$5:$A$64,38))</f>
        <v/>
      </c>
      <c r="B42" s="10">
        <f>IF($A42="","",INDEX('1. Plot &amp; Site Log'!$B$5:$B$64,MATCH($A42,'1. Plot &amp; Site Log'!$A$5:$A$64,0)))</f>
        <v/>
      </c>
      <c r="C42" s="10">
        <f>IF($A42="","",COUNTIFS('2. Soil Data'!$A$5:$A$604,$A42))</f>
        <v/>
      </c>
      <c r="D42" s="10">
        <f>IF(OR($A42="",$C42=0,$O42=0),"",SUMIFS('2. Soil Data'!$R$5:$R$604,'2. Soil Data'!$A$5:$A$604,$A42)/$O42)</f>
        <v/>
      </c>
      <c r="E42" s="10">
        <f>IF(OR($A42="",$C42=0,$O42=0),"",SUMIFS('2. Soil Data'!$P$5:$P$604,'2. Soil Data'!$A$5:$A$604,$A42)/$O42)</f>
        <v/>
      </c>
      <c r="F42" s="10">
        <f>IF($A42="","",SUMPRODUCT(MAX(('2. Soil Data'!$A$5:$A$604=$A42)*IF(ISNUMBER('2. Soil Data'!$E$5:$E$604),'2. Soil Data'!$E$5:$E$604,0))))</f>
        <v/>
      </c>
      <c r="G42" s="10">
        <f>IF(OR($A42="",$P42=0),"",SUMIFS('3. Root Biomass'!$N$5:$N$904,'3. Root Biomass'!$A$5:$A$904,$A42)/$P42)</f>
        <v/>
      </c>
      <c r="H42" s="10">
        <f>IF($A42="","",IFERROR(SUMIFS('4. Vegetation Data'!$M$5:$M$64,'4. Vegetation Data'!$A$5:$A$64,$A42),""))</f>
        <v/>
      </c>
      <c r="I42" s="10">
        <f>IF($A42="","",IF(ISNUMBER($D42),$D42,0)+IF(ISNUMBER($G42),$G42,0)+IF(ISNUMBER($H42),$H42,0))</f>
        <v/>
      </c>
      <c r="J42" s="10">
        <f>IF($A42="","",IF(ISNUMBER($E42),$E42,0)+IF(ISNUMBER($G42),$G42,0)+IF(ISNUMBER($H42),$H42,0))</f>
        <v/>
      </c>
      <c r="K42" s="11">
        <f>IF($A42="","",IF($C42=0,"No soil increments for this plot — it contributes nothing. ","")&amp;IF(AND(ISNUMBER($F42),$F42&lt;SOIL_REPORTING_DEPTH_CM),"Cored shallower than the reporting depth, so the reporting-depth figure is an UNDERESTIMATE for this plot. ","")&amp;IF(AND(ISNUMBER($G42),$G42&gt;0,ISNUMBER($F42)),"Root total reaches only "&amp;$F42&amp;" cm — the bottom of the core, not the bottom of the roots. Report it as a MINIMUM. ","")&amp;IF(AND(ISNUMBER($G42),$G42&gt;0,ROOTS_REMOVED_BEFORE_SOIL_C&lt;&gt;"Yes"),"Root carbon is being added to a soil stock NOT confirmed root-free — fine-root carbon is probably counted twice. ",""))</f>
        <v/>
      </c>
      <c r="L42" s="9">
        <f>IF(ISNUMBER($D42),$D42,"")</f>
        <v/>
      </c>
      <c r="M42" s="9">
        <f>IF(ISNUMBER($G42),$G42,"")</f>
        <v/>
      </c>
      <c r="N42" s="9">
        <f>IF(AND(ISNUMBER($D42),$A42&lt;&gt;""),1,0)</f>
        <v/>
      </c>
      <c r="O42" s="9">
        <f>IF($A42="","",SUMIFS('2. Soil Data'!$U$5:$U$604,'2. Soil Data'!$A$5:$A$604,$A42))</f>
        <v/>
      </c>
      <c r="P42" s="9">
        <f>IF($A42="","",SUMIFS('3. Root Biomass'!$Q$5:$Q$904,'3. Root Biomass'!$A$5:$A$904,$A42))</f>
        <v/>
      </c>
      <c r="Q42" s="9">
        <f>IF(ISNUMBER($D42),$D42^2,"")</f>
        <v/>
      </c>
      <c r="R42" s="9">
        <f>IF(ISNUMBER($G42),$G42^2,"")</f>
        <v/>
      </c>
    </row>
    <row r="43">
      <c r="A43" s="10">
        <f>IF(INDEX('1. Plot &amp; Site Log'!$A$5:$A$64,39)="","",INDEX('1. Plot &amp; Site Log'!$A$5:$A$64,39))</f>
        <v/>
      </c>
      <c r="B43" s="10">
        <f>IF($A43="","",INDEX('1. Plot &amp; Site Log'!$B$5:$B$64,MATCH($A43,'1. Plot &amp; Site Log'!$A$5:$A$64,0)))</f>
        <v/>
      </c>
      <c r="C43" s="10">
        <f>IF($A43="","",COUNTIFS('2. Soil Data'!$A$5:$A$604,$A43))</f>
        <v/>
      </c>
      <c r="D43" s="10">
        <f>IF(OR($A43="",$C43=0,$O43=0),"",SUMIFS('2. Soil Data'!$R$5:$R$604,'2. Soil Data'!$A$5:$A$604,$A43)/$O43)</f>
        <v/>
      </c>
      <c r="E43" s="10">
        <f>IF(OR($A43="",$C43=0,$O43=0),"",SUMIFS('2. Soil Data'!$P$5:$P$604,'2. Soil Data'!$A$5:$A$604,$A43)/$O43)</f>
        <v/>
      </c>
      <c r="F43" s="10">
        <f>IF($A43="","",SUMPRODUCT(MAX(('2. Soil Data'!$A$5:$A$604=$A43)*IF(ISNUMBER('2. Soil Data'!$E$5:$E$604),'2. Soil Data'!$E$5:$E$604,0))))</f>
        <v/>
      </c>
      <c r="G43" s="10">
        <f>IF(OR($A43="",$P43=0),"",SUMIFS('3. Root Biomass'!$N$5:$N$904,'3. Root Biomass'!$A$5:$A$904,$A43)/$P43)</f>
        <v/>
      </c>
      <c r="H43" s="10">
        <f>IF($A43="","",IFERROR(SUMIFS('4. Vegetation Data'!$M$5:$M$64,'4. Vegetation Data'!$A$5:$A$64,$A43),""))</f>
        <v/>
      </c>
      <c r="I43" s="10">
        <f>IF($A43="","",IF(ISNUMBER($D43),$D43,0)+IF(ISNUMBER($G43),$G43,0)+IF(ISNUMBER($H43),$H43,0))</f>
        <v/>
      </c>
      <c r="J43" s="10">
        <f>IF($A43="","",IF(ISNUMBER($E43),$E43,0)+IF(ISNUMBER($G43),$G43,0)+IF(ISNUMBER($H43),$H43,0))</f>
        <v/>
      </c>
      <c r="K43" s="11">
        <f>IF($A43="","",IF($C43=0,"No soil increments for this plot — it contributes nothing. ","")&amp;IF(AND(ISNUMBER($F43),$F43&lt;SOIL_REPORTING_DEPTH_CM),"Cored shallower than the reporting depth, so the reporting-depth figure is an UNDERESTIMATE for this plot. ","")&amp;IF(AND(ISNUMBER($G43),$G43&gt;0,ISNUMBER($F43)),"Root total reaches only "&amp;$F43&amp;" cm — the bottom of the core, not the bottom of the roots. Report it as a MINIMUM. ","")&amp;IF(AND(ISNUMBER($G43),$G43&gt;0,ROOTS_REMOVED_BEFORE_SOIL_C&lt;&gt;"Yes"),"Root carbon is being added to a soil stock NOT confirmed root-free — fine-root carbon is probably counted twice. ",""))</f>
        <v/>
      </c>
      <c r="L43" s="9">
        <f>IF(ISNUMBER($D43),$D43,"")</f>
        <v/>
      </c>
      <c r="M43" s="9">
        <f>IF(ISNUMBER($G43),$G43,"")</f>
        <v/>
      </c>
      <c r="N43" s="9">
        <f>IF(AND(ISNUMBER($D43),$A43&lt;&gt;""),1,0)</f>
        <v/>
      </c>
      <c r="O43" s="9">
        <f>IF($A43="","",SUMIFS('2. Soil Data'!$U$5:$U$604,'2. Soil Data'!$A$5:$A$604,$A43))</f>
        <v/>
      </c>
      <c r="P43" s="9">
        <f>IF($A43="","",SUMIFS('3. Root Biomass'!$Q$5:$Q$904,'3. Root Biomass'!$A$5:$A$904,$A43))</f>
        <v/>
      </c>
      <c r="Q43" s="9">
        <f>IF(ISNUMBER($D43),$D43^2,"")</f>
        <v/>
      </c>
      <c r="R43" s="9">
        <f>IF(ISNUMBER($G43),$G43^2,"")</f>
        <v/>
      </c>
    </row>
    <row r="44">
      <c r="A44" s="10">
        <f>IF(INDEX('1. Plot &amp; Site Log'!$A$5:$A$64,40)="","",INDEX('1. Plot &amp; Site Log'!$A$5:$A$64,40))</f>
        <v/>
      </c>
      <c r="B44" s="10">
        <f>IF($A44="","",INDEX('1. Plot &amp; Site Log'!$B$5:$B$64,MATCH($A44,'1. Plot &amp; Site Log'!$A$5:$A$64,0)))</f>
        <v/>
      </c>
      <c r="C44" s="10">
        <f>IF($A44="","",COUNTIFS('2. Soil Data'!$A$5:$A$604,$A44))</f>
        <v/>
      </c>
      <c r="D44" s="10">
        <f>IF(OR($A44="",$C44=0,$O44=0),"",SUMIFS('2. Soil Data'!$R$5:$R$604,'2. Soil Data'!$A$5:$A$604,$A44)/$O44)</f>
        <v/>
      </c>
      <c r="E44" s="10">
        <f>IF(OR($A44="",$C44=0,$O44=0),"",SUMIFS('2. Soil Data'!$P$5:$P$604,'2. Soil Data'!$A$5:$A$604,$A44)/$O44)</f>
        <v/>
      </c>
      <c r="F44" s="10">
        <f>IF($A44="","",SUMPRODUCT(MAX(('2. Soil Data'!$A$5:$A$604=$A44)*IF(ISNUMBER('2. Soil Data'!$E$5:$E$604),'2. Soil Data'!$E$5:$E$604,0))))</f>
        <v/>
      </c>
      <c r="G44" s="10">
        <f>IF(OR($A44="",$P44=0),"",SUMIFS('3. Root Biomass'!$N$5:$N$904,'3. Root Biomass'!$A$5:$A$904,$A44)/$P44)</f>
        <v/>
      </c>
      <c r="H44" s="10">
        <f>IF($A44="","",IFERROR(SUMIFS('4. Vegetation Data'!$M$5:$M$64,'4. Vegetation Data'!$A$5:$A$64,$A44),""))</f>
        <v/>
      </c>
      <c r="I44" s="10">
        <f>IF($A44="","",IF(ISNUMBER($D44),$D44,0)+IF(ISNUMBER($G44),$G44,0)+IF(ISNUMBER($H44),$H44,0))</f>
        <v/>
      </c>
      <c r="J44" s="10">
        <f>IF($A44="","",IF(ISNUMBER($E44),$E44,0)+IF(ISNUMBER($G44),$G44,0)+IF(ISNUMBER($H44),$H44,0))</f>
        <v/>
      </c>
      <c r="K44" s="11">
        <f>IF($A44="","",IF($C44=0,"No soil increments for this plot — it contributes nothing. ","")&amp;IF(AND(ISNUMBER($F44),$F44&lt;SOIL_REPORTING_DEPTH_CM),"Cored shallower than the reporting depth, so the reporting-depth figure is an UNDERESTIMATE for this plot. ","")&amp;IF(AND(ISNUMBER($G44),$G44&gt;0,ISNUMBER($F44)),"Root total reaches only "&amp;$F44&amp;" cm — the bottom of the core, not the bottom of the roots. Report it as a MINIMUM. ","")&amp;IF(AND(ISNUMBER($G44),$G44&gt;0,ROOTS_REMOVED_BEFORE_SOIL_C&lt;&gt;"Yes"),"Root carbon is being added to a soil stock NOT confirmed root-free — fine-root carbon is probably counted twice. ",""))</f>
        <v/>
      </c>
      <c r="L44" s="9">
        <f>IF(ISNUMBER($D44),$D44,"")</f>
        <v/>
      </c>
      <c r="M44" s="9">
        <f>IF(ISNUMBER($G44),$G44,"")</f>
        <v/>
      </c>
      <c r="N44" s="9">
        <f>IF(AND(ISNUMBER($D44),$A44&lt;&gt;""),1,0)</f>
        <v/>
      </c>
      <c r="O44" s="9">
        <f>IF($A44="","",SUMIFS('2. Soil Data'!$U$5:$U$604,'2. Soil Data'!$A$5:$A$604,$A44))</f>
        <v/>
      </c>
      <c r="P44" s="9">
        <f>IF($A44="","",SUMIFS('3. Root Biomass'!$Q$5:$Q$904,'3. Root Biomass'!$A$5:$A$904,$A44))</f>
        <v/>
      </c>
      <c r="Q44" s="9">
        <f>IF(ISNUMBER($D44),$D44^2,"")</f>
        <v/>
      </c>
      <c r="R44" s="9">
        <f>IF(ISNUMBER($G44),$G44^2,"")</f>
        <v/>
      </c>
    </row>
    <row r="45">
      <c r="A45" s="10">
        <f>IF(INDEX('1. Plot &amp; Site Log'!$A$5:$A$64,41)="","",INDEX('1. Plot &amp; Site Log'!$A$5:$A$64,41))</f>
        <v/>
      </c>
      <c r="B45" s="10">
        <f>IF($A45="","",INDEX('1. Plot &amp; Site Log'!$B$5:$B$64,MATCH($A45,'1. Plot &amp; Site Log'!$A$5:$A$64,0)))</f>
        <v/>
      </c>
      <c r="C45" s="10">
        <f>IF($A45="","",COUNTIFS('2. Soil Data'!$A$5:$A$604,$A45))</f>
        <v/>
      </c>
      <c r="D45" s="10">
        <f>IF(OR($A45="",$C45=0,$O45=0),"",SUMIFS('2. Soil Data'!$R$5:$R$604,'2. Soil Data'!$A$5:$A$604,$A45)/$O45)</f>
        <v/>
      </c>
      <c r="E45" s="10">
        <f>IF(OR($A45="",$C45=0,$O45=0),"",SUMIFS('2. Soil Data'!$P$5:$P$604,'2. Soil Data'!$A$5:$A$604,$A45)/$O45)</f>
        <v/>
      </c>
      <c r="F45" s="10">
        <f>IF($A45="","",SUMPRODUCT(MAX(('2. Soil Data'!$A$5:$A$604=$A45)*IF(ISNUMBER('2. Soil Data'!$E$5:$E$604),'2. Soil Data'!$E$5:$E$604,0))))</f>
        <v/>
      </c>
      <c r="G45" s="10">
        <f>IF(OR($A45="",$P45=0),"",SUMIFS('3. Root Biomass'!$N$5:$N$904,'3. Root Biomass'!$A$5:$A$904,$A45)/$P45)</f>
        <v/>
      </c>
      <c r="H45" s="10">
        <f>IF($A45="","",IFERROR(SUMIFS('4. Vegetation Data'!$M$5:$M$64,'4. Vegetation Data'!$A$5:$A$64,$A45),""))</f>
        <v/>
      </c>
      <c r="I45" s="10">
        <f>IF($A45="","",IF(ISNUMBER($D45),$D45,0)+IF(ISNUMBER($G45),$G45,0)+IF(ISNUMBER($H45),$H45,0))</f>
        <v/>
      </c>
      <c r="J45" s="10">
        <f>IF($A45="","",IF(ISNUMBER($E45),$E45,0)+IF(ISNUMBER($G45),$G45,0)+IF(ISNUMBER($H45),$H45,0))</f>
        <v/>
      </c>
      <c r="K45" s="11">
        <f>IF($A45="","",IF($C45=0,"No soil increments for this plot — it contributes nothing. ","")&amp;IF(AND(ISNUMBER($F45),$F45&lt;SOIL_REPORTING_DEPTH_CM),"Cored shallower than the reporting depth, so the reporting-depth figure is an UNDERESTIMATE for this plot. ","")&amp;IF(AND(ISNUMBER($G45),$G45&gt;0,ISNUMBER($F45)),"Root total reaches only "&amp;$F45&amp;" cm — the bottom of the core, not the bottom of the roots. Report it as a MINIMUM. ","")&amp;IF(AND(ISNUMBER($G45),$G45&gt;0,ROOTS_REMOVED_BEFORE_SOIL_C&lt;&gt;"Yes"),"Root carbon is being added to a soil stock NOT confirmed root-free — fine-root carbon is probably counted twice. ",""))</f>
        <v/>
      </c>
      <c r="L45" s="9">
        <f>IF(ISNUMBER($D45),$D45,"")</f>
        <v/>
      </c>
      <c r="M45" s="9">
        <f>IF(ISNUMBER($G45),$G45,"")</f>
        <v/>
      </c>
      <c r="N45" s="9">
        <f>IF(AND(ISNUMBER($D45),$A45&lt;&gt;""),1,0)</f>
        <v/>
      </c>
      <c r="O45" s="9">
        <f>IF($A45="","",SUMIFS('2. Soil Data'!$U$5:$U$604,'2. Soil Data'!$A$5:$A$604,$A45))</f>
        <v/>
      </c>
      <c r="P45" s="9">
        <f>IF($A45="","",SUMIFS('3. Root Biomass'!$Q$5:$Q$904,'3. Root Biomass'!$A$5:$A$904,$A45))</f>
        <v/>
      </c>
      <c r="Q45" s="9">
        <f>IF(ISNUMBER($D45),$D45^2,"")</f>
        <v/>
      </c>
      <c r="R45" s="9">
        <f>IF(ISNUMBER($G45),$G45^2,"")</f>
        <v/>
      </c>
    </row>
    <row r="46">
      <c r="A46" s="10">
        <f>IF(INDEX('1. Plot &amp; Site Log'!$A$5:$A$64,42)="","",INDEX('1. Plot &amp; Site Log'!$A$5:$A$64,42))</f>
        <v/>
      </c>
      <c r="B46" s="10">
        <f>IF($A46="","",INDEX('1. Plot &amp; Site Log'!$B$5:$B$64,MATCH($A46,'1. Plot &amp; Site Log'!$A$5:$A$64,0)))</f>
        <v/>
      </c>
      <c r="C46" s="10">
        <f>IF($A46="","",COUNTIFS('2. Soil Data'!$A$5:$A$604,$A46))</f>
        <v/>
      </c>
      <c r="D46" s="10">
        <f>IF(OR($A46="",$C46=0,$O46=0),"",SUMIFS('2. Soil Data'!$R$5:$R$604,'2. Soil Data'!$A$5:$A$604,$A46)/$O46)</f>
        <v/>
      </c>
      <c r="E46" s="10">
        <f>IF(OR($A46="",$C46=0,$O46=0),"",SUMIFS('2. Soil Data'!$P$5:$P$604,'2. Soil Data'!$A$5:$A$604,$A46)/$O46)</f>
        <v/>
      </c>
      <c r="F46" s="10">
        <f>IF($A46="","",SUMPRODUCT(MAX(('2. Soil Data'!$A$5:$A$604=$A46)*IF(ISNUMBER('2. Soil Data'!$E$5:$E$604),'2. Soil Data'!$E$5:$E$604,0))))</f>
        <v/>
      </c>
      <c r="G46" s="10">
        <f>IF(OR($A46="",$P46=0),"",SUMIFS('3. Root Biomass'!$N$5:$N$904,'3. Root Biomass'!$A$5:$A$904,$A46)/$P46)</f>
        <v/>
      </c>
      <c r="H46" s="10">
        <f>IF($A46="","",IFERROR(SUMIFS('4. Vegetation Data'!$M$5:$M$64,'4. Vegetation Data'!$A$5:$A$64,$A46),""))</f>
        <v/>
      </c>
      <c r="I46" s="10">
        <f>IF($A46="","",IF(ISNUMBER($D46),$D46,0)+IF(ISNUMBER($G46),$G46,0)+IF(ISNUMBER($H46),$H46,0))</f>
        <v/>
      </c>
      <c r="J46" s="10">
        <f>IF($A46="","",IF(ISNUMBER($E46),$E46,0)+IF(ISNUMBER($G46),$G46,0)+IF(ISNUMBER($H46),$H46,0))</f>
        <v/>
      </c>
      <c r="K46" s="11">
        <f>IF($A46="","",IF($C46=0,"No soil increments for this plot — it contributes nothing. ","")&amp;IF(AND(ISNUMBER($F46),$F46&lt;SOIL_REPORTING_DEPTH_CM),"Cored shallower than the reporting depth, so the reporting-depth figure is an UNDERESTIMATE for this plot. ","")&amp;IF(AND(ISNUMBER($G46),$G46&gt;0,ISNUMBER($F46)),"Root total reaches only "&amp;$F46&amp;" cm — the bottom of the core, not the bottom of the roots. Report it as a MINIMUM. ","")&amp;IF(AND(ISNUMBER($G46),$G46&gt;0,ROOTS_REMOVED_BEFORE_SOIL_C&lt;&gt;"Yes"),"Root carbon is being added to a soil stock NOT confirmed root-free — fine-root carbon is probably counted twice. ",""))</f>
        <v/>
      </c>
      <c r="L46" s="9">
        <f>IF(ISNUMBER($D46),$D46,"")</f>
        <v/>
      </c>
      <c r="M46" s="9">
        <f>IF(ISNUMBER($G46),$G46,"")</f>
        <v/>
      </c>
      <c r="N46" s="9">
        <f>IF(AND(ISNUMBER($D46),$A46&lt;&gt;""),1,0)</f>
        <v/>
      </c>
      <c r="O46" s="9">
        <f>IF($A46="","",SUMIFS('2. Soil Data'!$U$5:$U$604,'2. Soil Data'!$A$5:$A$604,$A46))</f>
        <v/>
      </c>
      <c r="P46" s="9">
        <f>IF($A46="","",SUMIFS('3. Root Biomass'!$Q$5:$Q$904,'3. Root Biomass'!$A$5:$A$904,$A46))</f>
        <v/>
      </c>
      <c r="Q46" s="9">
        <f>IF(ISNUMBER($D46),$D46^2,"")</f>
        <v/>
      </c>
      <c r="R46" s="9">
        <f>IF(ISNUMBER($G46),$G46^2,"")</f>
        <v/>
      </c>
    </row>
    <row r="47">
      <c r="A47" s="10">
        <f>IF(INDEX('1. Plot &amp; Site Log'!$A$5:$A$64,43)="","",INDEX('1. Plot &amp; Site Log'!$A$5:$A$64,43))</f>
        <v/>
      </c>
      <c r="B47" s="10">
        <f>IF($A47="","",INDEX('1. Plot &amp; Site Log'!$B$5:$B$64,MATCH($A47,'1. Plot &amp; Site Log'!$A$5:$A$64,0)))</f>
        <v/>
      </c>
      <c r="C47" s="10">
        <f>IF($A47="","",COUNTIFS('2. Soil Data'!$A$5:$A$604,$A47))</f>
        <v/>
      </c>
      <c r="D47" s="10">
        <f>IF(OR($A47="",$C47=0,$O47=0),"",SUMIFS('2. Soil Data'!$R$5:$R$604,'2. Soil Data'!$A$5:$A$604,$A47)/$O47)</f>
        <v/>
      </c>
      <c r="E47" s="10">
        <f>IF(OR($A47="",$C47=0,$O47=0),"",SUMIFS('2. Soil Data'!$P$5:$P$604,'2. Soil Data'!$A$5:$A$604,$A47)/$O47)</f>
        <v/>
      </c>
      <c r="F47" s="10">
        <f>IF($A47="","",SUMPRODUCT(MAX(('2. Soil Data'!$A$5:$A$604=$A47)*IF(ISNUMBER('2. Soil Data'!$E$5:$E$604),'2. Soil Data'!$E$5:$E$604,0))))</f>
        <v/>
      </c>
      <c r="G47" s="10">
        <f>IF(OR($A47="",$P47=0),"",SUMIFS('3. Root Biomass'!$N$5:$N$904,'3. Root Biomass'!$A$5:$A$904,$A47)/$P47)</f>
        <v/>
      </c>
      <c r="H47" s="10">
        <f>IF($A47="","",IFERROR(SUMIFS('4. Vegetation Data'!$M$5:$M$64,'4. Vegetation Data'!$A$5:$A$64,$A47),""))</f>
        <v/>
      </c>
      <c r="I47" s="10">
        <f>IF($A47="","",IF(ISNUMBER($D47),$D47,0)+IF(ISNUMBER($G47),$G47,0)+IF(ISNUMBER($H47),$H47,0))</f>
        <v/>
      </c>
      <c r="J47" s="10">
        <f>IF($A47="","",IF(ISNUMBER($E47),$E47,0)+IF(ISNUMBER($G47),$G47,0)+IF(ISNUMBER($H47),$H47,0))</f>
        <v/>
      </c>
      <c r="K47" s="11">
        <f>IF($A47="","",IF($C47=0,"No soil increments for this plot — it contributes nothing. ","")&amp;IF(AND(ISNUMBER($F47),$F47&lt;SOIL_REPORTING_DEPTH_CM),"Cored shallower than the reporting depth, so the reporting-depth figure is an UNDERESTIMATE for this plot. ","")&amp;IF(AND(ISNUMBER($G47),$G47&gt;0,ISNUMBER($F47)),"Root total reaches only "&amp;$F47&amp;" cm — the bottom of the core, not the bottom of the roots. Report it as a MINIMUM. ","")&amp;IF(AND(ISNUMBER($G47),$G47&gt;0,ROOTS_REMOVED_BEFORE_SOIL_C&lt;&gt;"Yes"),"Root carbon is being added to a soil stock NOT confirmed root-free — fine-root carbon is probably counted twice. ",""))</f>
        <v/>
      </c>
      <c r="L47" s="9">
        <f>IF(ISNUMBER($D47),$D47,"")</f>
        <v/>
      </c>
      <c r="M47" s="9">
        <f>IF(ISNUMBER($G47),$G47,"")</f>
        <v/>
      </c>
      <c r="N47" s="9">
        <f>IF(AND(ISNUMBER($D47),$A47&lt;&gt;""),1,0)</f>
        <v/>
      </c>
      <c r="O47" s="9">
        <f>IF($A47="","",SUMIFS('2. Soil Data'!$U$5:$U$604,'2. Soil Data'!$A$5:$A$604,$A47))</f>
        <v/>
      </c>
      <c r="P47" s="9">
        <f>IF($A47="","",SUMIFS('3. Root Biomass'!$Q$5:$Q$904,'3. Root Biomass'!$A$5:$A$904,$A47))</f>
        <v/>
      </c>
      <c r="Q47" s="9">
        <f>IF(ISNUMBER($D47),$D47^2,"")</f>
        <v/>
      </c>
      <c r="R47" s="9">
        <f>IF(ISNUMBER($G47),$G47^2,"")</f>
        <v/>
      </c>
    </row>
    <row r="48">
      <c r="A48" s="10">
        <f>IF(INDEX('1. Plot &amp; Site Log'!$A$5:$A$64,44)="","",INDEX('1. Plot &amp; Site Log'!$A$5:$A$64,44))</f>
        <v/>
      </c>
      <c r="B48" s="10">
        <f>IF($A48="","",INDEX('1. Plot &amp; Site Log'!$B$5:$B$64,MATCH($A48,'1. Plot &amp; Site Log'!$A$5:$A$64,0)))</f>
        <v/>
      </c>
      <c r="C48" s="10">
        <f>IF($A48="","",COUNTIFS('2. Soil Data'!$A$5:$A$604,$A48))</f>
        <v/>
      </c>
      <c r="D48" s="10">
        <f>IF(OR($A48="",$C48=0,$O48=0),"",SUMIFS('2. Soil Data'!$R$5:$R$604,'2. Soil Data'!$A$5:$A$604,$A48)/$O48)</f>
        <v/>
      </c>
      <c r="E48" s="10">
        <f>IF(OR($A48="",$C48=0,$O48=0),"",SUMIFS('2. Soil Data'!$P$5:$P$604,'2. Soil Data'!$A$5:$A$604,$A48)/$O48)</f>
        <v/>
      </c>
      <c r="F48" s="10">
        <f>IF($A48="","",SUMPRODUCT(MAX(('2. Soil Data'!$A$5:$A$604=$A48)*IF(ISNUMBER('2. Soil Data'!$E$5:$E$604),'2. Soil Data'!$E$5:$E$604,0))))</f>
        <v/>
      </c>
      <c r="G48" s="10">
        <f>IF(OR($A48="",$P48=0),"",SUMIFS('3. Root Biomass'!$N$5:$N$904,'3. Root Biomass'!$A$5:$A$904,$A48)/$P48)</f>
        <v/>
      </c>
      <c r="H48" s="10">
        <f>IF($A48="","",IFERROR(SUMIFS('4. Vegetation Data'!$M$5:$M$64,'4. Vegetation Data'!$A$5:$A$64,$A48),""))</f>
        <v/>
      </c>
      <c r="I48" s="10">
        <f>IF($A48="","",IF(ISNUMBER($D48),$D48,0)+IF(ISNUMBER($G48),$G48,0)+IF(ISNUMBER($H48),$H48,0))</f>
        <v/>
      </c>
      <c r="J48" s="10">
        <f>IF($A48="","",IF(ISNUMBER($E48),$E48,0)+IF(ISNUMBER($G48),$G48,0)+IF(ISNUMBER($H48),$H48,0))</f>
        <v/>
      </c>
      <c r="K48" s="11">
        <f>IF($A48="","",IF($C48=0,"No soil increments for this plot — it contributes nothing. ","")&amp;IF(AND(ISNUMBER($F48),$F48&lt;SOIL_REPORTING_DEPTH_CM),"Cored shallower than the reporting depth, so the reporting-depth figure is an UNDERESTIMATE for this plot. ","")&amp;IF(AND(ISNUMBER($G48),$G48&gt;0,ISNUMBER($F48)),"Root total reaches only "&amp;$F48&amp;" cm — the bottom of the core, not the bottom of the roots. Report it as a MINIMUM. ","")&amp;IF(AND(ISNUMBER($G48),$G48&gt;0,ROOTS_REMOVED_BEFORE_SOIL_C&lt;&gt;"Yes"),"Root carbon is being added to a soil stock NOT confirmed root-free — fine-root carbon is probably counted twice. ",""))</f>
        <v/>
      </c>
      <c r="L48" s="9">
        <f>IF(ISNUMBER($D48),$D48,"")</f>
        <v/>
      </c>
      <c r="M48" s="9">
        <f>IF(ISNUMBER($G48),$G48,"")</f>
        <v/>
      </c>
      <c r="N48" s="9">
        <f>IF(AND(ISNUMBER($D48),$A48&lt;&gt;""),1,0)</f>
        <v/>
      </c>
      <c r="O48" s="9">
        <f>IF($A48="","",SUMIFS('2. Soil Data'!$U$5:$U$604,'2. Soil Data'!$A$5:$A$604,$A48))</f>
        <v/>
      </c>
      <c r="P48" s="9">
        <f>IF($A48="","",SUMIFS('3. Root Biomass'!$Q$5:$Q$904,'3. Root Biomass'!$A$5:$A$904,$A48))</f>
        <v/>
      </c>
      <c r="Q48" s="9">
        <f>IF(ISNUMBER($D48),$D48^2,"")</f>
        <v/>
      </c>
      <c r="R48" s="9">
        <f>IF(ISNUMBER($G48),$G48^2,"")</f>
        <v/>
      </c>
    </row>
    <row r="49">
      <c r="A49" s="10">
        <f>IF(INDEX('1. Plot &amp; Site Log'!$A$5:$A$64,45)="","",INDEX('1. Plot &amp; Site Log'!$A$5:$A$64,45))</f>
        <v/>
      </c>
      <c r="B49" s="10">
        <f>IF($A49="","",INDEX('1. Plot &amp; Site Log'!$B$5:$B$64,MATCH($A49,'1. Plot &amp; Site Log'!$A$5:$A$64,0)))</f>
        <v/>
      </c>
      <c r="C49" s="10">
        <f>IF($A49="","",COUNTIFS('2. Soil Data'!$A$5:$A$604,$A49))</f>
        <v/>
      </c>
      <c r="D49" s="10">
        <f>IF(OR($A49="",$C49=0,$O49=0),"",SUMIFS('2. Soil Data'!$R$5:$R$604,'2. Soil Data'!$A$5:$A$604,$A49)/$O49)</f>
        <v/>
      </c>
      <c r="E49" s="10">
        <f>IF(OR($A49="",$C49=0,$O49=0),"",SUMIFS('2. Soil Data'!$P$5:$P$604,'2. Soil Data'!$A$5:$A$604,$A49)/$O49)</f>
        <v/>
      </c>
      <c r="F49" s="10">
        <f>IF($A49="","",SUMPRODUCT(MAX(('2. Soil Data'!$A$5:$A$604=$A49)*IF(ISNUMBER('2. Soil Data'!$E$5:$E$604),'2. Soil Data'!$E$5:$E$604,0))))</f>
        <v/>
      </c>
      <c r="G49" s="10">
        <f>IF(OR($A49="",$P49=0),"",SUMIFS('3. Root Biomass'!$N$5:$N$904,'3. Root Biomass'!$A$5:$A$904,$A49)/$P49)</f>
        <v/>
      </c>
      <c r="H49" s="10">
        <f>IF($A49="","",IFERROR(SUMIFS('4. Vegetation Data'!$M$5:$M$64,'4. Vegetation Data'!$A$5:$A$64,$A49),""))</f>
        <v/>
      </c>
      <c r="I49" s="10">
        <f>IF($A49="","",IF(ISNUMBER($D49),$D49,0)+IF(ISNUMBER($G49),$G49,0)+IF(ISNUMBER($H49),$H49,0))</f>
        <v/>
      </c>
      <c r="J49" s="10">
        <f>IF($A49="","",IF(ISNUMBER($E49),$E49,0)+IF(ISNUMBER($G49),$G49,0)+IF(ISNUMBER($H49),$H49,0))</f>
        <v/>
      </c>
      <c r="K49" s="11">
        <f>IF($A49="","",IF($C49=0,"No soil increments for this plot — it contributes nothing. ","")&amp;IF(AND(ISNUMBER($F49),$F49&lt;SOIL_REPORTING_DEPTH_CM),"Cored shallower than the reporting depth, so the reporting-depth figure is an UNDERESTIMATE for this plot. ","")&amp;IF(AND(ISNUMBER($G49),$G49&gt;0,ISNUMBER($F49)),"Root total reaches only "&amp;$F49&amp;" cm — the bottom of the core, not the bottom of the roots. Report it as a MINIMUM. ","")&amp;IF(AND(ISNUMBER($G49),$G49&gt;0,ROOTS_REMOVED_BEFORE_SOIL_C&lt;&gt;"Yes"),"Root carbon is being added to a soil stock NOT confirmed root-free — fine-root carbon is probably counted twice. ",""))</f>
        <v/>
      </c>
      <c r="L49" s="9">
        <f>IF(ISNUMBER($D49),$D49,"")</f>
        <v/>
      </c>
      <c r="M49" s="9">
        <f>IF(ISNUMBER($G49),$G49,"")</f>
        <v/>
      </c>
      <c r="N49" s="9">
        <f>IF(AND(ISNUMBER($D49),$A49&lt;&gt;""),1,0)</f>
        <v/>
      </c>
      <c r="O49" s="9">
        <f>IF($A49="","",SUMIFS('2. Soil Data'!$U$5:$U$604,'2. Soil Data'!$A$5:$A$604,$A49))</f>
        <v/>
      </c>
      <c r="P49" s="9">
        <f>IF($A49="","",SUMIFS('3. Root Biomass'!$Q$5:$Q$904,'3. Root Biomass'!$A$5:$A$904,$A49))</f>
        <v/>
      </c>
      <c r="Q49" s="9">
        <f>IF(ISNUMBER($D49),$D49^2,"")</f>
        <v/>
      </c>
      <c r="R49" s="9">
        <f>IF(ISNUMBER($G49),$G49^2,"")</f>
        <v/>
      </c>
    </row>
    <row r="50">
      <c r="A50" s="10">
        <f>IF(INDEX('1. Plot &amp; Site Log'!$A$5:$A$64,46)="","",INDEX('1. Plot &amp; Site Log'!$A$5:$A$64,46))</f>
        <v/>
      </c>
      <c r="B50" s="10">
        <f>IF($A50="","",INDEX('1. Plot &amp; Site Log'!$B$5:$B$64,MATCH($A50,'1. Plot &amp; Site Log'!$A$5:$A$64,0)))</f>
        <v/>
      </c>
      <c r="C50" s="10">
        <f>IF($A50="","",COUNTIFS('2. Soil Data'!$A$5:$A$604,$A50))</f>
        <v/>
      </c>
      <c r="D50" s="10">
        <f>IF(OR($A50="",$C50=0,$O50=0),"",SUMIFS('2. Soil Data'!$R$5:$R$604,'2. Soil Data'!$A$5:$A$604,$A50)/$O50)</f>
        <v/>
      </c>
      <c r="E50" s="10">
        <f>IF(OR($A50="",$C50=0,$O50=0),"",SUMIFS('2. Soil Data'!$P$5:$P$604,'2. Soil Data'!$A$5:$A$604,$A50)/$O50)</f>
        <v/>
      </c>
      <c r="F50" s="10">
        <f>IF($A50="","",SUMPRODUCT(MAX(('2. Soil Data'!$A$5:$A$604=$A50)*IF(ISNUMBER('2. Soil Data'!$E$5:$E$604),'2. Soil Data'!$E$5:$E$604,0))))</f>
        <v/>
      </c>
      <c r="G50" s="10">
        <f>IF(OR($A50="",$P50=0),"",SUMIFS('3. Root Biomass'!$N$5:$N$904,'3. Root Biomass'!$A$5:$A$904,$A50)/$P50)</f>
        <v/>
      </c>
      <c r="H50" s="10">
        <f>IF($A50="","",IFERROR(SUMIFS('4. Vegetation Data'!$M$5:$M$64,'4. Vegetation Data'!$A$5:$A$64,$A50),""))</f>
        <v/>
      </c>
      <c r="I50" s="10">
        <f>IF($A50="","",IF(ISNUMBER($D50),$D50,0)+IF(ISNUMBER($G50),$G50,0)+IF(ISNUMBER($H50),$H50,0))</f>
        <v/>
      </c>
      <c r="J50" s="10">
        <f>IF($A50="","",IF(ISNUMBER($E50),$E50,0)+IF(ISNUMBER($G50),$G50,0)+IF(ISNUMBER($H50),$H50,0))</f>
        <v/>
      </c>
      <c r="K50" s="11">
        <f>IF($A50="","",IF($C50=0,"No soil increments for this plot — it contributes nothing. ","")&amp;IF(AND(ISNUMBER($F50),$F50&lt;SOIL_REPORTING_DEPTH_CM),"Cored shallower than the reporting depth, so the reporting-depth figure is an UNDERESTIMATE for this plot. ","")&amp;IF(AND(ISNUMBER($G50),$G50&gt;0,ISNUMBER($F50)),"Root total reaches only "&amp;$F50&amp;" cm — the bottom of the core, not the bottom of the roots. Report it as a MINIMUM. ","")&amp;IF(AND(ISNUMBER($G50),$G50&gt;0,ROOTS_REMOVED_BEFORE_SOIL_C&lt;&gt;"Yes"),"Root carbon is being added to a soil stock NOT confirmed root-free — fine-root carbon is probably counted twice. ",""))</f>
        <v/>
      </c>
      <c r="L50" s="9">
        <f>IF(ISNUMBER($D50),$D50,"")</f>
        <v/>
      </c>
      <c r="M50" s="9">
        <f>IF(ISNUMBER($G50),$G50,"")</f>
        <v/>
      </c>
      <c r="N50" s="9">
        <f>IF(AND(ISNUMBER($D50),$A50&lt;&gt;""),1,0)</f>
        <v/>
      </c>
      <c r="O50" s="9">
        <f>IF($A50="","",SUMIFS('2. Soil Data'!$U$5:$U$604,'2. Soil Data'!$A$5:$A$604,$A50))</f>
        <v/>
      </c>
      <c r="P50" s="9">
        <f>IF($A50="","",SUMIFS('3. Root Biomass'!$Q$5:$Q$904,'3. Root Biomass'!$A$5:$A$904,$A50))</f>
        <v/>
      </c>
      <c r="Q50" s="9">
        <f>IF(ISNUMBER($D50),$D50^2,"")</f>
        <v/>
      </c>
      <c r="R50" s="9">
        <f>IF(ISNUMBER($G50),$G50^2,"")</f>
        <v/>
      </c>
    </row>
    <row r="51">
      <c r="A51" s="10">
        <f>IF(INDEX('1. Plot &amp; Site Log'!$A$5:$A$64,47)="","",INDEX('1. Plot &amp; Site Log'!$A$5:$A$64,47))</f>
        <v/>
      </c>
      <c r="B51" s="10">
        <f>IF($A51="","",INDEX('1. Plot &amp; Site Log'!$B$5:$B$64,MATCH($A51,'1. Plot &amp; Site Log'!$A$5:$A$64,0)))</f>
        <v/>
      </c>
      <c r="C51" s="10">
        <f>IF($A51="","",COUNTIFS('2. Soil Data'!$A$5:$A$604,$A51))</f>
        <v/>
      </c>
      <c r="D51" s="10">
        <f>IF(OR($A51="",$C51=0,$O51=0),"",SUMIFS('2. Soil Data'!$R$5:$R$604,'2. Soil Data'!$A$5:$A$604,$A51)/$O51)</f>
        <v/>
      </c>
      <c r="E51" s="10">
        <f>IF(OR($A51="",$C51=0,$O51=0),"",SUMIFS('2. Soil Data'!$P$5:$P$604,'2. Soil Data'!$A$5:$A$604,$A51)/$O51)</f>
        <v/>
      </c>
      <c r="F51" s="10">
        <f>IF($A51="","",SUMPRODUCT(MAX(('2. Soil Data'!$A$5:$A$604=$A51)*IF(ISNUMBER('2. Soil Data'!$E$5:$E$604),'2. Soil Data'!$E$5:$E$604,0))))</f>
        <v/>
      </c>
      <c r="G51" s="10">
        <f>IF(OR($A51="",$P51=0),"",SUMIFS('3. Root Biomass'!$N$5:$N$904,'3. Root Biomass'!$A$5:$A$904,$A51)/$P51)</f>
        <v/>
      </c>
      <c r="H51" s="10">
        <f>IF($A51="","",IFERROR(SUMIFS('4. Vegetation Data'!$M$5:$M$64,'4. Vegetation Data'!$A$5:$A$64,$A51),""))</f>
        <v/>
      </c>
      <c r="I51" s="10">
        <f>IF($A51="","",IF(ISNUMBER($D51),$D51,0)+IF(ISNUMBER($G51),$G51,0)+IF(ISNUMBER($H51),$H51,0))</f>
        <v/>
      </c>
      <c r="J51" s="10">
        <f>IF($A51="","",IF(ISNUMBER($E51),$E51,0)+IF(ISNUMBER($G51),$G51,0)+IF(ISNUMBER($H51),$H51,0))</f>
        <v/>
      </c>
      <c r="K51" s="11">
        <f>IF($A51="","",IF($C51=0,"No soil increments for this plot — it contributes nothing. ","")&amp;IF(AND(ISNUMBER($F51),$F51&lt;SOIL_REPORTING_DEPTH_CM),"Cored shallower than the reporting depth, so the reporting-depth figure is an UNDERESTIMATE for this plot. ","")&amp;IF(AND(ISNUMBER($G51),$G51&gt;0,ISNUMBER($F51)),"Root total reaches only "&amp;$F51&amp;" cm — the bottom of the core, not the bottom of the roots. Report it as a MINIMUM. ","")&amp;IF(AND(ISNUMBER($G51),$G51&gt;0,ROOTS_REMOVED_BEFORE_SOIL_C&lt;&gt;"Yes"),"Root carbon is being added to a soil stock NOT confirmed root-free — fine-root carbon is probably counted twice. ",""))</f>
        <v/>
      </c>
      <c r="L51" s="9">
        <f>IF(ISNUMBER($D51),$D51,"")</f>
        <v/>
      </c>
      <c r="M51" s="9">
        <f>IF(ISNUMBER($G51),$G51,"")</f>
        <v/>
      </c>
      <c r="N51" s="9">
        <f>IF(AND(ISNUMBER($D51),$A51&lt;&gt;""),1,0)</f>
        <v/>
      </c>
      <c r="O51" s="9">
        <f>IF($A51="","",SUMIFS('2. Soil Data'!$U$5:$U$604,'2. Soil Data'!$A$5:$A$604,$A51))</f>
        <v/>
      </c>
      <c r="P51" s="9">
        <f>IF($A51="","",SUMIFS('3. Root Biomass'!$Q$5:$Q$904,'3. Root Biomass'!$A$5:$A$904,$A51))</f>
        <v/>
      </c>
      <c r="Q51" s="9">
        <f>IF(ISNUMBER($D51),$D51^2,"")</f>
        <v/>
      </c>
      <c r="R51" s="9">
        <f>IF(ISNUMBER($G51),$G51^2,"")</f>
        <v/>
      </c>
    </row>
    <row r="52">
      <c r="A52" s="10">
        <f>IF(INDEX('1. Plot &amp; Site Log'!$A$5:$A$64,48)="","",INDEX('1. Plot &amp; Site Log'!$A$5:$A$64,48))</f>
        <v/>
      </c>
      <c r="B52" s="10">
        <f>IF($A52="","",INDEX('1. Plot &amp; Site Log'!$B$5:$B$64,MATCH($A52,'1. Plot &amp; Site Log'!$A$5:$A$64,0)))</f>
        <v/>
      </c>
      <c r="C52" s="10">
        <f>IF($A52="","",COUNTIFS('2. Soil Data'!$A$5:$A$604,$A52))</f>
        <v/>
      </c>
      <c r="D52" s="10">
        <f>IF(OR($A52="",$C52=0,$O52=0),"",SUMIFS('2. Soil Data'!$R$5:$R$604,'2. Soil Data'!$A$5:$A$604,$A52)/$O52)</f>
        <v/>
      </c>
      <c r="E52" s="10">
        <f>IF(OR($A52="",$C52=0,$O52=0),"",SUMIFS('2. Soil Data'!$P$5:$P$604,'2. Soil Data'!$A$5:$A$604,$A52)/$O52)</f>
        <v/>
      </c>
      <c r="F52" s="10">
        <f>IF($A52="","",SUMPRODUCT(MAX(('2. Soil Data'!$A$5:$A$604=$A52)*IF(ISNUMBER('2. Soil Data'!$E$5:$E$604),'2. Soil Data'!$E$5:$E$604,0))))</f>
        <v/>
      </c>
      <c r="G52" s="10">
        <f>IF(OR($A52="",$P52=0),"",SUMIFS('3. Root Biomass'!$N$5:$N$904,'3. Root Biomass'!$A$5:$A$904,$A52)/$P52)</f>
        <v/>
      </c>
      <c r="H52" s="10">
        <f>IF($A52="","",IFERROR(SUMIFS('4. Vegetation Data'!$M$5:$M$64,'4. Vegetation Data'!$A$5:$A$64,$A52),""))</f>
        <v/>
      </c>
      <c r="I52" s="10">
        <f>IF($A52="","",IF(ISNUMBER($D52),$D52,0)+IF(ISNUMBER($G52),$G52,0)+IF(ISNUMBER($H52),$H52,0))</f>
        <v/>
      </c>
      <c r="J52" s="10">
        <f>IF($A52="","",IF(ISNUMBER($E52),$E52,0)+IF(ISNUMBER($G52),$G52,0)+IF(ISNUMBER($H52),$H52,0))</f>
        <v/>
      </c>
      <c r="K52" s="11">
        <f>IF($A52="","",IF($C52=0,"No soil increments for this plot — it contributes nothing. ","")&amp;IF(AND(ISNUMBER($F52),$F52&lt;SOIL_REPORTING_DEPTH_CM),"Cored shallower than the reporting depth, so the reporting-depth figure is an UNDERESTIMATE for this plot. ","")&amp;IF(AND(ISNUMBER($G52),$G52&gt;0,ISNUMBER($F52)),"Root total reaches only "&amp;$F52&amp;" cm — the bottom of the core, not the bottom of the roots. Report it as a MINIMUM. ","")&amp;IF(AND(ISNUMBER($G52),$G52&gt;0,ROOTS_REMOVED_BEFORE_SOIL_C&lt;&gt;"Yes"),"Root carbon is being added to a soil stock NOT confirmed root-free — fine-root carbon is probably counted twice. ",""))</f>
        <v/>
      </c>
      <c r="L52" s="9">
        <f>IF(ISNUMBER($D52),$D52,"")</f>
        <v/>
      </c>
      <c r="M52" s="9">
        <f>IF(ISNUMBER($G52),$G52,"")</f>
        <v/>
      </c>
      <c r="N52" s="9">
        <f>IF(AND(ISNUMBER($D52),$A52&lt;&gt;""),1,0)</f>
        <v/>
      </c>
      <c r="O52" s="9">
        <f>IF($A52="","",SUMIFS('2. Soil Data'!$U$5:$U$604,'2. Soil Data'!$A$5:$A$604,$A52))</f>
        <v/>
      </c>
      <c r="P52" s="9">
        <f>IF($A52="","",SUMIFS('3. Root Biomass'!$Q$5:$Q$904,'3. Root Biomass'!$A$5:$A$904,$A52))</f>
        <v/>
      </c>
      <c r="Q52" s="9">
        <f>IF(ISNUMBER($D52),$D52^2,"")</f>
        <v/>
      </c>
      <c r="R52" s="9">
        <f>IF(ISNUMBER($G52),$G52^2,"")</f>
        <v/>
      </c>
    </row>
    <row r="53">
      <c r="A53" s="10">
        <f>IF(INDEX('1. Plot &amp; Site Log'!$A$5:$A$64,49)="","",INDEX('1. Plot &amp; Site Log'!$A$5:$A$64,49))</f>
        <v/>
      </c>
      <c r="B53" s="10">
        <f>IF($A53="","",INDEX('1. Plot &amp; Site Log'!$B$5:$B$64,MATCH($A53,'1. Plot &amp; Site Log'!$A$5:$A$64,0)))</f>
        <v/>
      </c>
      <c r="C53" s="10">
        <f>IF($A53="","",COUNTIFS('2. Soil Data'!$A$5:$A$604,$A53))</f>
        <v/>
      </c>
      <c r="D53" s="10">
        <f>IF(OR($A53="",$C53=0,$O53=0),"",SUMIFS('2. Soil Data'!$R$5:$R$604,'2. Soil Data'!$A$5:$A$604,$A53)/$O53)</f>
        <v/>
      </c>
      <c r="E53" s="10">
        <f>IF(OR($A53="",$C53=0,$O53=0),"",SUMIFS('2. Soil Data'!$P$5:$P$604,'2. Soil Data'!$A$5:$A$604,$A53)/$O53)</f>
        <v/>
      </c>
      <c r="F53" s="10">
        <f>IF($A53="","",SUMPRODUCT(MAX(('2. Soil Data'!$A$5:$A$604=$A53)*IF(ISNUMBER('2. Soil Data'!$E$5:$E$604),'2. Soil Data'!$E$5:$E$604,0))))</f>
        <v/>
      </c>
      <c r="G53" s="10">
        <f>IF(OR($A53="",$P53=0),"",SUMIFS('3. Root Biomass'!$N$5:$N$904,'3. Root Biomass'!$A$5:$A$904,$A53)/$P53)</f>
        <v/>
      </c>
      <c r="H53" s="10">
        <f>IF($A53="","",IFERROR(SUMIFS('4. Vegetation Data'!$M$5:$M$64,'4. Vegetation Data'!$A$5:$A$64,$A53),""))</f>
        <v/>
      </c>
      <c r="I53" s="10">
        <f>IF($A53="","",IF(ISNUMBER($D53),$D53,0)+IF(ISNUMBER($G53),$G53,0)+IF(ISNUMBER($H53),$H53,0))</f>
        <v/>
      </c>
      <c r="J53" s="10">
        <f>IF($A53="","",IF(ISNUMBER($E53),$E53,0)+IF(ISNUMBER($G53),$G53,0)+IF(ISNUMBER($H53),$H53,0))</f>
        <v/>
      </c>
      <c r="K53" s="11">
        <f>IF($A53="","",IF($C53=0,"No soil increments for this plot — it contributes nothing. ","")&amp;IF(AND(ISNUMBER($F53),$F53&lt;SOIL_REPORTING_DEPTH_CM),"Cored shallower than the reporting depth, so the reporting-depth figure is an UNDERESTIMATE for this plot. ","")&amp;IF(AND(ISNUMBER($G53),$G53&gt;0,ISNUMBER($F53)),"Root total reaches only "&amp;$F53&amp;" cm — the bottom of the core, not the bottom of the roots. Report it as a MINIMUM. ","")&amp;IF(AND(ISNUMBER($G53),$G53&gt;0,ROOTS_REMOVED_BEFORE_SOIL_C&lt;&gt;"Yes"),"Root carbon is being added to a soil stock NOT confirmed root-free — fine-root carbon is probably counted twice. ",""))</f>
        <v/>
      </c>
      <c r="L53" s="9">
        <f>IF(ISNUMBER($D53),$D53,"")</f>
        <v/>
      </c>
      <c r="M53" s="9">
        <f>IF(ISNUMBER($G53),$G53,"")</f>
        <v/>
      </c>
      <c r="N53" s="9">
        <f>IF(AND(ISNUMBER($D53),$A53&lt;&gt;""),1,0)</f>
        <v/>
      </c>
      <c r="O53" s="9">
        <f>IF($A53="","",SUMIFS('2. Soil Data'!$U$5:$U$604,'2. Soil Data'!$A$5:$A$604,$A53))</f>
        <v/>
      </c>
      <c r="P53" s="9">
        <f>IF($A53="","",SUMIFS('3. Root Biomass'!$Q$5:$Q$904,'3. Root Biomass'!$A$5:$A$904,$A53))</f>
        <v/>
      </c>
      <c r="Q53" s="9">
        <f>IF(ISNUMBER($D53),$D53^2,"")</f>
        <v/>
      </c>
      <c r="R53" s="9">
        <f>IF(ISNUMBER($G53),$G53^2,"")</f>
        <v/>
      </c>
    </row>
    <row r="54">
      <c r="A54" s="10">
        <f>IF(INDEX('1. Plot &amp; Site Log'!$A$5:$A$64,50)="","",INDEX('1. Plot &amp; Site Log'!$A$5:$A$64,50))</f>
        <v/>
      </c>
      <c r="B54" s="10">
        <f>IF($A54="","",INDEX('1. Plot &amp; Site Log'!$B$5:$B$64,MATCH($A54,'1. Plot &amp; Site Log'!$A$5:$A$64,0)))</f>
        <v/>
      </c>
      <c r="C54" s="10">
        <f>IF($A54="","",COUNTIFS('2. Soil Data'!$A$5:$A$604,$A54))</f>
        <v/>
      </c>
      <c r="D54" s="10">
        <f>IF(OR($A54="",$C54=0,$O54=0),"",SUMIFS('2. Soil Data'!$R$5:$R$604,'2. Soil Data'!$A$5:$A$604,$A54)/$O54)</f>
        <v/>
      </c>
      <c r="E54" s="10">
        <f>IF(OR($A54="",$C54=0,$O54=0),"",SUMIFS('2. Soil Data'!$P$5:$P$604,'2. Soil Data'!$A$5:$A$604,$A54)/$O54)</f>
        <v/>
      </c>
      <c r="F54" s="10">
        <f>IF($A54="","",SUMPRODUCT(MAX(('2. Soil Data'!$A$5:$A$604=$A54)*IF(ISNUMBER('2. Soil Data'!$E$5:$E$604),'2. Soil Data'!$E$5:$E$604,0))))</f>
        <v/>
      </c>
      <c r="G54" s="10">
        <f>IF(OR($A54="",$P54=0),"",SUMIFS('3. Root Biomass'!$N$5:$N$904,'3. Root Biomass'!$A$5:$A$904,$A54)/$P54)</f>
        <v/>
      </c>
      <c r="H54" s="10">
        <f>IF($A54="","",IFERROR(SUMIFS('4. Vegetation Data'!$M$5:$M$64,'4. Vegetation Data'!$A$5:$A$64,$A54),""))</f>
        <v/>
      </c>
      <c r="I54" s="10">
        <f>IF($A54="","",IF(ISNUMBER($D54),$D54,0)+IF(ISNUMBER($G54),$G54,0)+IF(ISNUMBER($H54),$H54,0))</f>
        <v/>
      </c>
      <c r="J54" s="10">
        <f>IF($A54="","",IF(ISNUMBER($E54),$E54,0)+IF(ISNUMBER($G54),$G54,0)+IF(ISNUMBER($H54),$H54,0))</f>
        <v/>
      </c>
      <c r="K54" s="11">
        <f>IF($A54="","",IF($C54=0,"No soil increments for this plot — it contributes nothing. ","")&amp;IF(AND(ISNUMBER($F54),$F54&lt;SOIL_REPORTING_DEPTH_CM),"Cored shallower than the reporting depth, so the reporting-depth figure is an UNDERESTIMATE for this plot. ","")&amp;IF(AND(ISNUMBER($G54),$G54&gt;0,ISNUMBER($F54)),"Root total reaches only "&amp;$F54&amp;" cm — the bottom of the core, not the bottom of the roots. Report it as a MINIMUM. ","")&amp;IF(AND(ISNUMBER($G54),$G54&gt;0,ROOTS_REMOVED_BEFORE_SOIL_C&lt;&gt;"Yes"),"Root carbon is being added to a soil stock NOT confirmed root-free — fine-root carbon is probably counted twice. ",""))</f>
        <v/>
      </c>
      <c r="L54" s="9">
        <f>IF(ISNUMBER($D54),$D54,"")</f>
        <v/>
      </c>
      <c r="M54" s="9">
        <f>IF(ISNUMBER($G54),$G54,"")</f>
        <v/>
      </c>
      <c r="N54" s="9">
        <f>IF(AND(ISNUMBER($D54),$A54&lt;&gt;""),1,0)</f>
        <v/>
      </c>
      <c r="O54" s="9">
        <f>IF($A54="","",SUMIFS('2. Soil Data'!$U$5:$U$604,'2. Soil Data'!$A$5:$A$604,$A54))</f>
        <v/>
      </c>
      <c r="P54" s="9">
        <f>IF($A54="","",SUMIFS('3. Root Biomass'!$Q$5:$Q$904,'3. Root Biomass'!$A$5:$A$904,$A54))</f>
        <v/>
      </c>
      <c r="Q54" s="9">
        <f>IF(ISNUMBER($D54),$D54^2,"")</f>
        <v/>
      </c>
      <c r="R54" s="9">
        <f>IF(ISNUMBER($G54),$G54^2,"")</f>
        <v/>
      </c>
    </row>
    <row r="55">
      <c r="A55" s="10">
        <f>IF(INDEX('1. Plot &amp; Site Log'!$A$5:$A$64,51)="","",INDEX('1. Plot &amp; Site Log'!$A$5:$A$64,51))</f>
        <v/>
      </c>
      <c r="B55" s="10">
        <f>IF($A55="","",INDEX('1. Plot &amp; Site Log'!$B$5:$B$64,MATCH($A55,'1. Plot &amp; Site Log'!$A$5:$A$64,0)))</f>
        <v/>
      </c>
      <c r="C55" s="10">
        <f>IF($A55="","",COUNTIFS('2. Soil Data'!$A$5:$A$604,$A55))</f>
        <v/>
      </c>
      <c r="D55" s="10">
        <f>IF(OR($A55="",$C55=0,$O55=0),"",SUMIFS('2. Soil Data'!$R$5:$R$604,'2. Soil Data'!$A$5:$A$604,$A55)/$O55)</f>
        <v/>
      </c>
      <c r="E55" s="10">
        <f>IF(OR($A55="",$C55=0,$O55=0),"",SUMIFS('2. Soil Data'!$P$5:$P$604,'2. Soil Data'!$A$5:$A$604,$A55)/$O55)</f>
        <v/>
      </c>
      <c r="F55" s="10">
        <f>IF($A55="","",SUMPRODUCT(MAX(('2. Soil Data'!$A$5:$A$604=$A55)*IF(ISNUMBER('2. Soil Data'!$E$5:$E$604),'2. Soil Data'!$E$5:$E$604,0))))</f>
        <v/>
      </c>
      <c r="G55" s="10">
        <f>IF(OR($A55="",$P55=0),"",SUMIFS('3. Root Biomass'!$N$5:$N$904,'3. Root Biomass'!$A$5:$A$904,$A55)/$P55)</f>
        <v/>
      </c>
      <c r="H55" s="10">
        <f>IF($A55="","",IFERROR(SUMIFS('4. Vegetation Data'!$M$5:$M$64,'4. Vegetation Data'!$A$5:$A$64,$A55),""))</f>
        <v/>
      </c>
      <c r="I55" s="10">
        <f>IF($A55="","",IF(ISNUMBER($D55),$D55,0)+IF(ISNUMBER($G55),$G55,0)+IF(ISNUMBER($H55),$H55,0))</f>
        <v/>
      </c>
      <c r="J55" s="10">
        <f>IF($A55="","",IF(ISNUMBER($E55),$E55,0)+IF(ISNUMBER($G55),$G55,0)+IF(ISNUMBER($H55),$H55,0))</f>
        <v/>
      </c>
      <c r="K55" s="11">
        <f>IF($A55="","",IF($C55=0,"No soil increments for this plot — it contributes nothing. ","")&amp;IF(AND(ISNUMBER($F55),$F55&lt;SOIL_REPORTING_DEPTH_CM),"Cored shallower than the reporting depth, so the reporting-depth figure is an UNDERESTIMATE for this plot. ","")&amp;IF(AND(ISNUMBER($G55),$G55&gt;0,ISNUMBER($F55)),"Root total reaches only "&amp;$F55&amp;" cm — the bottom of the core, not the bottom of the roots. Report it as a MINIMUM. ","")&amp;IF(AND(ISNUMBER($G55),$G55&gt;0,ROOTS_REMOVED_BEFORE_SOIL_C&lt;&gt;"Yes"),"Root carbon is being added to a soil stock NOT confirmed root-free — fine-root carbon is probably counted twice. ",""))</f>
        <v/>
      </c>
      <c r="L55" s="9">
        <f>IF(ISNUMBER($D55),$D55,"")</f>
        <v/>
      </c>
      <c r="M55" s="9">
        <f>IF(ISNUMBER($G55),$G55,"")</f>
        <v/>
      </c>
      <c r="N55" s="9">
        <f>IF(AND(ISNUMBER($D55),$A55&lt;&gt;""),1,0)</f>
        <v/>
      </c>
      <c r="O55" s="9">
        <f>IF($A55="","",SUMIFS('2. Soil Data'!$U$5:$U$604,'2. Soil Data'!$A$5:$A$604,$A55))</f>
        <v/>
      </c>
      <c r="P55" s="9">
        <f>IF($A55="","",SUMIFS('3. Root Biomass'!$Q$5:$Q$904,'3. Root Biomass'!$A$5:$A$904,$A55))</f>
        <v/>
      </c>
      <c r="Q55" s="9">
        <f>IF(ISNUMBER($D55),$D55^2,"")</f>
        <v/>
      </c>
      <c r="R55" s="9">
        <f>IF(ISNUMBER($G55),$G55^2,"")</f>
        <v/>
      </c>
    </row>
    <row r="56">
      <c r="A56" s="10">
        <f>IF(INDEX('1. Plot &amp; Site Log'!$A$5:$A$64,52)="","",INDEX('1. Plot &amp; Site Log'!$A$5:$A$64,52))</f>
        <v/>
      </c>
      <c r="B56" s="10">
        <f>IF($A56="","",INDEX('1. Plot &amp; Site Log'!$B$5:$B$64,MATCH($A56,'1. Plot &amp; Site Log'!$A$5:$A$64,0)))</f>
        <v/>
      </c>
      <c r="C56" s="10">
        <f>IF($A56="","",COUNTIFS('2. Soil Data'!$A$5:$A$604,$A56))</f>
        <v/>
      </c>
      <c r="D56" s="10">
        <f>IF(OR($A56="",$C56=0,$O56=0),"",SUMIFS('2. Soil Data'!$R$5:$R$604,'2. Soil Data'!$A$5:$A$604,$A56)/$O56)</f>
        <v/>
      </c>
      <c r="E56" s="10">
        <f>IF(OR($A56="",$C56=0,$O56=0),"",SUMIFS('2. Soil Data'!$P$5:$P$604,'2. Soil Data'!$A$5:$A$604,$A56)/$O56)</f>
        <v/>
      </c>
      <c r="F56" s="10">
        <f>IF($A56="","",SUMPRODUCT(MAX(('2. Soil Data'!$A$5:$A$604=$A56)*IF(ISNUMBER('2. Soil Data'!$E$5:$E$604),'2. Soil Data'!$E$5:$E$604,0))))</f>
        <v/>
      </c>
      <c r="G56" s="10">
        <f>IF(OR($A56="",$P56=0),"",SUMIFS('3. Root Biomass'!$N$5:$N$904,'3. Root Biomass'!$A$5:$A$904,$A56)/$P56)</f>
        <v/>
      </c>
      <c r="H56" s="10">
        <f>IF($A56="","",IFERROR(SUMIFS('4. Vegetation Data'!$M$5:$M$64,'4. Vegetation Data'!$A$5:$A$64,$A56),""))</f>
        <v/>
      </c>
      <c r="I56" s="10">
        <f>IF($A56="","",IF(ISNUMBER($D56),$D56,0)+IF(ISNUMBER($G56),$G56,0)+IF(ISNUMBER($H56),$H56,0))</f>
        <v/>
      </c>
      <c r="J56" s="10">
        <f>IF($A56="","",IF(ISNUMBER($E56),$E56,0)+IF(ISNUMBER($G56),$G56,0)+IF(ISNUMBER($H56),$H56,0))</f>
        <v/>
      </c>
      <c r="K56" s="11">
        <f>IF($A56="","",IF($C56=0,"No soil increments for this plot — it contributes nothing. ","")&amp;IF(AND(ISNUMBER($F56),$F56&lt;SOIL_REPORTING_DEPTH_CM),"Cored shallower than the reporting depth, so the reporting-depth figure is an UNDERESTIMATE for this plot. ","")&amp;IF(AND(ISNUMBER($G56),$G56&gt;0,ISNUMBER($F56)),"Root total reaches only "&amp;$F56&amp;" cm — the bottom of the core, not the bottom of the roots. Report it as a MINIMUM. ","")&amp;IF(AND(ISNUMBER($G56),$G56&gt;0,ROOTS_REMOVED_BEFORE_SOIL_C&lt;&gt;"Yes"),"Root carbon is being added to a soil stock NOT confirmed root-free — fine-root carbon is probably counted twice. ",""))</f>
        <v/>
      </c>
      <c r="L56" s="9">
        <f>IF(ISNUMBER($D56),$D56,"")</f>
        <v/>
      </c>
      <c r="M56" s="9">
        <f>IF(ISNUMBER($G56),$G56,"")</f>
        <v/>
      </c>
      <c r="N56" s="9">
        <f>IF(AND(ISNUMBER($D56),$A56&lt;&gt;""),1,0)</f>
        <v/>
      </c>
      <c r="O56" s="9">
        <f>IF($A56="","",SUMIFS('2. Soil Data'!$U$5:$U$604,'2. Soil Data'!$A$5:$A$604,$A56))</f>
        <v/>
      </c>
      <c r="P56" s="9">
        <f>IF($A56="","",SUMIFS('3. Root Biomass'!$Q$5:$Q$904,'3. Root Biomass'!$A$5:$A$904,$A56))</f>
        <v/>
      </c>
      <c r="Q56" s="9">
        <f>IF(ISNUMBER($D56),$D56^2,"")</f>
        <v/>
      </c>
      <c r="R56" s="9">
        <f>IF(ISNUMBER($G56),$G56^2,"")</f>
        <v/>
      </c>
    </row>
    <row r="57">
      <c r="A57" s="10">
        <f>IF(INDEX('1. Plot &amp; Site Log'!$A$5:$A$64,53)="","",INDEX('1. Plot &amp; Site Log'!$A$5:$A$64,53))</f>
        <v/>
      </c>
      <c r="B57" s="10">
        <f>IF($A57="","",INDEX('1. Plot &amp; Site Log'!$B$5:$B$64,MATCH($A57,'1. Plot &amp; Site Log'!$A$5:$A$64,0)))</f>
        <v/>
      </c>
      <c r="C57" s="10">
        <f>IF($A57="","",COUNTIFS('2. Soil Data'!$A$5:$A$604,$A57))</f>
        <v/>
      </c>
      <c r="D57" s="10">
        <f>IF(OR($A57="",$C57=0,$O57=0),"",SUMIFS('2. Soil Data'!$R$5:$R$604,'2. Soil Data'!$A$5:$A$604,$A57)/$O57)</f>
        <v/>
      </c>
      <c r="E57" s="10">
        <f>IF(OR($A57="",$C57=0,$O57=0),"",SUMIFS('2. Soil Data'!$P$5:$P$604,'2. Soil Data'!$A$5:$A$604,$A57)/$O57)</f>
        <v/>
      </c>
      <c r="F57" s="10">
        <f>IF($A57="","",SUMPRODUCT(MAX(('2. Soil Data'!$A$5:$A$604=$A57)*IF(ISNUMBER('2. Soil Data'!$E$5:$E$604),'2. Soil Data'!$E$5:$E$604,0))))</f>
        <v/>
      </c>
      <c r="G57" s="10">
        <f>IF(OR($A57="",$P57=0),"",SUMIFS('3. Root Biomass'!$N$5:$N$904,'3. Root Biomass'!$A$5:$A$904,$A57)/$P57)</f>
        <v/>
      </c>
      <c r="H57" s="10">
        <f>IF($A57="","",IFERROR(SUMIFS('4. Vegetation Data'!$M$5:$M$64,'4. Vegetation Data'!$A$5:$A$64,$A57),""))</f>
        <v/>
      </c>
      <c r="I57" s="10">
        <f>IF($A57="","",IF(ISNUMBER($D57),$D57,0)+IF(ISNUMBER($G57),$G57,0)+IF(ISNUMBER($H57),$H57,0))</f>
        <v/>
      </c>
      <c r="J57" s="10">
        <f>IF($A57="","",IF(ISNUMBER($E57),$E57,0)+IF(ISNUMBER($G57),$G57,0)+IF(ISNUMBER($H57),$H57,0))</f>
        <v/>
      </c>
      <c r="K57" s="11">
        <f>IF($A57="","",IF($C57=0,"No soil increments for this plot — it contributes nothing. ","")&amp;IF(AND(ISNUMBER($F57),$F57&lt;SOIL_REPORTING_DEPTH_CM),"Cored shallower than the reporting depth, so the reporting-depth figure is an UNDERESTIMATE for this plot. ","")&amp;IF(AND(ISNUMBER($G57),$G57&gt;0,ISNUMBER($F57)),"Root total reaches only "&amp;$F57&amp;" cm — the bottom of the core, not the bottom of the roots. Report it as a MINIMUM. ","")&amp;IF(AND(ISNUMBER($G57),$G57&gt;0,ROOTS_REMOVED_BEFORE_SOIL_C&lt;&gt;"Yes"),"Root carbon is being added to a soil stock NOT confirmed root-free — fine-root carbon is probably counted twice. ",""))</f>
        <v/>
      </c>
      <c r="L57" s="9">
        <f>IF(ISNUMBER($D57),$D57,"")</f>
        <v/>
      </c>
      <c r="M57" s="9">
        <f>IF(ISNUMBER($G57),$G57,"")</f>
        <v/>
      </c>
      <c r="N57" s="9">
        <f>IF(AND(ISNUMBER($D57),$A57&lt;&gt;""),1,0)</f>
        <v/>
      </c>
      <c r="O57" s="9">
        <f>IF($A57="","",SUMIFS('2. Soil Data'!$U$5:$U$604,'2. Soil Data'!$A$5:$A$604,$A57))</f>
        <v/>
      </c>
      <c r="P57" s="9">
        <f>IF($A57="","",SUMIFS('3. Root Biomass'!$Q$5:$Q$904,'3. Root Biomass'!$A$5:$A$904,$A57))</f>
        <v/>
      </c>
      <c r="Q57" s="9">
        <f>IF(ISNUMBER($D57),$D57^2,"")</f>
        <v/>
      </c>
      <c r="R57" s="9">
        <f>IF(ISNUMBER($G57),$G57^2,"")</f>
        <v/>
      </c>
    </row>
    <row r="58">
      <c r="A58" s="10">
        <f>IF(INDEX('1. Plot &amp; Site Log'!$A$5:$A$64,54)="","",INDEX('1. Plot &amp; Site Log'!$A$5:$A$64,54))</f>
        <v/>
      </c>
      <c r="B58" s="10">
        <f>IF($A58="","",INDEX('1. Plot &amp; Site Log'!$B$5:$B$64,MATCH($A58,'1. Plot &amp; Site Log'!$A$5:$A$64,0)))</f>
        <v/>
      </c>
      <c r="C58" s="10">
        <f>IF($A58="","",COUNTIFS('2. Soil Data'!$A$5:$A$604,$A58))</f>
        <v/>
      </c>
      <c r="D58" s="10">
        <f>IF(OR($A58="",$C58=0,$O58=0),"",SUMIFS('2. Soil Data'!$R$5:$R$604,'2. Soil Data'!$A$5:$A$604,$A58)/$O58)</f>
        <v/>
      </c>
      <c r="E58" s="10">
        <f>IF(OR($A58="",$C58=0,$O58=0),"",SUMIFS('2. Soil Data'!$P$5:$P$604,'2. Soil Data'!$A$5:$A$604,$A58)/$O58)</f>
        <v/>
      </c>
      <c r="F58" s="10">
        <f>IF($A58="","",SUMPRODUCT(MAX(('2. Soil Data'!$A$5:$A$604=$A58)*IF(ISNUMBER('2. Soil Data'!$E$5:$E$604),'2. Soil Data'!$E$5:$E$604,0))))</f>
        <v/>
      </c>
      <c r="G58" s="10">
        <f>IF(OR($A58="",$P58=0),"",SUMIFS('3. Root Biomass'!$N$5:$N$904,'3. Root Biomass'!$A$5:$A$904,$A58)/$P58)</f>
        <v/>
      </c>
      <c r="H58" s="10">
        <f>IF($A58="","",IFERROR(SUMIFS('4. Vegetation Data'!$M$5:$M$64,'4. Vegetation Data'!$A$5:$A$64,$A58),""))</f>
        <v/>
      </c>
      <c r="I58" s="10">
        <f>IF($A58="","",IF(ISNUMBER($D58),$D58,0)+IF(ISNUMBER($G58),$G58,0)+IF(ISNUMBER($H58),$H58,0))</f>
        <v/>
      </c>
      <c r="J58" s="10">
        <f>IF($A58="","",IF(ISNUMBER($E58),$E58,0)+IF(ISNUMBER($G58),$G58,0)+IF(ISNUMBER($H58),$H58,0))</f>
        <v/>
      </c>
      <c r="K58" s="11">
        <f>IF($A58="","",IF($C58=0,"No soil increments for this plot — it contributes nothing. ","")&amp;IF(AND(ISNUMBER($F58),$F58&lt;SOIL_REPORTING_DEPTH_CM),"Cored shallower than the reporting depth, so the reporting-depth figure is an UNDERESTIMATE for this plot. ","")&amp;IF(AND(ISNUMBER($G58),$G58&gt;0,ISNUMBER($F58)),"Root total reaches only "&amp;$F58&amp;" cm — the bottom of the core, not the bottom of the roots. Report it as a MINIMUM. ","")&amp;IF(AND(ISNUMBER($G58),$G58&gt;0,ROOTS_REMOVED_BEFORE_SOIL_C&lt;&gt;"Yes"),"Root carbon is being added to a soil stock NOT confirmed root-free — fine-root carbon is probably counted twice. ",""))</f>
        <v/>
      </c>
      <c r="L58" s="9">
        <f>IF(ISNUMBER($D58),$D58,"")</f>
        <v/>
      </c>
      <c r="M58" s="9">
        <f>IF(ISNUMBER($G58),$G58,"")</f>
        <v/>
      </c>
      <c r="N58" s="9">
        <f>IF(AND(ISNUMBER($D58),$A58&lt;&gt;""),1,0)</f>
        <v/>
      </c>
      <c r="O58" s="9">
        <f>IF($A58="","",SUMIFS('2. Soil Data'!$U$5:$U$604,'2. Soil Data'!$A$5:$A$604,$A58))</f>
        <v/>
      </c>
      <c r="P58" s="9">
        <f>IF($A58="","",SUMIFS('3. Root Biomass'!$Q$5:$Q$904,'3. Root Biomass'!$A$5:$A$904,$A58))</f>
        <v/>
      </c>
      <c r="Q58" s="9">
        <f>IF(ISNUMBER($D58),$D58^2,"")</f>
        <v/>
      </c>
      <c r="R58" s="9">
        <f>IF(ISNUMBER($G58),$G58^2,"")</f>
        <v/>
      </c>
    </row>
    <row r="59">
      <c r="A59" s="10">
        <f>IF(INDEX('1. Plot &amp; Site Log'!$A$5:$A$64,55)="","",INDEX('1. Plot &amp; Site Log'!$A$5:$A$64,55))</f>
        <v/>
      </c>
      <c r="B59" s="10">
        <f>IF($A59="","",INDEX('1. Plot &amp; Site Log'!$B$5:$B$64,MATCH($A59,'1. Plot &amp; Site Log'!$A$5:$A$64,0)))</f>
        <v/>
      </c>
      <c r="C59" s="10">
        <f>IF($A59="","",COUNTIFS('2. Soil Data'!$A$5:$A$604,$A59))</f>
        <v/>
      </c>
      <c r="D59" s="10">
        <f>IF(OR($A59="",$C59=0,$O59=0),"",SUMIFS('2. Soil Data'!$R$5:$R$604,'2. Soil Data'!$A$5:$A$604,$A59)/$O59)</f>
        <v/>
      </c>
      <c r="E59" s="10">
        <f>IF(OR($A59="",$C59=0,$O59=0),"",SUMIFS('2. Soil Data'!$P$5:$P$604,'2. Soil Data'!$A$5:$A$604,$A59)/$O59)</f>
        <v/>
      </c>
      <c r="F59" s="10">
        <f>IF($A59="","",SUMPRODUCT(MAX(('2. Soil Data'!$A$5:$A$604=$A59)*IF(ISNUMBER('2. Soil Data'!$E$5:$E$604),'2. Soil Data'!$E$5:$E$604,0))))</f>
        <v/>
      </c>
      <c r="G59" s="10">
        <f>IF(OR($A59="",$P59=0),"",SUMIFS('3. Root Biomass'!$N$5:$N$904,'3. Root Biomass'!$A$5:$A$904,$A59)/$P59)</f>
        <v/>
      </c>
      <c r="H59" s="10">
        <f>IF($A59="","",IFERROR(SUMIFS('4. Vegetation Data'!$M$5:$M$64,'4. Vegetation Data'!$A$5:$A$64,$A59),""))</f>
        <v/>
      </c>
      <c r="I59" s="10">
        <f>IF($A59="","",IF(ISNUMBER($D59),$D59,0)+IF(ISNUMBER($G59),$G59,0)+IF(ISNUMBER($H59),$H59,0))</f>
        <v/>
      </c>
      <c r="J59" s="10">
        <f>IF($A59="","",IF(ISNUMBER($E59),$E59,0)+IF(ISNUMBER($G59),$G59,0)+IF(ISNUMBER($H59),$H59,0))</f>
        <v/>
      </c>
      <c r="K59" s="11">
        <f>IF($A59="","",IF($C59=0,"No soil increments for this plot — it contributes nothing. ","")&amp;IF(AND(ISNUMBER($F59),$F59&lt;SOIL_REPORTING_DEPTH_CM),"Cored shallower than the reporting depth, so the reporting-depth figure is an UNDERESTIMATE for this plot. ","")&amp;IF(AND(ISNUMBER($G59),$G59&gt;0,ISNUMBER($F59)),"Root total reaches only "&amp;$F59&amp;" cm — the bottom of the core, not the bottom of the roots. Report it as a MINIMUM. ","")&amp;IF(AND(ISNUMBER($G59),$G59&gt;0,ROOTS_REMOVED_BEFORE_SOIL_C&lt;&gt;"Yes"),"Root carbon is being added to a soil stock NOT confirmed root-free — fine-root carbon is probably counted twice. ",""))</f>
        <v/>
      </c>
      <c r="L59" s="9">
        <f>IF(ISNUMBER($D59),$D59,"")</f>
        <v/>
      </c>
      <c r="M59" s="9">
        <f>IF(ISNUMBER($G59),$G59,"")</f>
        <v/>
      </c>
      <c r="N59" s="9">
        <f>IF(AND(ISNUMBER($D59),$A59&lt;&gt;""),1,0)</f>
        <v/>
      </c>
      <c r="O59" s="9">
        <f>IF($A59="","",SUMIFS('2. Soil Data'!$U$5:$U$604,'2. Soil Data'!$A$5:$A$604,$A59))</f>
        <v/>
      </c>
      <c r="P59" s="9">
        <f>IF($A59="","",SUMIFS('3. Root Biomass'!$Q$5:$Q$904,'3. Root Biomass'!$A$5:$A$904,$A59))</f>
        <v/>
      </c>
      <c r="Q59" s="9">
        <f>IF(ISNUMBER($D59),$D59^2,"")</f>
        <v/>
      </c>
      <c r="R59" s="9">
        <f>IF(ISNUMBER($G59),$G59^2,"")</f>
        <v/>
      </c>
    </row>
    <row r="60">
      <c r="A60" s="10">
        <f>IF(INDEX('1. Plot &amp; Site Log'!$A$5:$A$64,56)="","",INDEX('1. Plot &amp; Site Log'!$A$5:$A$64,56))</f>
        <v/>
      </c>
      <c r="B60" s="10">
        <f>IF($A60="","",INDEX('1. Plot &amp; Site Log'!$B$5:$B$64,MATCH($A60,'1. Plot &amp; Site Log'!$A$5:$A$64,0)))</f>
        <v/>
      </c>
      <c r="C60" s="10">
        <f>IF($A60="","",COUNTIFS('2. Soil Data'!$A$5:$A$604,$A60))</f>
        <v/>
      </c>
      <c r="D60" s="10">
        <f>IF(OR($A60="",$C60=0,$O60=0),"",SUMIFS('2. Soil Data'!$R$5:$R$604,'2. Soil Data'!$A$5:$A$604,$A60)/$O60)</f>
        <v/>
      </c>
      <c r="E60" s="10">
        <f>IF(OR($A60="",$C60=0,$O60=0),"",SUMIFS('2. Soil Data'!$P$5:$P$604,'2. Soil Data'!$A$5:$A$604,$A60)/$O60)</f>
        <v/>
      </c>
      <c r="F60" s="10">
        <f>IF($A60="","",SUMPRODUCT(MAX(('2. Soil Data'!$A$5:$A$604=$A60)*IF(ISNUMBER('2. Soil Data'!$E$5:$E$604),'2. Soil Data'!$E$5:$E$604,0))))</f>
        <v/>
      </c>
      <c r="G60" s="10">
        <f>IF(OR($A60="",$P60=0),"",SUMIFS('3. Root Biomass'!$N$5:$N$904,'3. Root Biomass'!$A$5:$A$904,$A60)/$P60)</f>
        <v/>
      </c>
      <c r="H60" s="10">
        <f>IF($A60="","",IFERROR(SUMIFS('4. Vegetation Data'!$M$5:$M$64,'4. Vegetation Data'!$A$5:$A$64,$A60),""))</f>
        <v/>
      </c>
      <c r="I60" s="10">
        <f>IF($A60="","",IF(ISNUMBER($D60),$D60,0)+IF(ISNUMBER($G60),$G60,0)+IF(ISNUMBER($H60),$H60,0))</f>
        <v/>
      </c>
      <c r="J60" s="10">
        <f>IF($A60="","",IF(ISNUMBER($E60),$E60,0)+IF(ISNUMBER($G60),$G60,0)+IF(ISNUMBER($H60),$H60,0))</f>
        <v/>
      </c>
      <c r="K60" s="11">
        <f>IF($A60="","",IF($C60=0,"No soil increments for this plot — it contributes nothing. ","")&amp;IF(AND(ISNUMBER($F60),$F60&lt;SOIL_REPORTING_DEPTH_CM),"Cored shallower than the reporting depth, so the reporting-depth figure is an UNDERESTIMATE for this plot. ","")&amp;IF(AND(ISNUMBER($G60),$G60&gt;0,ISNUMBER($F60)),"Root total reaches only "&amp;$F60&amp;" cm — the bottom of the core, not the bottom of the roots. Report it as a MINIMUM. ","")&amp;IF(AND(ISNUMBER($G60),$G60&gt;0,ROOTS_REMOVED_BEFORE_SOIL_C&lt;&gt;"Yes"),"Root carbon is being added to a soil stock NOT confirmed root-free — fine-root carbon is probably counted twice. ",""))</f>
        <v/>
      </c>
      <c r="L60" s="9">
        <f>IF(ISNUMBER($D60),$D60,"")</f>
        <v/>
      </c>
      <c r="M60" s="9">
        <f>IF(ISNUMBER($G60),$G60,"")</f>
        <v/>
      </c>
      <c r="N60" s="9">
        <f>IF(AND(ISNUMBER($D60),$A60&lt;&gt;""),1,0)</f>
        <v/>
      </c>
      <c r="O60" s="9">
        <f>IF($A60="","",SUMIFS('2. Soil Data'!$U$5:$U$604,'2. Soil Data'!$A$5:$A$604,$A60))</f>
        <v/>
      </c>
      <c r="P60" s="9">
        <f>IF($A60="","",SUMIFS('3. Root Biomass'!$Q$5:$Q$904,'3. Root Biomass'!$A$5:$A$904,$A60))</f>
        <v/>
      </c>
      <c r="Q60" s="9">
        <f>IF(ISNUMBER($D60),$D60^2,"")</f>
        <v/>
      </c>
      <c r="R60" s="9">
        <f>IF(ISNUMBER($G60),$G60^2,"")</f>
        <v/>
      </c>
    </row>
    <row r="61">
      <c r="A61" s="10">
        <f>IF(INDEX('1. Plot &amp; Site Log'!$A$5:$A$64,57)="","",INDEX('1. Plot &amp; Site Log'!$A$5:$A$64,57))</f>
        <v/>
      </c>
      <c r="B61" s="10">
        <f>IF($A61="","",INDEX('1. Plot &amp; Site Log'!$B$5:$B$64,MATCH($A61,'1. Plot &amp; Site Log'!$A$5:$A$64,0)))</f>
        <v/>
      </c>
      <c r="C61" s="10">
        <f>IF($A61="","",COUNTIFS('2. Soil Data'!$A$5:$A$604,$A61))</f>
        <v/>
      </c>
      <c r="D61" s="10">
        <f>IF(OR($A61="",$C61=0,$O61=0),"",SUMIFS('2. Soil Data'!$R$5:$R$604,'2. Soil Data'!$A$5:$A$604,$A61)/$O61)</f>
        <v/>
      </c>
      <c r="E61" s="10">
        <f>IF(OR($A61="",$C61=0,$O61=0),"",SUMIFS('2. Soil Data'!$P$5:$P$604,'2. Soil Data'!$A$5:$A$604,$A61)/$O61)</f>
        <v/>
      </c>
      <c r="F61" s="10">
        <f>IF($A61="","",SUMPRODUCT(MAX(('2. Soil Data'!$A$5:$A$604=$A61)*IF(ISNUMBER('2. Soil Data'!$E$5:$E$604),'2. Soil Data'!$E$5:$E$604,0))))</f>
        <v/>
      </c>
      <c r="G61" s="10">
        <f>IF(OR($A61="",$P61=0),"",SUMIFS('3. Root Biomass'!$N$5:$N$904,'3. Root Biomass'!$A$5:$A$904,$A61)/$P61)</f>
        <v/>
      </c>
      <c r="H61" s="10">
        <f>IF($A61="","",IFERROR(SUMIFS('4. Vegetation Data'!$M$5:$M$64,'4. Vegetation Data'!$A$5:$A$64,$A61),""))</f>
        <v/>
      </c>
      <c r="I61" s="10">
        <f>IF($A61="","",IF(ISNUMBER($D61),$D61,0)+IF(ISNUMBER($G61),$G61,0)+IF(ISNUMBER($H61),$H61,0))</f>
        <v/>
      </c>
      <c r="J61" s="10">
        <f>IF($A61="","",IF(ISNUMBER($E61),$E61,0)+IF(ISNUMBER($G61),$G61,0)+IF(ISNUMBER($H61),$H61,0))</f>
        <v/>
      </c>
      <c r="K61" s="11">
        <f>IF($A61="","",IF($C61=0,"No soil increments for this plot — it contributes nothing. ","")&amp;IF(AND(ISNUMBER($F61),$F61&lt;SOIL_REPORTING_DEPTH_CM),"Cored shallower than the reporting depth, so the reporting-depth figure is an UNDERESTIMATE for this plot. ","")&amp;IF(AND(ISNUMBER($G61),$G61&gt;0,ISNUMBER($F61)),"Root total reaches only "&amp;$F61&amp;" cm — the bottom of the core, not the bottom of the roots. Report it as a MINIMUM. ","")&amp;IF(AND(ISNUMBER($G61),$G61&gt;0,ROOTS_REMOVED_BEFORE_SOIL_C&lt;&gt;"Yes"),"Root carbon is being added to a soil stock NOT confirmed root-free — fine-root carbon is probably counted twice. ",""))</f>
        <v/>
      </c>
      <c r="L61" s="9">
        <f>IF(ISNUMBER($D61),$D61,"")</f>
        <v/>
      </c>
      <c r="M61" s="9">
        <f>IF(ISNUMBER($G61),$G61,"")</f>
        <v/>
      </c>
      <c r="N61" s="9">
        <f>IF(AND(ISNUMBER($D61),$A61&lt;&gt;""),1,0)</f>
        <v/>
      </c>
      <c r="O61" s="9">
        <f>IF($A61="","",SUMIFS('2. Soil Data'!$U$5:$U$604,'2. Soil Data'!$A$5:$A$604,$A61))</f>
        <v/>
      </c>
      <c r="P61" s="9">
        <f>IF($A61="","",SUMIFS('3. Root Biomass'!$Q$5:$Q$904,'3. Root Biomass'!$A$5:$A$904,$A61))</f>
        <v/>
      </c>
      <c r="Q61" s="9">
        <f>IF(ISNUMBER($D61),$D61^2,"")</f>
        <v/>
      </c>
      <c r="R61" s="9">
        <f>IF(ISNUMBER($G61),$G61^2,"")</f>
        <v/>
      </c>
    </row>
    <row r="62">
      <c r="A62" s="10">
        <f>IF(INDEX('1. Plot &amp; Site Log'!$A$5:$A$64,58)="","",INDEX('1. Plot &amp; Site Log'!$A$5:$A$64,58))</f>
        <v/>
      </c>
      <c r="B62" s="10">
        <f>IF($A62="","",INDEX('1. Plot &amp; Site Log'!$B$5:$B$64,MATCH($A62,'1. Plot &amp; Site Log'!$A$5:$A$64,0)))</f>
        <v/>
      </c>
      <c r="C62" s="10">
        <f>IF($A62="","",COUNTIFS('2. Soil Data'!$A$5:$A$604,$A62))</f>
        <v/>
      </c>
      <c r="D62" s="10">
        <f>IF(OR($A62="",$C62=0,$O62=0),"",SUMIFS('2. Soil Data'!$R$5:$R$604,'2. Soil Data'!$A$5:$A$604,$A62)/$O62)</f>
        <v/>
      </c>
      <c r="E62" s="10">
        <f>IF(OR($A62="",$C62=0,$O62=0),"",SUMIFS('2. Soil Data'!$P$5:$P$604,'2. Soil Data'!$A$5:$A$604,$A62)/$O62)</f>
        <v/>
      </c>
      <c r="F62" s="10">
        <f>IF($A62="","",SUMPRODUCT(MAX(('2. Soil Data'!$A$5:$A$604=$A62)*IF(ISNUMBER('2. Soil Data'!$E$5:$E$604),'2. Soil Data'!$E$5:$E$604,0))))</f>
        <v/>
      </c>
      <c r="G62" s="10">
        <f>IF(OR($A62="",$P62=0),"",SUMIFS('3. Root Biomass'!$N$5:$N$904,'3. Root Biomass'!$A$5:$A$904,$A62)/$P62)</f>
        <v/>
      </c>
      <c r="H62" s="10">
        <f>IF($A62="","",IFERROR(SUMIFS('4. Vegetation Data'!$M$5:$M$64,'4. Vegetation Data'!$A$5:$A$64,$A62),""))</f>
        <v/>
      </c>
      <c r="I62" s="10">
        <f>IF($A62="","",IF(ISNUMBER($D62),$D62,0)+IF(ISNUMBER($G62),$G62,0)+IF(ISNUMBER($H62),$H62,0))</f>
        <v/>
      </c>
      <c r="J62" s="10">
        <f>IF($A62="","",IF(ISNUMBER($E62),$E62,0)+IF(ISNUMBER($G62),$G62,0)+IF(ISNUMBER($H62),$H62,0))</f>
        <v/>
      </c>
      <c r="K62" s="11">
        <f>IF($A62="","",IF($C62=0,"No soil increments for this plot — it contributes nothing. ","")&amp;IF(AND(ISNUMBER($F62),$F62&lt;SOIL_REPORTING_DEPTH_CM),"Cored shallower than the reporting depth, so the reporting-depth figure is an UNDERESTIMATE for this plot. ","")&amp;IF(AND(ISNUMBER($G62),$G62&gt;0,ISNUMBER($F62)),"Root total reaches only "&amp;$F62&amp;" cm — the bottom of the core, not the bottom of the roots. Report it as a MINIMUM. ","")&amp;IF(AND(ISNUMBER($G62),$G62&gt;0,ROOTS_REMOVED_BEFORE_SOIL_C&lt;&gt;"Yes"),"Root carbon is being added to a soil stock NOT confirmed root-free — fine-root carbon is probably counted twice. ",""))</f>
        <v/>
      </c>
      <c r="L62" s="9">
        <f>IF(ISNUMBER($D62),$D62,"")</f>
        <v/>
      </c>
      <c r="M62" s="9">
        <f>IF(ISNUMBER($G62),$G62,"")</f>
        <v/>
      </c>
      <c r="N62" s="9">
        <f>IF(AND(ISNUMBER($D62),$A62&lt;&gt;""),1,0)</f>
        <v/>
      </c>
      <c r="O62" s="9">
        <f>IF($A62="","",SUMIFS('2. Soil Data'!$U$5:$U$604,'2. Soil Data'!$A$5:$A$604,$A62))</f>
        <v/>
      </c>
      <c r="P62" s="9">
        <f>IF($A62="","",SUMIFS('3. Root Biomass'!$Q$5:$Q$904,'3. Root Biomass'!$A$5:$A$904,$A62))</f>
        <v/>
      </c>
      <c r="Q62" s="9">
        <f>IF(ISNUMBER($D62),$D62^2,"")</f>
        <v/>
      </c>
      <c r="R62" s="9">
        <f>IF(ISNUMBER($G62),$G62^2,"")</f>
        <v/>
      </c>
    </row>
    <row r="63">
      <c r="A63" s="10">
        <f>IF(INDEX('1. Plot &amp; Site Log'!$A$5:$A$64,59)="","",INDEX('1. Plot &amp; Site Log'!$A$5:$A$64,59))</f>
        <v/>
      </c>
      <c r="B63" s="10">
        <f>IF($A63="","",INDEX('1. Plot &amp; Site Log'!$B$5:$B$64,MATCH($A63,'1. Plot &amp; Site Log'!$A$5:$A$64,0)))</f>
        <v/>
      </c>
      <c r="C63" s="10">
        <f>IF($A63="","",COUNTIFS('2. Soil Data'!$A$5:$A$604,$A63))</f>
        <v/>
      </c>
      <c r="D63" s="10">
        <f>IF(OR($A63="",$C63=0,$O63=0),"",SUMIFS('2. Soil Data'!$R$5:$R$604,'2. Soil Data'!$A$5:$A$604,$A63)/$O63)</f>
        <v/>
      </c>
      <c r="E63" s="10">
        <f>IF(OR($A63="",$C63=0,$O63=0),"",SUMIFS('2. Soil Data'!$P$5:$P$604,'2. Soil Data'!$A$5:$A$604,$A63)/$O63)</f>
        <v/>
      </c>
      <c r="F63" s="10">
        <f>IF($A63="","",SUMPRODUCT(MAX(('2. Soil Data'!$A$5:$A$604=$A63)*IF(ISNUMBER('2. Soil Data'!$E$5:$E$604),'2. Soil Data'!$E$5:$E$604,0))))</f>
        <v/>
      </c>
      <c r="G63" s="10">
        <f>IF(OR($A63="",$P63=0),"",SUMIFS('3. Root Biomass'!$N$5:$N$904,'3. Root Biomass'!$A$5:$A$904,$A63)/$P63)</f>
        <v/>
      </c>
      <c r="H63" s="10">
        <f>IF($A63="","",IFERROR(SUMIFS('4. Vegetation Data'!$M$5:$M$64,'4. Vegetation Data'!$A$5:$A$64,$A63),""))</f>
        <v/>
      </c>
      <c r="I63" s="10">
        <f>IF($A63="","",IF(ISNUMBER($D63),$D63,0)+IF(ISNUMBER($G63),$G63,0)+IF(ISNUMBER($H63),$H63,0))</f>
        <v/>
      </c>
      <c r="J63" s="10">
        <f>IF($A63="","",IF(ISNUMBER($E63),$E63,0)+IF(ISNUMBER($G63),$G63,0)+IF(ISNUMBER($H63),$H63,0))</f>
        <v/>
      </c>
      <c r="K63" s="11">
        <f>IF($A63="","",IF($C63=0,"No soil increments for this plot — it contributes nothing. ","")&amp;IF(AND(ISNUMBER($F63),$F63&lt;SOIL_REPORTING_DEPTH_CM),"Cored shallower than the reporting depth, so the reporting-depth figure is an UNDERESTIMATE for this plot. ","")&amp;IF(AND(ISNUMBER($G63),$G63&gt;0,ISNUMBER($F63)),"Root total reaches only "&amp;$F63&amp;" cm — the bottom of the core, not the bottom of the roots. Report it as a MINIMUM. ","")&amp;IF(AND(ISNUMBER($G63),$G63&gt;0,ROOTS_REMOVED_BEFORE_SOIL_C&lt;&gt;"Yes"),"Root carbon is being added to a soil stock NOT confirmed root-free — fine-root carbon is probably counted twice. ",""))</f>
        <v/>
      </c>
      <c r="L63" s="9">
        <f>IF(ISNUMBER($D63),$D63,"")</f>
        <v/>
      </c>
      <c r="M63" s="9">
        <f>IF(ISNUMBER($G63),$G63,"")</f>
        <v/>
      </c>
      <c r="N63" s="9">
        <f>IF(AND(ISNUMBER($D63),$A63&lt;&gt;""),1,0)</f>
        <v/>
      </c>
      <c r="O63" s="9">
        <f>IF($A63="","",SUMIFS('2. Soil Data'!$U$5:$U$604,'2. Soil Data'!$A$5:$A$604,$A63))</f>
        <v/>
      </c>
      <c r="P63" s="9">
        <f>IF($A63="","",SUMIFS('3. Root Biomass'!$Q$5:$Q$904,'3. Root Biomass'!$A$5:$A$904,$A63))</f>
        <v/>
      </c>
      <c r="Q63" s="9">
        <f>IF(ISNUMBER($D63),$D63^2,"")</f>
        <v/>
      </c>
      <c r="R63" s="9">
        <f>IF(ISNUMBER($G63),$G63^2,"")</f>
        <v/>
      </c>
    </row>
    <row r="64">
      <c r="A64" s="10">
        <f>IF(INDEX('1. Plot &amp; Site Log'!$A$5:$A$64,60)="","",INDEX('1. Plot &amp; Site Log'!$A$5:$A$64,60))</f>
        <v/>
      </c>
      <c r="B64" s="10">
        <f>IF($A64="","",INDEX('1. Plot &amp; Site Log'!$B$5:$B$64,MATCH($A64,'1. Plot &amp; Site Log'!$A$5:$A$64,0)))</f>
        <v/>
      </c>
      <c r="C64" s="10">
        <f>IF($A64="","",COUNTIFS('2. Soil Data'!$A$5:$A$604,$A64))</f>
        <v/>
      </c>
      <c r="D64" s="10">
        <f>IF(OR($A64="",$C64=0,$O64=0),"",SUMIFS('2. Soil Data'!$R$5:$R$604,'2. Soil Data'!$A$5:$A$604,$A64)/$O64)</f>
        <v/>
      </c>
      <c r="E64" s="10">
        <f>IF(OR($A64="",$C64=0,$O64=0),"",SUMIFS('2. Soil Data'!$P$5:$P$604,'2. Soil Data'!$A$5:$A$604,$A64)/$O64)</f>
        <v/>
      </c>
      <c r="F64" s="10">
        <f>IF($A64="","",SUMPRODUCT(MAX(('2. Soil Data'!$A$5:$A$604=$A64)*IF(ISNUMBER('2. Soil Data'!$E$5:$E$604),'2. Soil Data'!$E$5:$E$604,0))))</f>
        <v/>
      </c>
      <c r="G64" s="10">
        <f>IF(OR($A64="",$P64=0),"",SUMIFS('3. Root Biomass'!$N$5:$N$904,'3. Root Biomass'!$A$5:$A$904,$A64)/$P64)</f>
        <v/>
      </c>
      <c r="H64" s="10">
        <f>IF($A64="","",IFERROR(SUMIFS('4. Vegetation Data'!$M$5:$M$64,'4. Vegetation Data'!$A$5:$A$64,$A64),""))</f>
        <v/>
      </c>
      <c r="I64" s="10">
        <f>IF($A64="","",IF(ISNUMBER($D64),$D64,0)+IF(ISNUMBER($G64),$G64,0)+IF(ISNUMBER($H64),$H64,0))</f>
        <v/>
      </c>
      <c r="J64" s="10">
        <f>IF($A64="","",IF(ISNUMBER($E64),$E64,0)+IF(ISNUMBER($G64),$G64,0)+IF(ISNUMBER($H64),$H64,0))</f>
        <v/>
      </c>
      <c r="K64" s="11">
        <f>IF($A64="","",IF($C64=0,"No soil increments for this plot — it contributes nothing. ","")&amp;IF(AND(ISNUMBER($F64),$F64&lt;SOIL_REPORTING_DEPTH_CM),"Cored shallower than the reporting depth, so the reporting-depth figure is an UNDERESTIMATE for this plot. ","")&amp;IF(AND(ISNUMBER($G64),$G64&gt;0,ISNUMBER($F64)),"Root total reaches only "&amp;$F64&amp;" cm — the bottom of the core, not the bottom of the roots. Report it as a MINIMUM. ","")&amp;IF(AND(ISNUMBER($G64),$G64&gt;0,ROOTS_REMOVED_BEFORE_SOIL_C&lt;&gt;"Yes"),"Root carbon is being added to a soil stock NOT confirmed root-free — fine-root carbon is probably counted twice. ",""))</f>
        <v/>
      </c>
      <c r="L64" s="9">
        <f>IF(ISNUMBER($D64),$D64,"")</f>
        <v/>
      </c>
      <c r="M64" s="9">
        <f>IF(ISNUMBER($G64),$G64,"")</f>
        <v/>
      </c>
      <c r="N64" s="9">
        <f>IF(AND(ISNUMBER($D64),$A64&lt;&gt;""),1,0)</f>
        <v/>
      </c>
      <c r="O64" s="9">
        <f>IF($A64="","",SUMIFS('2. Soil Data'!$U$5:$U$604,'2. Soil Data'!$A$5:$A$604,$A64))</f>
        <v/>
      </c>
      <c r="P64" s="9">
        <f>IF($A64="","",SUMIFS('3. Root Biomass'!$Q$5:$Q$904,'3. Root Biomass'!$A$5:$A$904,$A64))</f>
        <v/>
      </c>
      <c r="Q64" s="9">
        <f>IF(ISNUMBER($D64),$D64^2,"")</f>
        <v/>
      </c>
      <c r="R64" s="9">
        <f>IF(ISNUMBER($G64),$G64^2,"")</f>
        <v/>
      </c>
    </row>
  </sheetData>
  <mergeCells count="2">
    <mergeCell ref="A2:R2"/>
    <mergeCell ref="A1:R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33"/>
  <sheetViews>
    <sheetView workbookViewId="0">
      <pane ySplit="4" topLeftCell="A5" activePane="bottomLeft" state="frozen"/>
      <selection pane="bottomLeft" activeCell="A1" sqref="A1"/>
    </sheetView>
  </sheetViews>
  <sheetFormatPr baseColWidth="8" defaultRowHeight="15"/>
  <cols>
    <col width="10" customWidth="1" min="1" max="1"/>
    <col width="13" customWidth="1" min="2" max="2"/>
    <col width="8" customWidth="1" min="3" max="3"/>
    <col width="14" customWidth="1" min="4" max="4"/>
    <col width="11" customWidth="1" min="5" max="5"/>
    <col width="14" customWidth="1" min="6" max="6"/>
    <col width="12" customWidth="1" min="7" max="7"/>
    <col width="11" customWidth="1" min="8" max="8"/>
    <col width="30" customWidth="1" min="9" max="9"/>
    <col width="14" customWidth="1" min="10" max="10"/>
    <col width="11" customWidth="1" min="11" max="11"/>
    <col width="14" customWidth="1" min="12" max="12"/>
    <col width="12" customWidth="1" min="13" max="13"/>
    <col width="11" customWidth="1" min="14" max="14"/>
    <col width="30" customWidth="1" min="15" max="15"/>
    <col width="15" customWidth="1" min="16" max="16"/>
    <col width="14" customWidth="1" min="17" max="17"/>
    <col width="48" customWidth="1" min="18" max="18"/>
  </cols>
  <sheetData>
    <row r="1">
      <c r="A1" s="1" t="inlineStr">
        <is>
          <t>SITE SUMMARY</t>
        </is>
      </c>
    </row>
    <row r="2" ht="32" customHeight="1">
      <c r="A2" s="2" t="inlineStr">
        <is>
          <t>Type a Site ID and its area; everything else calculates. Soil is summarised on the REPORTING-DEPTH basis, so cores of different depths stay comparable. SOIL and ROOTS are checked against SEPARATE targets, because roots are far more variable and holding both to the same precision would need four to five times the cores. See Part 2, Appendix A10.</t>
        </is>
      </c>
    </row>
    <row r="4" ht="46" customHeight="1">
      <c r="A4" s="14" t="inlineStr">
        <is>
          <t>Site ID</t>
        </is>
      </c>
      <c r="B4" s="14" t="inlineStr">
        <is>
          <t>Site area (m²)</t>
        </is>
      </c>
      <c r="C4" s="14" t="inlineStr">
        <is>
          <t>Plots</t>
        </is>
      </c>
      <c r="D4" s="14" t="inlineStr">
        <is>
          <t>SOIL mean to reporting depth (kg C/m²)</t>
        </is>
      </c>
      <c r="E4" s="14" t="inlineStr">
        <is>
          <t>SOIL SD</t>
        </is>
      </c>
      <c r="F4" s="14" t="inlineStr">
        <is>
          <t>SOIL ± half-width</t>
        </is>
      </c>
      <c r="G4" s="14" t="inlineStr">
        <is>
          <t>SOIL achieved</t>
        </is>
      </c>
      <c r="H4" s="14" t="inlineStr">
        <is>
          <t>SOIL target</t>
        </is>
      </c>
      <c r="I4" s="14" t="inlineStr">
        <is>
          <t>SOIL precision</t>
        </is>
      </c>
      <c r="J4" s="14" t="inlineStr">
        <is>
          <t>ROOT mean (kg C/m²)</t>
        </is>
      </c>
      <c r="K4" s="14" t="inlineStr">
        <is>
          <t>ROOT SD</t>
        </is>
      </c>
      <c r="L4" s="14" t="inlineStr">
        <is>
          <t>ROOT ± half-width</t>
        </is>
      </c>
      <c r="M4" s="14" t="inlineStr">
        <is>
          <t>ROOT achieved</t>
        </is>
      </c>
      <c r="N4" s="14" t="inlineStr">
        <is>
          <t>ROOT target</t>
        </is>
      </c>
      <c r="O4" s="14" t="inlineStr">
        <is>
          <t>ROOT precision</t>
        </is>
      </c>
      <c r="P4" s="14" t="inlineStr">
        <is>
          <t>Total carbon (kg C)</t>
        </is>
      </c>
      <c r="Q4" s="14" t="inlineStr">
        <is>
          <t>Total (t CO₂e)</t>
        </is>
      </c>
      <c r="R4" s="14" t="inlineStr">
        <is>
          <t>QC flags</t>
        </is>
      </c>
    </row>
    <row r="5">
      <c r="A5" s="6" t="n"/>
      <c r="B5" s="6" t="n"/>
      <c r="C5" s="10">
        <f>IF($A5="","",COUNTIFS('5. Plot Summary'!$B$5:$B$64,$A5,'5. Plot Summary'!$N$5:$N$64,1))</f>
        <v/>
      </c>
      <c r="D5" s="10">
        <f>IF(OR($A5="",$C5=0),"",AVERAGEIFS('5. Plot Summary'!$L$5:$L$64,'5. Plot Summary'!$B$5:$B$64,$A5))</f>
        <v/>
      </c>
      <c r="E5" s="10">
        <f>IF(OR($A5="",NOT(ISNUMBER($C5)),$C5&lt;2),"",SQRT(MAX(0,(SUMIFS('5. Plot Summary'!$Q$5:$Q$64,'5. Plot Summary'!$B$5:$B$64,$A5)-$C5*$D5^2)/($C5-1))))</f>
        <v/>
      </c>
      <c r="F5" s="10">
        <f>IF(OR($A5="",NOT(ISNUMBER($C5)),$C5&lt;2,NOT(ISNUMBER($E5))),"",TINV(1-TARGET_CONFIDENCE,$C5-1)*$E5/SQRT($C5))</f>
        <v/>
      </c>
      <c r="G5" s="10">
        <f>IF(OR(NOT(ISNUMBER($F5)),NOT(ISNUMBER($D5)),$D5=0),"",$F5/$D5)</f>
        <v/>
      </c>
      <c r="H5" s="10">
        <f>TARGET_MARGIN_SOIL</f>
        <v/>
      </c>
      <c r="I5" s="10">
        <f>IF($A5="","",IF(OR(NOT(ISNUMBER($C5)),$C5&lt;2),"Cannot be assessed — at least 2 plots are needed for an interval.",IF(NOT(ISNUMBER($G5)),"",IF($G5&lt;=$H5,"MET: ±"&amp;TEXT($G5,"0%")&amp;" at "&amp;TEXT(TARGET_CONFIDENCE,"0%")&amp;" confidence","NOT MET: ±"&amp;TEXT($G5,"0%")&amp;" against a ±"&amp;TEXT($H5,"0%")&amp;" target"))))</f>
        <v/>
      </c>
      <c r="J5" s="10">
        <f>IF(OR($A5="",$C5=0),"",IFERROR(AVERAGEIFS('5. Plot Summary'!$M$5:$M$64,'5. Plot Summary'!$B$5:$B$64,$A5),""))</f>
        <v/>
      </c>
      <c r="K5" s="10">
        <f>IF(OR($A5="",NOT(ISNUMBER($C5)),$C5&lt;2,NOT(ISNUMBER($J5))),"",SQRT(MAX(0,(SUMIFS('5. Plot Summary'!$R$5:$R$64,'5. Plot Summary'!$B$5:$B$64,$A5)-$C5*$J5^2)/($C5-1))))</f>
        <v/>
      </c>
      <c r="L5" s="10">
        <f>IF(OR($A5="",NOT(ISNUMBER($C5)),$C5&lt;2,NOT(ISNUMBER($K5))),"",TINV(1-TARGET_CONFIDENCE,$C5-1)*$K5/SQRT($C5))</f>
        <v/>
      </c>
      <c r="M5" s="10">
        <f>IF(OR(NOT(ISNUMBER($L5)),NOT(ISNUMBER($J5)),$J5=0),"",$L5/$J5)</f>
        <v/>
      </c>
      <c r="N5" s="10">
        <f>TARGET_MARGIN_ROOT</f>
        <v/>
      </c>
      <c r="O5" s="10">
        <f>IF($A5="","",IF(OR(NOT(ISNUMBER($C5)),$C5&lt;2),"Cannot be assessed — at least 2 plots are needed for an interval.",IF(NOT(ISNUMBER($M5)),"No root data for this site.",IF($M5&lt;=$N5,"MET: ±"&amp;TEXT($M5,"0%")&amp;" at "&amp;TEXT(TARGET_CONFIDENCE,"0%")&amp;" confidence","NOT MET: ±"&amp;TEXT($M5,"0%")&amp;" against a ±"&amp;TEXT($N5,"0%")&amp;" target"))))</f>
        <v/>
      </c>
      <c r="P5" s="10">
        <f>IF(OR($A5="",NOT(ISNUMBER($B5))),"",(IF(ISNUMBER($D5),$D5,0)+IF(ISNUMBER($J5),$J5,0))*$B5)</f>
        <v/>
      </c>
      <c r="Q5" s="10">
        <f>IF(NOT(ISNUMBER($P5)),"",$P5*CO2E_FACTOR/1000)</f>
        <v/>
      </c>
      <c r="R5" s="11">
        <f>IF($A5="","",IF($C5=0,"No plots carry this Site ID — check it matches the Plot &amp; Site Log. ","")&amp;IF(AND(ISNUMBER($C5),$C5=1),"Only one plot: a mean can be reported but never an uncertainty. ","")&amp;IF($B5="","No site area, so no total carbon. ","")&amp;IF(AND(ISNUMBER($G5),ISNUMBER($H5),$G5&gt;$H5),"Soil precision target missed — scrutinise the data, then post-stratify on management before adding cores. ","")&amp;IF(AND(ISNUMBER($M5),ISNUMBER($N5),$M5&gt;$N5),"Root precision target missed. Roots are genuinely patchy; a wider honest interval is better than a tight unearned one. ",""))</f>
        <v/>
      </c>
    </row>
    <row r="6">
      <c r="A6" s="6" t="n"/>
      <c r="B6" s="6" t="n"/>
      <c r="C6" s="10">
        <f>IF($A6="","",COUNTIFS('5. Plot Summary'!$B$5:$B$64,$A6,'5. Plot Summary'!$N$5:$N$64,1))</f>
        <v/>
      </c>
      <c r="D6" s="10">
        <f>IF(OR($A6="",$C6=0),"",AVERAGEIFS('5. Plot Summary'!$L$5:$L$64,'5. Plot Summary'!$B$5:$B$64,$A6))</f>
        <v/>
      </c>
      <c r="E6" s="10">
        <f>IF(OR($A6="",NOT(ISNUMBER($C6)),$C6&lt;2),"",SQRT(MAX(0,(SUMIFS('5. Plot Summary'!$Q$5:$Q$64,'5. Plot Summary'!$B$5:$B$64,$A6)-$C6*$D6^2)/($C6-1))))</f>
        <v/>
      </c>
      <c r="F6" s="10">
        <f>IF(OR($A6="",NOT(ISNUMBER($C6)),$C6&lt;2,NOT(ISNUMBER($E6))),"",TINV(1-TARGET_CONFIDENCE,$C6-1)*$E6/SQRT($C6))</f>
        <v/>
      </c>
      <c r="G6" s="10">
        <f>IF(OR(NOT(ISNUMBER($F6)),NOT(ISNUMBER($D6)),$D6=0),"",$F6/$D6)</f>
        <v/>
      </c>
      <c r="H6" s="10">
        <f>TARGET_MARGIN_SOIL</f>
        <v/>
      </c>
      <c r="I6" s="10">
        <f>IF($A6="","",IF(OR(NOT(ISNUMBER($C6)),$C6&lt;2),"Cannot be assessed — at least 2 plots are needed for an interval.",IF(NOT(ISNUMBER($G6)),"",IF($G6&lt;=$H6,"MET: ±"&amp;TEXT($G6,"0%")&amp;" at "&amp;TEXT(TARGET_CONFIDENCE,"0%")&amp;" confidence","NOT MET: ±"&amp;TEXT($G6,"0%")&amp;" against a ±"&amp;TEXT($H6,"0%")&amp;" target"))))</f>
        <v/>
      </c>
      <c r="J6" s="10">
        <f>IF(OR($A6="",$C6=0),"",IFERROR(AVERAGEIFS('5. Plot Summary'!$M$5:$M$64,'5. Plot Summary'!$B$5:$B$64,$A6),""))</f>
        <v/>
      </c>
      <c r="K6" s="10">
        <f>IF(OR($A6="",NOT(ISNUMBER($C6)),$C6&lt;2,NOT(ISNUMBER($J6))),"",SQRT(MAX(0,(SUMIFS('5. Plot Summary'!$R$5:$R$64,'5. Plot Summary'!$B$5:$B$64,$A6)-$C6*$J6^2)/($C6-1))))</f>
        <v/>
      </c>
      <c r="L6" s="10">
        <f>IF(OR($A6="",NOT(ISNUMBER($C6)),$C6&lt;2,NOT(ISNUMBER($K6))),"",TINV(1-TARGET_CONFIDENCE,$C6-1)*$K6/SQRT($C6))</f>
        <v/>
      </c>
      <c r="M6" s="10">
        <f>IF(OR(NOT(ISNUMBER($L6)),NOT(ISNUMBER($J6)),$J6=0),"",$L6/$J6)</f>
        <v/>
      </c>
      <c r="N6" s="10">
        <f>TARGET_MARGIN_ROOT</f>
        <v/>
      </c>
      <c r="O6" s="10">
        <f>IF($A6="","",IF(OR(NOT(ISNUMBER($C6)),$C6&lt;2),"Cannot be assessed — at least 2 plots are needed for an interval.",IF(NOT(ISNUMBER($M6)),"No root data for this site.",IF($M6&lt;=$N6,"MET: ±"&amp;TEXT($M6,"0%")&amp;" at "&amp;TEXT(TARGET_CONFIDENCE,"0%")&amp;" confidence","NOT MET: ±"&amp;TEXT($M6,"0%")&amp;" against a ±"&amp;TEXT($N6,"0%")&amp;" target"))))</f>
        <v/>
      </c>
      <c r="P6" s="10">
        <f>IF(OR($A6="",NOT(ISNUMBER($B6))),"",(IF(ISNUMBER($D6),$D6,0)+IF(ISNUMBER($J6),$J6,0))*$B6)</f>
        <v/>
      </c>
      <c r="Q6" s="10">
        <f>IF(NOT(ISNUMBER($P6)),"",$P6*CO2E_FACTOR/1000)</f>
        <v/>
      </c>
      <c r="R6" s="11">
        <f>IF($A6="","",IF($C6=0,"No plots carry this Site ID — check it matches the Plot &amp; Site Log. ","")&amp;IF(AND(ISNUMBER($C6),$C6=1),"Only one plot: a mean can be reported but never an uncertainty. ","")&amp;IF($B6="","No site area, so no total carbon. ","")&amp;IF(AND(ISNUMBER($G6),ISNUMBER($H6),$G6&gt;$H6),"Soil precision target missed — scrutinise the data, then post-stratify on management before adding cores. ","")&amp;IF(AND(ISNUMBER($M6),ISNUMBER($N6),$M6&gt;$N6),"Root precision target missed. Roots are genuinely patchy; a wider honest interval is better than a tight unearned one. ",""))</f>
        <v/>
      </c>
    </row>
    <row r="7">
      <c r="A7" s="6" t="n"/>
      <c r="B7" s="6" t="n"/>
      <c r="C7" s="10">
        <f>IF($A7="","",COUNTIFS('5. Plot Summary'!$B$5:$B$64,$A7,'5. Plot Summary'!$N$5:$N$64,1))</f>
        <v/>
      </c>
      <c r="D7" s="10">
        <f>IF(OR($A7="",$C7=0),"",AVERAGEIFS('5. Plot Summary'!$L$5:$L$64,'5. Plot Summary'!$B$5:$B$64,$A7))</f>
        <v/>
      </c>
      <c r="E7" s="10">
        <f>IF(OR($A7="",NOT(ISNUMBER($C7)),$C7&lt;2),"",SQRT(MAX(0,(SUMIFS('5. Plot Summary'!$Q$5:$Q$64,'5. Plot Summary'!$B$5:$B$64,$A7)-$C7*$D7^2)/($C7-1))))</f>
        <v/>
      </c>
      <c r="F7" s="10">
        <f>IF(OR($A7="",NOT(ISNUMBER($C7)),$C7&lt;2,NOT(ISNUMBER($E7))),"",TINV(1-TARGET_CONFIDENCE,$C7-1)*$E7/SQRT($C7))</f>
        <v/>
      </c>
      <c r="G7" s="10">
        <f>IF(OR(NOT(ISNUMBER($F7)),NOT(ISNUMBER($D7)),$D7=0),"",$F7/$D7)</f>
        <v/>
      </c>
      <c r="H7" s="10">
        <f>TARGET_MARGIN_SOIL</f>
        <v/>
      </c>
      <c r="I7" s="10">
        <f>IF($A7="","",IF(OR(NOT(ISNUMBER($C7)),$C7&lt;2),"Cannot be assessed — at least 2 plots are needed for an interval.",IF(NOT(ISNUMBER($G7)),"",IF($G7&lt;=$H7,"MET: ±"&amp;TEXT($G7,"0%")&amp;" at "&amp;TEXT(TARGET_CONFIDENCE,"0%")&amp;" confidence","NOT MET: ±"&amp;TEXT($G7,"0%")&amp;" against a ±"&amp;TEXT($H7,"0%")&amp;" target"))))</f>
        <v/>
      </c>
      <c r="J7" s="10">
        <f>IF(OR($A7="",$C7=0),"",IFERROR(AVERAGEIFS('5. Plot Summary'!$M$5:$M$64,'5. Plot Summary'!$B$5:$B$64,$A7),""))</f>
        <v/>
      </c>
      <c r="K7" s="10">
        <f>IF(OR($A7="",NOT(ISNUMBER($C7)),$C7&lt;2,NOT(ISNUMBER($J7))),"",SQRT(MAX(0,(SUMIFS('5. Plot Summary'!$R$5:$R$64,'5. Plot Summary'!$B$5:$B$64,$A7)-$C7*$J7^2)/($C7-1))))</f>
        <v/>
      </c>
      <c r="L7" s="10">
        <f>IF(OR($A7="",NOT(ISNUMBER($C7)),$C7&lt;2,NOT(ISNUMBER($K7))),"",TINV(1-TARGET_CONFIDENCE,$C7-1)*$K7/SQRT($C7))</f>
        <v/>
      </c>
      <c r="M7" s="10">
        <f>IF(OR(NOT(ISNUMBER($L7)),NOT(ISNUMBER($J7)),$J7=0),"",$L7/$J7)</f>
        <v/>
      </c>
      <c r="N7" s="10">
        <f>TARGET_MARGIN_ROOT</f>
        <v/>
      </c>
      <c r="O7" s="10">
        <f>IF($A7="","",IF(OR(NOT(ISNUMBER($C7)),$C7&lt;2),"Cannot be assessed — at least 2 plots are needed for an interval.",IF(NOT(ISNUMBER($M7)),"No root data for this site.",IF($M7&lt;=$N7,"MET: ±"&amp;TEXT($M7,"0%")&amp;" at "&amp;TEXT(TARGET_CONFIDENCE,"0%")&amp;" confidence","NOT MET: ±"&amp;TEXT($M7,"0%")&amp;" against a ±"&amp;TEXT($N7,"0%")&amp;" target"))))</f>
        <v/>
      </c>
      <c r="P7" s="10">
        <f>IF(OR($A7="",NOT(ISNUMBER($B7))),"",(IF(ISNUMBER($D7),$D7,0)+IF(ISNUMBER($J7),$J7,0))*$B7)</f>
        <v/>
      </c>
      <c r="Q7" s="10">
        <f>IF(NOT(ISNUMBER($P7)),"",$P7*CO2E_FACTOR/1000)</f>
        <v/>
      </c>
      <c r="R7" s="11">
        <f>IF($A7="","",IF($C7=0,"No plots carry this Site ID — check it matches the Plot &amp; Site Log. ","")&amp;IF(AND(ISNUMBER($C7),$C7=1),"Only one plot: a mean can be reported but never an uncertainty. ","")&amp;IF($B7="","No site area, so no total carbon. ","")&amp;IF(AND(ISNUMBER($G7),ISNUMBER($H7),$G7&gt;$H7),"Soil precision target missed — scrutinise the data, then post-stratify on management before adding cores. ","")&amp;IF(AND(ISNUMBER($M7),ISNUMBER($N7),$M7&gt;$N7),"Root precision target missed. Roots are genuinely patchy; a wider honest interval is better than a tight unearned one. ",""))</f>
        <v/>
      </c>
    </row>
    <row r="8">
      <c r="A8" s="6" t="n"/>
      <c r="B8" s="6" t="n"/>
      <c r="C8" s="10">
        <f>IF($A8="","",COUNTIFS('5. Plot Summary'!$B$5:$B$64,$A8,'5. Plot Summary'!$N$5:$N$64,1))</f>
        <v/>
      </c>
      <c r="D8" s="10">
        <f>IF(OR($A8="",$C8=0),"",AVERAGEIFS('5. Plot Summary'!$L$5:$L$64,'5. Plot Summary'!$B$5:$B$64,$A8))</f>
        <v/>
      </c>
      <c r="E8" s="10">
        <f>IF(OR($A8="",NOT(ISNUMBER($C8)),$C8&lt;2),"",SQRT(MAX(0,(SUMIFS('5. Plot Summary'!$Q$5:$Q$64,'5. Plot Summary'!$B$5:$B$64,$A8)-$C8*$D8^2)/($C8-1))))</f>
        <v/>
      </c>
      <c r="F8" s="10">
        <f>IF(OR($A8="",NOT(ISNUMBER($C8)),$C8&lt;2,NOT(ISNUMBER($E8))),"",TINV(1-TARGET_CONFIDENCE,$C8-1)*$E8/SQRT($C8))</f>
        <v/>
      </c>
      <c r="G8" s="10">
        <f>IF(OR(NOT(ISNUMBER($F8)),NOT(ISNUMBER($D8)),$D8=0),"",$F8/$D8)</f>
        <v/>
      </c>
      <c r="H8" s="10">
        <f>TARGET_MARGIN_SOIL</f>
        <v/>
      </c>
      <c r="I8" s="10">
        <f>IF($A8="","",IF(OR(NOT(ISNUMBER($C8)),$C8&lt;2),"Cannot be assessed — at least 2 plots are needed for an interval.",IF(NOT(ISNUMBER($G8)),"",IF($G8&lt;=$H8,"MET: ±"&amp;TEXT($G8,"0%")&amp;" at "&amp;TEXT(TARGET_CONFIDENCE,"0%")&amp;" confidence","NOT MET: ±"&amp;TEXT($G8,"0%")&amp;" against a ±"&amp;TEXT($H8,"0%")&amp;" target"))))</f>
        <v/>
      </c>
      <c r="J8" s="10">
        <f>IF(OR($A8="",$C8=0),"",IFERROR(AVERAGEIFS('5. Plot Summary'!$M$5:$M$64,'5. Plot Summary'!$B$5:$B$64,$A8),""))</f>
        <v/>
      </c>
      <c r="K8" s="10">
        <f>IF(OR($A8="",NOT(ISNUMBER($C8)),$C8&lt;2,NOT(ISNUMBER($J8))),"",SQRT(MAX(0,(SUMIFS('5. Plot Summary'!$R$5:$R$64,'5. Plot Summary'!$B$5:$B$64,$A8)-$C8*$J8^2)/($C8-1))))</f>
        <v/>
      </c>
      <c r="L8" s="10">
        <f>IF(OR($A8="",NOT(ISNUMBER($C8)),$C8&lt;2,NOT(ISNUMBER($K8))),"",TINV(1-TARGET_CONFIDENCE,$C8-1)*$K8/SQRT($C8))</f>
        <v/>
      </c>
      <c r="M8" s="10">
        <f>IF(OR(NOT(ISNUMBER($L8)),NOT(ISNUMBER($J8)),$J8=0),"",$L8/$J8)</f>
        <v/>
      </c>
      <c r="N8" s="10">
        <f>TARGET_MARGIN_ROOT</f>
        <v/>
      </c>
      <c r="O8" s="10">
        <f>IF($A8="","",IF(OR(NOT(ISNUMBER($C8)),$C8&lt;2),"Cannot be assessed — at least 2 plots are needed for an interval.",IF(NOT(ISNUMBER($M8)),"No root data for this site.",IF($M8&lt;=$N8,"MET: ±"&amp;TEXT($M8,"0%")&amp;" at "&amp;TEXT(TARGET_CONFIDENCE,"0%")&amp;" confidence","NOT MET: ±"&amp;TEXT($M8,"0%")&amp;" against a ±"&amp;TEXT($N8,"0%")&amp;" target"))))</f>
        <v/>
      </c>
      <c r="P8" s="10">
        <f>IF(OR($A8="",NOT(ISNUMBER($B8))),"",(IF(ISNUMBER($D8),$D8,0)+IF(ISNUMBER($J8),$J8,0))*$B8)</f>
        <v/>
      </c>
      <c r="Q8" s="10">
        <f>IF(NOT(ISNUMBER($P8)),"",$P8*CO2E_FACTOR/1000)</f>
        <v/>
      </c>
      <c r="R8" s="11">
        <f>IF($A8="","",IF($C8=0,"No plots carry this Site ID — check it matches the Plot &amp; Site Log. ","")&amp;IF(AND(ISNUMBER($C8),$C8=1),"Only one plot: a mean can be reported but never an uncertainty. ","")&amp;IF($B8="","No site area, so no total carbon. ","")&amp;IF(AND(ISNUMBER($G8),ISNUMBER($H8),$G8&gt;$H8),"Soil precision target missed — scrutinise the data, then post-stratify on management before adding cores. ","")&amp;IF(AND(ISNUMBER($M8),ISNUMBER($N8),$M8&gt;$N8),"Root precision target missed. Roots are genuinely patchy; a wider honest interval is better than a tight unearned one. ",""))</f>
        <v/>
      </c>
    </row>
    <row r="9">
      <c r="A9" s="6" t="n"/>
      <c r="B9" s="6" t="n"/>
      <c r="C9" s="10">
        <f>IF($A9="","",COUNTIFS('5. Plot Summary'!$B$5:$B$64,$A9,'5. Plot Summary'!$N$5:$N$64,1))</f>
        <v/>
      </c>
      <c r="D9" s="10">
        <f>IF(OR($A9="",$C9=0),"",AVERAGEIFS('5. Plot Summary'!$L$5:$L$64,'5. Plot Summary'!$B$5:$B$64,$A9))</f>
        <v/>
      </c>
      <c r="E9" s="10">
        <f>IF(OR($A9="",NOT(ISNUMBER($C9)),$C9&lt;2),"",SQRT(MAX(0,(SUMIFS('5. Plot Summary'!$Q$5:$Q$64,'5. Plot Summary'!$B$5:$B$64,$A9)-$C9*$D9^2)/($C9-1))))</f>
        <v/>
      </c>
      <c r="F9" s="10">
        <f>IF(OR($A9="",NOT(ISNUMBER($C9)),$C9&lt;2,NOT(ISNUMBER($E9))),"",TINV(1-TARGET_CONFIDENCE,$C9-1)*$E9/SQRT($C9))</f>
        <v/>
      </c>
      <c r="G9" s="10">
        <f>IF(OR(NOT(ISNUMBER($F9)),NOT(ISNUMBER($D9)),$D9=0),"",$F9/$D9)</f>
        <v/>
      </c>
      <c r="H9" s="10">
        <f>TARGET_MARGIN_SOIL</f>
        <v/>
      </c>
      <c r="I9" s="10">
        <f>IF($A9="","",IF(OR(NOT(ISNUMBER($C9)),$C9&lt;2),"Cannot be assessed — at least 2 plots are needed for an interval.",IF(NOT(ISNUMBER($G9)),"",IF($G9&lt;=$H9,"MET: ±"&amp;TEXT($G9,"0%")&amp;" at "&amp;TEXT(TARGET_CONFIDENCE,"0%")&amp;" confidence","NOT MET: ±"&amp;TEXT($G9,"0%")&amp;" against a ±"&amp;TEXT($H9,"0%")&amp;" target"))))</f>
        <v/>
      </c>
      <c r="J9" s="10">
        <f>IF(OR($A9="",$C9=0),"",IFERROR(AVERAGEIFS('5. Plot Summary'!$M$5:$M$64,'5. Plot Summary'!$B$5:$B$64,$A9),""))</f>
        <v/>
      </c>
      <c r="K9" s="10">
        <f>IF(OR($A9="",NOT(ISNUMBER($C9)),$C9&lt;2,NOT(ISNUMBER($J9))),"",SQRT(MAX(0,(SUMIFS('5. Plot Summary'!$R$5:$R$64,'5. Plot Summary'!$B$5:$B$64,$A9)-$C9*$J9^2)/($C9-1))))</f>
        <v/>
      </c>
      <c r="L9" s="10">
        <f>IF(OR($A9="",NOT(ISNUMBER($C9)),$C9&lt;2,NOT(ISNUMBER($K9))),"",TINV(1-TARGET_CONFIDENCE,$C9-1)*$K9/SQRT($C9))</f>
        <v/>
      </c>
      <c r="M9" s="10">
        <f>IF(OR(NOT(ISNUMBER($L9)),NOT(ISNUMBER($J9)),$J9=0),"",$L9/$J9)</f>
        <v/>
      </c>
      <c r="N9" s="10">
        <f>TARGET_MARGIN_ROOT</f>
        <v/>
      </c>
      <c r="O9" s="10">
        <f>IF($A9="","",IF(OR(NOT(ISNUMBER($C9)),$C9&lt;2),"Cannot be assessed — at least 2 plots are needed for an interval.",IF(NOT(ISNUMBER($M9)),"No root data for this site.",IF($M9&lt;=$N9,"MET: ±"&amp;TEXT($M9,"0%")&amp;" at "&amp;TEXT(TARGET_CONFIDENCE,"0%")&amp;" confidence","NOT MET: ±"&amp;TEXT($M9,"0%")&amp;" against a ±"&amp;TEXT($N9,"0%")&amp;" target"))))</f>
        <v/>
      </c>
      <c r="P9" s="10">
        <f>IF(OR($A9="",NOT(ISNUMBER($B9))),"",(IF(ISNUMBER($D9),$D9,0)+IF(ISNUMBER($J9),$J9,0))*$B9)</f>
        <v/>
      </c>
      <c r="Q9" s="10">
        <f>IF(NOT(ISNUMBER($P9)),"",$P9*CO2E_FACTOR/1000)</f>
        <v/>
      </c>
      <c r="R9" s="11">
        <f>IF($A9="","",IF($C9=0,"No plots carry this Site ID — check it matches the Plot &amp; Site Log. ","")&amp;IF(AND(ISNUMBER($C9),$C9=1),"Only one plot: a mean can be reported but never an uncertainty. ","")&amp;IF($B9="","No site area, so no total carbon. ","")&amp;IF(AND(ISNUMBER($G9),ISNUMBER($H9),$G9&gt;$H9),"Soil precision target missed — scrutinise the data, then post-stratify on management before adding cores. ","")&amp;IF(AND(ISNUMBER($M9),ISNUMBER($N9),$M9&gt;$N9),"Root precision target missed. Roots are genuinely patchy; a wider honest interval is better than a tight unearned one. ",""))</f>
        <v/>
      </c>
    </row>
    <row r="10">
      <c r="A10" s="6" t="n"/>
      <c r="B10" s="6" t="n"/>
      <c r="C10" s="10">
        <f>IF($A10="","",COUNTIFS('5. Plot Summary'!$B$5:$B$64,$A10,'5. Plot Summary'!$N$5:$N$64,1))</f>
        <v/>
      </c>
      <c r="D10" s="10">
        <f>IF(OR($A10="",$C10=0),"",AVERAGEIFS('5. Plot Summary'!$L$5:$L$64,'5. Plot Summary'!$B$5:$B$64,$A10))</f>
        <v/>
      </c>
      <c r="E10" s="10">
        <f>IF(OR($A10="",NOT(ISNUMBER($C10)),$C10&lt;2),"",SQRT(MAX(0,(SUMIFS('5. Plot Summary'!$Q$5:$Q$64,'5. Plot Summary'!$B$5:$B$64,$A10)-$C10*$D10^2)/($C10-1))))</f>
        <v/>
      </c>
      <c r="F10" s="10">
        <f>IF(OR($A10="",NOT(ISNUMBER($C10)),$C10&lt;2,NOT(ISNUMBER($E10))),"",TINV(1-TARGET_CONFIDENCE,$C10-1)*$E10/SQRT($C10))</f>
        <v/>
      </c>
      <c r="G10" s="10">
        <f>IF(OR(NOT(ISNUMBER($F10)),NOT(ISNUMBER($D10)),$D10=0),"",$F10/$D10)</f>
        <v/>
      </c>
      <c r="H10" s="10">
        <f>TARGET_MARGIN_SOIL</f>
        <v/>
      </c>
      <c r="I10" s="10">
        <f>IF($A10="","",IF(OR(NOT(ISNUMBER($C10)),$C10&lt;2),"Cannot be assessed — at least 2 plots are needed for an interval.",IF(NOT(ISNUMBER($G10)),"",IF($G10&lt;=$H10,"MET: ±"&amp;TEXT($G10,"0%")&amp;" at "&amp;TEXT(TARGET_CONFIDENCE,"0%")&amp;" confidence","NOT MET: ±"&amp;TEXT($G10,"0%")&amp;" against a ±"&amp;TEXT($H10,"0%")&amp;" target"))))</f>
        <v/>
      </c>
      <c r="J10" s="10">
        <f>IF(OR($A10="",$C10=0),"",IFERROR(AVERAGEIFS('5. Plot Summary'!$M$5:$M$64,'5. Plot Summary'!$B$5:$B$64,$A10),""))</f>
        <v/>
      </c>
      <c r="K10" s="10">
        <f>IF(OR($A10="",NOT(ISNUMBER($C10)),$C10&lt;2,NOT(ISNUMBER($J10))),"",SQRT(MAX(0,(SUMIFS('5. Plot Summary'!$R$5:$R$64,'5. Plot Summary'!$B$5:$B$64,$A10)-$C10*$J10^2)/($C10-1))))</f>
        <v/>
      </c>
      <c r="L10" s="10">
        <f>IF(OR($A10="",NOT(ISNUMBER($C10)),$C10&lt;2,NOT(ISNUMBER($K10))),"",TINV(1-TARGET_CONFIDENCE,$C10-1)*$K10/SQRT($C10))</f>
        <v/>
      </c>
      <c r="M10" s="10">
        <f>IF(OR(NOT(ISNUMBER($L10)),NOT(ISNUMBER($J10)),$J10=0),"",$L10/$J10)</f>
        <v/>
      </c>
      <c r="N10" s="10">
        <f>TARGET_MARGIN_ROOT</f>
        <v/>
      </c>
      <c r="O10" s="10">
        <f>IF($A10="","",IF(OR(NOT(ISNUMBER($C10)),$C10&lt;2),"Cannot be assessed — at least 2 plots are needed for an interval.",IF(NOT(ISNUMBER($M10)),"No root data for this site.",IF($M10&lt;=$N10,"MET: ±"&amp;TEXT($M10,"0%")&amp;" at "&amp;TEXT(TARGET_CONFIDENCE,"0%")&amp;" confidence","NOT MET: ±"&amp;TEXT($M10,"0%")&amp;" against a ±"&amp;TEXT($N10,"0%")&amp;" target"))))</f>
        <v/>
      </c>
      <c r="P10" s="10">
        <f>IF(OR($A10="",NOT(ISNUMBER($B10))),"",(IF(ISNUMBER($D10),$D10,0)+IF(ISNUMBER($J10),$J10,0))*$B10)</f>
        <v/>
      </c>
      <c r="Q10" s="10">
        <f>IF(NOT(ISNUMBER($P10)),"",$P10*CO2E_FACTOR/1000)</f>
        <v/>
      </c>
      <c r="R10" s="11">
        <f>IF($A10="","",IF($C10=0,"No plots carry this Site ID — check it matches the Plot &amp; Site Log. ","")&amp;IF(AND(ISNUMBER($C10),$C10=1),"Only one plot: a mean can be reported but never an uncertainty. ","")&amp;IF($B10="","No site area, so no total carbon. ","")&amp;IF(AND(ISNUMBER($G10),ISNUMBER($H10),$G10&gt;$H10),"Soil precision target missed — scrutinise the data, then post-stratify on management before adding cores. ","")&amp;IF(AND(ISNUMBER($M10),ISNUMBER($N10),$M10&gt;$N10),"Root precision target missed. Roots are genuinely patchy; a wider honest interval is better than a tight unearned one. ",""))</f>
        <v/>
      </c>
    </row>
    <row r="11">
      <c r="A11" s="6" t="n"/>
      <c r="B11" s="6" t="n"/>
      <c r="C11" s="10">
        <f>IF($A11="","",COUNTIFS('5. Plot Summary'!$B$5:$B$64,$A11,'5. Plot Summary'!$N$5:$N$64,1))</f>
        <v/>
      </c>
      <c r="D11" s="10">
        <f>IF(OR($A11="",$C11=0),"",AVERAGEIFS('5. Plot Summary'!$L$5:$L$64,'5. Plot Summary'!$B$5:$B$64,$A11))</f>
        <v/>
      </c>
      <c r="E11" s="10">
        <f>IF(OR($A11="",NOT(ISNUMBER($C11)),$C11&lt;2),"",SQRT(MAX(0,(SUMIFS('5. Plot Summary'!$Q$5:$Q$64,'5. Plot Summary'!$B$5:$B$64,$A11)-$C11*$D11^2)/($C11-1))))</f>
        <v/>
      </c>
      <c r="F11" s="10">
        <f>IF(OR($A11="",NOT(ISNUMBER($C11)),$C11&lt;2,NOT(ISNUMBER($E11))),"",TINV(1-TARGET_CONFIDENCE,$C11-1)*$E11/SQRT($C11))</f>
        <v/>
      </c>
      <c r="G11" s="10">
        <f>IF(OR(NOT(ISNUMBER($F11)),NOT(ISNUMBER($D11)),$D11=0),"",$F11/$D11)</f>
        <v/>
      </c>
      <c r="H11" s="10">
        <f>TARGET_MARGIN_SOIL</f>
        <v/>
      </c>
      <c r="I11" s="10">
        <f>IF($A11="","",IF(OR(NOT(ISNUMBER($C11)),$C11&lt;2),"Cannot be assessed — at least 2 plots are needed for an interval.",IF(NOT(ISNUMBER($G11)),"",IF($G11&lt;=$H11,"MET: ±"&amp;TEXT($G11,"0%")&amp;" at "&amp;TEXT(TARGET_CONFIDENCE,"0%")&amp;" confidence","NOT MET: ±"&amp;TEXT($G11,"0%")&amp;" against a ±"&amp;TEXT($H11,"0%")&amp;" target"))))</f>
        <v/>
      </c>
      <c r="J11" s="10">
        <f>IF(OR($A11="",$C11=0),"",IFERROR(AVERAGEIFS('5. Plot Summary'!$M$5:$M$64,'5. Plot Summary'!$B$5:$B$64,$A11),""))</f>
        <v/>
      </c>
      <c r="K11" s="10">
        <f>IF(OR($A11="",NOT(ISNUMBER($C11)),$C11&lt;2,NOT(ISNUMBER($J11))),"",SQRT(MAX(0,(SUMIFS('5. Plot Summary'!$R$5:$R$64,'5. Plot Summary'!$B$5:$B$64,$A11)-$C11*$J11^2)/($C11-1))))</f>
        <v/>
      </c>
      <c r="L11" s="10">
        <f>IF(OR($A11="",NOT(ISNUMBER($C11)),$C11&lt;2,NOT(ISNUMBER($K11))),"",TINV(1-TARGET_CONFIDENCE,$C11-1)*$K11/SQRT($C11))</f>
        <v/>
      </c>
      <c r="M11" s="10">
        <f>IF(OR(NOT(ISNUMBER($L11)),NOT(ISNUMBER($J11)),$J11=0),"",$L11/$J11)</f>
        <v/>
      </c>
      <c r="N11" s="10">
        <f>TARGET_MARGIN_ROOT</f>
        <v/>
      </c>
      <c r="O11" s="10">
        <f>IF($A11="","",IF(OR(NOT(ISNUMBER($C11)),$C11&lt;2),"Cannot be assessed — at least 2 plots are needed for an interval.",IF(NOT(ISNUMBER($M11)),"No root data for this site.",IF($M11&lt;=$N11,"MET: ±"&amp;TEXT($M11,"0%")&amp;" at "&amp;TEXT(TARGET_CONFIDENCE,"0%")&amp;" confidence","NOT MET: ±"&amp;TEXT($M11,"0%")&amp;" against a ±"&amp;TEXT($N11,"0%")&amp;" target"))))</f>
        <v/>
      </c>
      <c r="P11" s="10">
        <f>IF(OR($A11="",NOT(ISNUMBER($B11))),"",(IF(ISNUMBER($D11),$D11,0)+IF(ISNUMBER($J11),$J11,0))*$B11)</f>
        <v/>
      </c>
      <c r="Q11" s="10">
        <f>IF(NOT(ISNUMBER($P11)),"",$P11*CO2E_FACTOR/1000)</f>
        <v/>
      </c>
      <c r="R11" s="11">
        <f>IF($A11="","",IF($C11=0,"No plots carry this Site ID — check it matches the Plot &amp; Site Log. ","")&amp;IF(AND(ISNUMBER($C11),$C11=1),"Only one plot: a mean can be reported but never an uncertainty. ","")&amp;IF($B11="","No site area, so no total carbon. ","")&amp;IF(AND(ISNUMBER($G11),ISNUMBER($H11),$G11&gt;$H11),"Soil precision target missed — scrutinise the data, then post-stratify on management before adding cores. ","")&amp;IF(AND(ISNUMBER($M11),ISNUMBER($N11),$M11&gt;$N11),"Root precision target missed. Roots are genuinely patchy; a wider honest interval is better than a tight unearned one. ",""))</f>
        <v/>
      </c>
    </row>
    <row r="12">
      <c r="A12" s="6" t="n"/>
      <c r="B12" s="6" t="n"/>
      <c r="C12" s="10">
        <f>IF($A12="","",COUNTIFS('5. Plot Summary'!$B$5:$B$64,$A12,'5. Plot Summary'!$N$5:$N$64,1))</f>
        <v/>
      </c>
      <c r="D12" s="10">
        <f>IF(OR($A12="",$C12=0),"",AVERAGEIFS('5. Plot Summary'!$L$5:$L$64,'5. Plot Summary'!$B$5:$B$64,$A12))</f>
        <v/>
      </c>
      <c r="E12" s="10">
        <f>IF(OR($A12="",NOT(ISNUMBER($C12)),$C12&lt;2),"",SQRT(MAX(0,(SUMIFS('5. Plot Summary'!$Q$5:$Q$64,'5. Plot Summary'!$B$5:$B$64,$A12)-$C12*$D12^2)/($C12-1))))</f>
        <v/>
      </c>
      <c r="F12" s="10">
        <f>IF(OR($A12="",NOT(ISNUMBER($C12)),$C12&lt;2,NOT(ISNUMBER($E12))),"",TINV(1-TARGET_CONFIDENCE,$C12-1)*$E12/SQRT($C12))</f>
        <v/>
      </c>
      <c r="G12" s="10">
        <f>IF(OR(NOT(ISNUMBER($F12)),NOT(ISNUMBER($D12)),$D12=0),"",$F12/$D12)</f>
        <v/>
      </c>
      <c r="H12" s="10">
        <f>TARGET_MARGIN_SOIL</f>
        <v/>
      </c>
      <c r="I12" s="10">
        <f>IF($A12="","",IF(OR(NOT(ISNUMBER($C12)),$C12&lt;2),"Cannot be assessed — at least 2 plots are needed for an interval.",IF(NOT(ISNUMBER($G12)),"",IF($G12&lt;=$H12,"MET: ±"&amp;TEXT($G12,"0%")&amp;" at "&amp;TEXT(TARGET_CONFIDENCE,"0%")&amp;" confidence","NOT MET: ±"&amp;TEXT($G12,"0%")&amp;" against a ±"&amp;TEXT($H12,"0%")&amp;" target"))))</f>
        <v/>
      </c>
      <c r="J12" s="10">
        <f>IF(OR($A12="",$C12=0),"",IFERROR(AVERAGEIFS('5. Plot Summary'!$M$5:$M$64,'5. Plot Summary'!$B$5:$B$64,$A12),""))</f>
        <v/>
      </c>
      <c r="K12" s="10">
        <f>IF(OR($A12="",NOT(ISNUMBER($C12)),$C12&lt;2,NOT(ISNUMBER($J12))),"",SQRT(MAX(0,(SUMIFS('5. Plot Summary'!$R$5:$R$64,'5. Plot Summary'!$B$5:$B$64,$A12)-$C12*$J12^2)/($C12-1))))</f>
        <v/>
      </c>
      <c r="L12" s="10">
        <f>IF(OR($A12="",NOT(ISNUMBER($C12)),$C12&lt;2,NOT(ISNUMBER($K12))),"",TINV(1-TARGET_CONFIDENCE,$C12-1)*$K12/SQRT($C12))</f>
        <v/>
      </c>
      <c r="M12" s="10">
        <f>IF(OR(NOT(ISNUMBER($L12)),NOT(ISNUMBER($J12)),$J12=0),"",$L12/$J12)</f>
        <v/>
      </c>
      <c r="N12" s="10">
        <f>TARGET_MARGIN_ROOT</f>
        <v/>
      </c>
      <c r="O12" s="10">
        <f>IF($A12="","",IF(OR(NOT(ISNUMBER($C12)),$C12&lt;2),"Cannot be assessed — at least 2 plots are needed for an interval.",IF(NOT(ISNUMBER($M12)),"No root data for this site.",IF($M12&lt;=$N12,"MET: ±"&amp;TEXT($M12,"0%")&amp;" at "&amp;TEXT(TARGET_CONFIDENCE,"0%")&amp;" confidence","NOT MET: ±"&amp;TEXT($M12,"0%")&amp;" against a ±"&amp;TEXT($N12,"0%")&amp;" target"))))</f>
        <v/>
      </c>
      <c r="P12" s="10">
        <f>IF(OR($A12="",NOT(ISNUMBER($B12))),"",(IF(ISNUMBER($D12),$D12,0)+IF(ISNUMBER($J12),$J12,0))*$B12)</f>
        <v/>
      </c>
      <c r="Q12" s="10">
        <f>IF(NOT(ISNUMBER($P12)),"",$P12*CO2E_FACTOR/1000)</f>
        <v/>
      </c>
      <c r="R12" s="11">
        <f>IF($A12="","",IF($C12=0,"No plots carry this Site ID — check it matches the Plot &amp; Site Log. ","")&amp;IF(AND(ISNUMBER($C12),$C12=1),"Only one plot: a mean can be reported but never an uncertainty. ","")&amp;IF($B12="","No site area, so no total carbon. ","")&amp;IF(AND(ISNUMBER($G12),ISNUMBER($H12),$G12&gt;$H12),"Soil precision target missed — scrutinise the data, then post-stratify on management before adding cores. ","")&amp;IF(AND(ISNUMBER($M12),ISNUMBER($N12),$M12&gt;$N12),"Root precision target missed. Roots are genuinely patchy; a wider honest interval is better than a tight unearned one. ",""))</f>
        <v/>
      </c>
    </row>
    <row r="13">
      <c r="A13" s="6" t="n"/>
      <c r="B13" s="6" t="n"/>
      <c r="C13" s="10">
        <f>IF($A13="","",COUNTIFS('5. Plot Summary'!$B$5:$B$64,$A13,'5. Plot Summary'!$N$5:$N$64,1))</f>
        <v/>
      </c>
      <c r="D13" s="10">
        <f>IF(OR($A13="",$C13=0),"",AVERAGEIFS('5. Plot Summary'!$L$5:$L$64,'5. Plot Summary'!$B$5:$B$64,$A13))</f>
        <v/>
      </c>
      <c r="E13" s="10">
        <f>IF(OR($A13="",NOT(ISNUMBER($C13)),$C13&lt;2),"",SQRT(MAX(0,(SUMIFS('5. Plot Summary'!$Q$5:$Q$64,'5. Plot Summary'!$B$5:$B$64,$A13)-$C13*$D13^2)/($C13-1))))</f>
        <v/>
      </c>
      <c r="F13" s="10">
        <f>IF(OR($A13="",NOT(ISNUMBER($C13)),$C13&lt;2,NOT(ISNUMBER($E13))),"",TINV(1-TARGET_CONFIDENCE,$C13-1)*$E13/SQRT($C13))</f>
        <v/>
      </c>
      <c r="G13" s="10">
        <f>IF(OR(NOT(ISNUMBER($F13)),NOT(ISNUMBER($D13)),$D13=0),"",$F13/$D13)</f>
        <v/>
      </c>
      <c r="H13" s="10">
        <f>TARGET_MARGIN_SOIL</f>
        <v/>
      </c>
      <c r="I13" s="10">
        <f>IF($A13="","",IF(OR(NOT(ISNUMBER($C13)),$C13&lt;2),"Cannot be assessed — at least 2 plots are needed for an interval.",IF(NOT(ISNUMBER($G13)),"",IF($G13&lt;=$H13,"MET: ±"&amp;TEXT($G13,"0%")&amp;" at "&amp;TEXT(TARGET_CONFIDENCE,"0%")&amp;" confidence","NOT MET: ±"&amp;TEXT($G13,"0%")&amp;" against a ±"&amp;TEXT($H13,"0%")&amp;" target"))))</f>
        <v/>
      </c>
      <c r="J13" s="10">
        <f>IF(OR($A13="",$C13=0),"",IFERROR(AVERAGEIFS('5. Plot Summary'!$M$5:$M$64,'5. Plot Summary'!$B$5:$B$64,$A13),""))</f>
        <v/>
      </c>
      <c r="K13" s="10">
        <f>IF(OR($A13="",NOT(ISNUMBER($C13)),$C13&lt;2,NOT(ISNUMBER($J13))),"",SQRT(MAX(0,(SUMIFS('5. Plot Summary'!$R$5:$R$64,'5. Plot Summary'!$B$5:$B$64,$A13)-$C13*$J13^2)/($C13-1))))</f>
        <v/>
      </c>
      <c r="L13" s="10">
        <f>IF(OR($A13="",NOT(ISNUMBER($C13)),$C13&lt;2,NOT(ISNUMBER($K13))),"",TINV(1-TARGET_CONFIDENCE,$C13-1)*$K13/SQRT($C13))</f>
        <v/>
      </c>
      <c r="M13" s="10">
        <f>IF(OR(NOT(ISNUMBER($L13)),NOT(ISNUMBER($J13)),$J13=0),"",$L13/$J13)</f>
        <v/>
      </c>
      <c r="N13" s="10">
        <f>TARGET_MARGIN_ROOT</f>
        <v/>
      </c>
      <c r="O13" s="10">
        <f>IF($A13="","",IF(OR(NOT(ISNUMBER($C13)),$C13&lt;2),"Cannot be assessed — at least 2 plots are needed for an interval.",IF(NOT(ISNUMBER($M13)),"No root data for this site.",IF($M13&lt;=$N13,"MET: ±"&amp;TEXT($M13,"0%")&amp;" at "&amp;TEXT(TARGET_CONFIDENCE,"0%")&amp;" confidence","NOT MET: ±"&amp;TEXT($M13,"0%")&amp;" against a ±"&amp;TEXT($N13,"0%")&amp;" target"))))</f>
        <v/>
      </c>
      <c r="P13" s="10">
        <f>IF(OR($A13="",NOT(ISNUMBER($B13))),"",(IF(ISNUMBER($D13),$D13,0)+IF(ISNUMBER($J13),$J13,0))*$B13)</f>
        <v/>
      </c>
      <c r="Q13" s="10">
        <f>IF(NOT(ISNUMBER($P13)),"",$P13*CO2E_FACTOR/1000)</f>
        <v/>
      </c>
      <c r="R13" s="11">
        <f>IF($A13="","",IF($C13=0,"No plots carry this Site ID — check it matches the Plot &amp; Site Log. ","")&amp;IF(AND(ISNUMBER($C13),$C13=1),"Only one plot: a mean can be reported but never an uncertainty. ","")&amp;IF($B13="","No site area, so no total carbon. ","")&amp;IF(AND(ISNUMBER($G13),ISNUMBER($H13),$G13&gt;$H13),"Soil precision target missed — scrutinise the data, then post-stratify on management before adding cores. ","")&amp;IF(AND(ISNUMBER($M13),ISNUMBER($N13),$M13&gt;$N13),"Root precision target missed. Roots are genuinely patchy; a wider honest interval is better than a tight unearned one. ",""))</f>
        <v/>
      </c>
    </row>
    <row r="14">
      <c r="A14" s="6" t="n"/>
      <c r="B14" s="6" t="n"/>
      <c r="C14" s="10">
        <f>IF($A14="","",COUNTIFS('5. Plot Summary'!$B$5:$B$64,$A14,'5. Plot Summary'!$N$5:$N$64,1))</f>
        <v/>
      </c>
      <c r="D14" s="10">
        <f>IF(OR($A14="",$C14=0),"",AVERAGEIFS('5. Plot Summary'!$L$5:$L$64,'5. Plot Summary'!$B$5:$B$64,$A14))</f>
        <v/>
      </c>
      <c r="E14" s="10">
        <f>IF(OR($A14="",NOT(ISNUMBER($C14)),$C14&lt;2),"",SQRT(MAX(0,(SUMIFS('5. Plot Summary'!$Q$5:$Q$64,'5. Plot Summary'!$B$5:$B$64,$A14)-$C14*$D14^2)/($C14-1))))</f>
        <v/>
      </c>
      <c r="F14" s="10">
        <f>IF(OR($A14="",NOT(ISNUMBER($C14)),$C14&lt;2,NOT(ISNUMBER($E14))),"",TINV(1-TARGET_CONFIDENCE,$C14-1)*$E14/SQRT($C14))</f>
        <v/>
      </c>
      <c r="G14" s="10">
        <f>IF(OR(NOT(ISNUMBER($F14)),NOT(ISNUMBER($D14)),$D14=0),"",$F14/$D14)</f>
        <v/>
      </c>
      <c r="H14" s="10">
        <f>TARGET_MARGIN_SOIL</f>
        <v/>
      </c>
      <c r="I14" s="10">
        <f>IF($A14="","",IF(OR(NOT(ISNUMBER($C14)),$C14&lt;2),"Cannot be assessed — at least 2 plots are needed for an interval.",IF(NOT(ISNUMBER($G14)),"",IF($G14&lt;=$H14,"MET: ±"&amp;TEXT($G14,"0%")&amp;" at "&amp;TEXT(TARGET_CONFIDENCE,"0%")&amp;" confidence","NOT MET: ±"&amp;TEXT($G14,"0%")&amp;" against a ±"&amp;TEXT($H14,"0%")&amp;" target"))))</f>
        <v/>
      </c>
      <c r="J14" s="10">
        <f>IF(OR($A14="",$C14=0),"",IFERROR(AVERAGEIFS('5. Plot Summary'!$M$5:$M$64,'5. Plot Summary'!$B$5:$B$64,$A14),""))</f>
        <v/>
      </c>
      <c r="K14" s="10">
        <f>IF(OR($A14="",NOT(ISNUMBER($C14)),$C14&lt;2,NOT(ISNUMBER($J14))),"",SQRT(MAX(0,(SUMIFS('5. Plot Summary'!$R$5:$R$64,'5. Plot Summary'!$B$5:$B$64,$A14)-$C14*$J14^2)/($C14-1))))</f>
        <v/>
      </c>
      <c r="L14" s="10">
        <f>IF(OR($A14="",NOT(ISNUMBER($C14)),$C14&lt;2,NOT(ISNUMBER($K14))),"",TINV(1-TARGET_CONFIDENCE,$C14-1)*$K14/SQRT($C14))</f>
        <v/>
      </c>
      <c r="M14" s="10">
        <f>IF(OR(NOT(ISNUMBER($L14)),NOT(ISNUMBER($J14)),$J14=0),"",$L14/$J14)</f>
        <v/>
      </c>
      <c r="N14" s="10">
        <f>TARGET_MARGIN_ROOT</f>
        <v/>
      </c>
      <c r="O14" s="10">
        <f>IF($A14="","",IF(OR(NOT(ISNUMBER($C14)),$C14&lt;2),"Cannot be assessed — at least 2 plots are needed for an interval.",IF(NOT(ISNUMBER($M14)),"No root data for this site.",IF($M14&lt;=$N14,"MET: ±"&amp;TEXT($M14,"0%")&amp;" at "&amp;TEXT(TARGET_CONFIDENCE,"0%")&amp;" confidence","NOT MET: ±"&amp;TEXT($M14,"0%")&amp;" against a ±"&amp;TEXT($N14,"0%")&amp;" target"))))</f>
        <v/>
      </c>
      <c r="P14" s="10">
        <f>IF(OR($A14="",NOT(ISNUMBER($B14))),"",(IF(ISNUMBER($D14),$D14,0)+IF(ISNUMBER($J14),$J14,0))*$B14)</f>
        <v/>
      </c>
      <c r="Q14" s="10">
        <f>IF(NOT(ISNUMBER($P14)),"",$P14*CO2E_FACTOR/1000)</f>
        <v/>
      </c>
      <c r="R14" s="11">
        <f>IF($A14="","",IF($C14=0,"No plots carry this Site ID — check it matches the Plot &amp; Site Log. ","")&amp;IF(AND(ISNUMBER($C14),$C14=1),"Only one plot: a mean can be reported but never an uncertainty. ","")&amp;IF($B14="","No site area, so no total carbon. ","")&amp;IF(AND(ISNUMBER($G14),ISNUMBER($H14),$G14&gt;$H14),"Soil precision target missed — scrutinise the data, then post-stratify on management before adding cores. ","")&amp;IF(AND(ISNUMBER($M14),ISNUMBER($N14),$M14&gt;$N14),"Root precision target missed. Roots are genuinely patchy; a wider honest interval is better than a tight unearned one. ",""))</f>
        <v/>
      </c>
    </row>
    <row r="15">
      <c r="A15" s="6" t="n"/>
      <c r="B15" s="6" t="n"/>
      <c r="C15" s="10">
        <f>IF($A15="","",COUNTIFS('5. Plot Summary'!$B$5:$B$64,$A15,'5. Plot Summary'!$N$5:$N$64,1))</f>
        <v/>
      </c>
      <c r="D15" s="10">
        <f>IF(OR($A15="",$C15=0),"",AVERAGEIFS('5. Plot Summary'!$L$5:$L$64,'5. Plot Summary'!$B$5:$B$64,$A15))</f>
        <v/>
      </c>
      <c r="E15" s="10">
        <f>IF(OR($A15="",NOT(ISNUMBER($C15)),$C15&lt;2),"",SQRT(MAX(0,(SUMIFS('5. Plot Summary'!$Q$5:$Q$64,'5. Plot Summary'!$B$5:$B$64,$A15)-$C15*$D15^2)/($C15-1))))</f>
        <v/>
      </c>
      <c r="F15" s="10">
        <f>IF(OR($A15="",NOT(ISNUMBER($C15)),$C15&lt;2,NOT(ISNUMBER($E15))),"",TINV(1-TARGET_CONFIDENCE,$C15-1)*$E15/SQRT($C15))</f>
        <v/>
      </c>
      <c r="G15" s="10">
        <f>IF(OR(NOT(ISNUMBER($F15)),NOT(ISNUMBER($D15)),$D15=0),"",$F15/$D15)</f>
        <v/>
      </c>
      <c r="H15" s="10">
        <f>TARGET_MARGIN_SOIL</f>
        <v/>
      </c>
      <c r="I15" s="10">
        <f>IF($A15="","",IF(OR(NOT(ISNUMBER($C15)),$C15&lt;2),"Cannot be assessed — at least 2 plots are needed for an interval.",IF(NOT(ISNUMBER($G15)),"",IF($G15&lt;=$H15,"MET: ±"&amp;TEXT($G15,"0%")&amp;" at "&amp;TEXT(TARGET_CONFIDENCE,"0%")&amp;" confidence","NOT MET: ±"&amp;TEXT($G15,"0%")&amp;" against a ±"&amp;TEXT($H15,"0%")&amp;" target"))))</f>
        <v/>
      </c>
      <c r="J15" s="10">
        <f>IF(OR($A15="",$C15=0),"",IFERROR(AVERAGEIFS('5. Plot Summary'!$M$5:$M$64,'5. Plot Summary'!$B$5:$B$64,$A15),""))</f>
        <v/>
      </c>
      <c r="K15" s="10">
        <f>IF(OR($A15="",NOT(ISNUMBER($C15)),$C15&lt;2,NOT(ISNUMBER($J15))),"",SQRT(MAX(0,(SUMIFS('5. Plot Summary'!$R$5:$R$64,'5. Plot Summary'!$B$5:$B$64,$A15)-$C15*$J15^2)/($C15-1))))</f>
        <v/>
      </c>
      <c r="L15" s="10">
        <f>IF(OR($A15="",NOT(ISNUMBER($C15)),$C15&lt;2,NOT(ISNUMBER($K15))),"",TINV(1-TARGET_CONFIDENCE,$C15-1)*$K15/SQRT($C15))</f>
        <v/>
      </c>
      <c r="M15" s="10">
        <f>IF(OR(NOT(ISNUMBER($L15)),NOT(ISNUMBER($J15)),$J15=0),"",$L15/$J15)</f>
        <v/>
      </c>
      <c r="N15" s="10">
        <f>TARGET_MARGIN_ROOT</f>
        <v/>
      </c>
      <c r="O15" s="10">
        <f>IF($A15="","",IF(OR(NOT(ISNUMBER($C15)),$C15&lt;2),"Cannot be assessed — at least 2 plots are needed for an interval.",IF(NOT(ISNUMBER($M15)),"No root data for this site.",IF($M15&lt;=$N15,"MET: ±"&amp;TEXT($M15,"0%")&amp;" at "&amp;TEXT(TARGET_CONFIDENCE,"0%")&amp;" confidence","NOT MET: ±"&amp;TEXT($M15,"0%")&amp;" against a ±"&amp;TEXT($N15,"0%")&amp;" target"))))</f>
        <v/>
      </c>
      <c r="P15" s="10">
        <f>IF(OR($A15="",NOT(ISNUMBER($B15))),"",(IF(ISNUMBER($D15),$D15,0)+IF(ISNUMBER($J15),$J15,0))*$B15)</f>
        <v/>
      </c>
      <c r="Q15" s="10">
        <f>IF(NOT(ISNUMBER($P15)),"",$P15*CO2E_FACTOR/1000)</f>
        <v/>
      </c>
      <c r="R15" s="11">
        <f>IF($A15="","",IF($C15=0,"No plots carry this Site ID — check it matches the Plot &amp; Site Log. ","")&amp;IF(AND(ISNUMBER($C15),$C15=1),"Only one plot: a mean can be reported but never an uncertainty. ","")&amp;IF($B15="","No site area, so no total carbon. ","")&amp;IF(AND(ISNUMBER($G15),ISNUMBER($H15),$G15&gt;$H15),"Soil precision target missed — scrutinise the data, then post-stratify on management before adding cores. ","")&amp;IF(AND(ISNUMBER($M15),ISNUMBER($N15),$M15&gt;$N15),"Root precision target missed. Roots are genuinely patchy; a wider honest interval is better than a tight unearned one. ",""))</f>
        <v/>
      </c>
    </row>
    <row r="16">
      <c r="A16" s="6" t="n"/>
      <c r="B16" s="6" t="n"/>
      <c r="C16" s="10">
        <f>IF($A16="","",COUNTIFS('5. Plot Summary'!$B$5:$B$64,$A16,'5. Plot Summary'!$N$5:$N$64,1))</f>
        <v/>
      </c>
      <c r="D16" s="10">
        <f>IF(OR($A16="",$C16=0),"",AVERAGEIFS('5. Plot Summary'!$L$5:$L$64,'5. Plot Summary'!$B$5:$B$64,$A16))</f>
        <v/>
      </c>
      <c r="E16" s="10">
        <f>IF(OR($A16="",NOT(ISNUMBER($C16)),$C16&lt;2),"",SQRT(MAX(0,(SUMIFS('5. Plot Summary'!$Q$5:$Q$64,'5. Plot Summary'!$B$5:$B$64,$A16)-$C16*$D16^2)/($C16-1))))</f>
        <v/>
      </c>
      <c r="F16" s="10">
        <f>IF(OR($A16="",NOT(ISNUMBER($C16)),$C16&lt;2,NOT(ISNUMBER($E16))),"",TINV(1-TARGET_CONFIDENCE,$C16-1)*$E16/SQRT($C16))</f>
        <v/>
      </c>
      <c r="G16" s="10">
        <f>IF(OR(NOT(ISNUMBER($F16)),NOT(ISNUMBER($D16)),$D16=0),"",$F16/$D16)</f>
        <v/>
      </c>
      <c r="H16" s="10">
        <f>TARGET_MARGIN_SOIL</f>
        <v/>
      </c>
      <c r="I16" s="10">
        <f>IF($A16="","",IF(OR(NOT(ISNUMBER($C16)),$C16&lt;2),"Cannot be assessed — at least 2 plots are needed for an interval.",IF(NOT(ISNUMBER($G16)),"",IF($G16&lt;=$H16,"MET: ±"&amp;TEXT($G16,"0%")&amp;" at "&amp;TEXT(TARGET_CONFIDENCE,"0%")&amp;" confidence","NOT MET: ±"&amp;TEXT($G16,"0%")&amp;" against a ±"&amp;TEXT($H16,"0%")&amp;" target"))))</f>
        <v/>
      </c>
      <c r="J16" s="10">
        <f>IF(OR($A16="",$C16=0),"",IFERROR(AVERAGEIFS('5. Plot Summary'!$M$5:$M$64,'5. Plot Summary'!$B$5:$B$64,$A16),""))</f>
        <v/>
      </c>
      <c r="K16" s="10">
        <f>IF(OR($A16="",NOT(ISNUMBER($C16)),$C16&lt;2,NOT(ISNUMBER($J16))),"",SQRT(MAX(0,(SUMIFS('5. Plot Summary'!$R$5:$R$64,'5. Plot Summary'!$B$5:$B$64,$A16)-$C16*$J16^2)/($C16-1))))</f>
        <v/>
      </c>
      <c r="L16" s="10">
        <f>IF(OR($A16="",NOT(ISNUMBER($C16)),$C16&lt;2,NOT(ISNUMBER($K16))),"",TINV(1-TARGET_CONFIDENCE,$C16-1)*$K16/SQRT($C16))</f>
        <v/>
      </c>
      <c r="M16" s="10">
        <f>IF(OR(NOT(ISNUMBER($L16)),NOT(ISNUMBER($J16)),$J16=0),"",$L16/$J16)</f>
        <v/>
      </c>
      <c r="N16" s="10">
        <f>TARGET_MARGIN_ROOT</f>
        <v/>
      </c>
      <c r="O16" s="10">
        <f>IF($A16="","",IF(OR(NOT(ISNUMBER($C16)),$C16&lt;2),"Cannot be assessed — at least 2 plots are needed for an interval.",IF(NOT(ISNUMBER($M16)),"No root data for this site.",IF($M16&lt;=$N16,"MET: ±"&amp;TEXT($M16,"0%")&amp;" at "&amp;TEXT(TARGET_CONFIDENCE,"0%")&amp;" confidence","NOT MET: ±"&amp;TEXT($M16,"0%")&amp;" against a ±"&amp;TEXT($N16,"0%")&amp;" target"))))</f>
        <v/>
      </c>
      <c r="P16" s="10">
        <f>IF(OR($A16="",NOT(ISNUMBER($B16))),"",(IF(ISNUMBER($D16),$D16,0)+IF(ISNUMBER($J16),$J16,0))*$B16)</f>
        <v/>
      </c>
      <c r="Q16" s="10">
        <f>IF(NOT(ISNUMBER($P16)),"",$P16*CO2E_FACTOR/1000)</f>
        <v/>
      </c>
      <c r="R16" s="11">
        <f>IF($A16="","",IF($C16=0,"No plots carry this Site ID — check it matches the Plot &amp; Site Log. ","")&amp;IF(AND(ISNUMBER($C16),$C16=1),"Only one plot: a mean can be reported but never an uncertainty. ","")&amp;IF($B16="","No site area, so no total carbon. ","")&amp;IF(AND(ISNUMBER($G16),ISNUMBER($H16),$G16&gt;$H16),"Soil precision target missed — scrutinise the data, then post-stratify on management before adding cores. ","")&amp;IF(AND(ISNUMBER($M16),ISNUMBER($N16),$M16&gt;$N16),"Root precision target missed. Roots are genuinely patchy; a wider honest interval is better than a tight unearned one. ",""))</f>
        <v/>
      </c>
    </row>
    <row r="17">
      <c r="A17" s="6" t="n"/>
      <c r="B17" s="6" t="n"/>
      <c r="C17" s="10">
        <f>IF($A17="","",COUNTIFS('5. Plot Summary'!$B$5:$B$64,$A17,'5. Plot Summary'!$N$5:$N$64,1))</f>
        <v/>
      </c>
      <c r="D17" s="10">
        <f>IF(OR($A17="",$C17=0),"",AVERAGEIFS('5. Plot Summary'!$L$5:$L$64,'5. Plot Summary'!$B$5:$B$64,$A17))</f>
        <v/>
      </c>
      <c r="E17" s="10">
        <f>IF(OR($A17="",NOT(ISNUMBER($C17)),$C17&lt;2),"",SQRT(MAX(0,(SUMIFS('5. Plot Summary'!$Q$5:$Q$64,'5. Plot Summary'!$B$5:$B$64,$A17)-$C17*$D17^2)/($C17-1))))</f>
        <v/>
      </c>
      <c r="F17" s="10">
        <f>IF(OR($A17="",NOT(ISNUMBER($C17)),$C17&lt;2,NOT(ISNUMBER($E17))),"",TINV(1-TARGET_CONFIDENCE,$C17-1)*$E17/SQRT($C17))</f>
        <v/>
      </c>
      <c r="G17" s="10">
        <f>IF(OR(NOT(ISNUMBER($F17)),NOT(ISNUMBER($D17)),$D17=0),"",$F17/$D17)</f>
        <v/>
      </c>
      <c r="H17" s="10">
        <f>TARGET_MARGIN_SOIL</f>
        <v/>
      </c>
      <c r="I17" s="10">
        <f>IF($A17="","",IF(OR(NOT(ISNUMBER($C17)),$C17&lt;2),"Cannot be assessed — at least 2 plots are needed for an interval.",IF(NOT(ISNUMBER($G17)),"",IF($G17&lt;=$H17,"MET: ±"&amp;TEXT($G17,"0%")&amp;" at "&amp;TEXT(TARGET_CONFIDENCE,"0%")&amp;" confidence","NOT MET: ±"&amp;TEXT($G17,"0%")&amp;" against a ±"&amp;TEXT($H17,"0%")&amp;" target"))))</f>
        <v/>
      </c>
      <c r="J17" s="10">
        <f>IF(OR($A17="",$C17=0),"",IFERROR(AVERAGEIFS('5. Plot Summary'!$M$5:$M$64,'5. Plot Summary'!$B$5:$B$64,$A17),""))</f>
        <v/>
      </c>
      <c r="K17" s="10">
        <f>IF(OR($A17="",NOT(ISNUMBER($C17)),$C17&lt;2,NOT(ISNUMBER($J17))),"",SQRT(MAX(0,(SUMIFS('5. Plot Summary'!$R$5:$R$64,'5. Plot Summary'!$B$5:$B$64,$A17)-$C17*$J17^2)/($C17-1))))</f>
        <v/>
      </c>
      <c r="L17" s="10">
        <f>IF(OR($A17="",NOT(ISNUMBER($C17)),$C17&lt;2,NOT(ISNUMBER($K17))),"",TINV(1-TARGET_CONFIDENCE,$C17-1)*$K17/SQRT($C17))</f>
        <v/>
      </c>
      <c r="M17" s="10">
        <f>IF(OR(NOT(ISNUMBER($L17)),NOT(ISNUMBER($J17)),$J17=0),"",$L17/$J17)</f>
        <v/>
      </c>
      <c r="N17" s="10">
        <f>TARGET_MARGIN_ROOT</f>
        <v/>
      </c>
      <c r="O17" s="10">
        <f>IF($A17="","",IF(OR(NOT(ISNUMBER($C17)),$C17&lt;2),"Cannot be assessed — at least 2 plots are needed for an interval.",IF(NOT(ISNUMBER($M17)),"No root data for this site.",IF($M17&lt;=$N17,"MET: ±"&amp;TEXT($M17,"0%")&amp;" at "&amp;TEXT(TARGET_CONFIDENCE,"0%")&amp;" confidence","NOT MET: ±"&amp;TEXT($M17,"0%")&amp;" against a ±"&amp;TEXT($N17,"0%")&amp;" target"))))</f>
        <v/>
      </c>
      <c r="P17" s="10">
        <f>IF(OR($A17="",NOT(ISNUMBER($B17))),"",(IF(ISNUMBER($D17),$D17,0)+IF(ISNUMBER($J17),$J17,0))*$B17)</f>
        <v/>
      </c>
      <c r="Q17" s="10">
        <f>IF(NOT(ISNUMBER($P17)),"",$P17*CO2E_FACTOR/1000)</f>
        <v/>
      </c>
      <c r="R17" s="11">
        <f>IF($A17="","",IF($C17=0,"No plots carry this Site ID — check it matches the Plot &amp; Site Log. ","")&amp;IF(AND(ISNUMBER($C17),$C17=1),"Only one plot: a mean can be reported but never an uncertainty. ","")&amp;IF($B17="","No site area, so no total carbon. ","")&amp;IF(AND(ISNUMBER($G17),ISNUMBER($H17),$G17&gt;$H17),"Soil precision target missed — scrutinise the data, then post-stratify on management before adding cores. ","")&amp;IF(AND(ISNUMBER($M17),ISNUMBER($N17),$M17&gt;$N17),"Root precision target missed. Roots are genuinely patchy; a wider honest interval is better than a tight unearned one. ",""))</f>
        <v/>
      </c>
    </row>
    <row r="18">
      <c r="A18" s="6" t="n"/>
      <c r="B18" s="6" t="n"/>
      <c r="C18" s="10">
        <f>IF($A18="","",COUNTIFS('5. Plot Summary'!$B$5:$B$64,$A18,'5. Plot Summary'!$N$5:$N$64,1))</f>
        <v/>
      </c>
      <c r="D18" s="10">
        <f>IF(OR($A18="",$C18=0),"",AVERAGEIFS('5. Plot Summary'!$L$5:$L$64,'5. Plot Summary'!$B$5:$B$64,$A18))</f>
        <v/>
      </c>
      <c r="E18" s="10">
        <f>IF(OR($A18="",NOT(ISNUMBER($C18)),$C18&lt;2),"",SQRT(MAX(0,(SUMIFS('5. Plot Summary'!$Q$5:$Q$64,'5. Plot Summary'!$B$5:$B$64,$A18)-$C18*$D18^2)/($C18-1))))</f>
        <v/>
      </c>
      <c r="F18" s="10">
        <f>IF(OR($A18="",NOT(ISNUMBER($C18)),$C18&lt;2,NOT(ISNUMBER($E18))),"",TINV(1-TARGET_CONFIDENCE,$C18-1)*$E18/SQRT($C18))</f>
        <v/>
      </c>
      <c r="G18" s="10">
        <f>IF(OR(NOT(ISNUMBER($F18)),NOT(ISNUMBER($D18)),$D18=0),"",$F18/$D18)</f>
        <v/>
      </c>
      <c r="H18" s="10">
        <f>TARGET_MARGIN_SOIL</f>
        <v/>
      </c>
      <c r="I18" s="10">
        <f>IF($A18="","",IF(OR(NOT(ISNUMBER($C18)),$C18&lt;2),"Cannot be assessed — at least 2 plots are needed for an interval.",IF(NOT(ISNUMBER($G18)),"",IF($G18&lt;=$H18,"MET: ±"&amp;TEXT($G18,"0%")&amp;" at "&amp;TEXT(TARGET_CONFIDENCE,"0%")&amp;" confidence","NOT MET: ±"&amp;TEXT($G18,"0%")&amp;" against a ±"&amp;TEXT($H18,"0%")&amp;" target"))))</f>
        <v/>
      </c>
      <c r="J18" s="10">
        <f>IF(OR($A18="",$C18=0),"",IFERROR(AVERAGEIFS('5. Plot Summary'!$M$5:$M$64,'5. Plot Summary'!$B$5:$B$64,$A18),""))</f>
        <v/>
      </c>
      <c r="K18" s="10">
        <f>IF(OR($A18="",NOT(ISNUMBER($C18)),$C18&lt;2,NOT(ISNUMBER($J18))),"",SQRT(MAX(0,(SUMIFS('5. Plot Summary'!$R$5:$R$64,'5. Plot Summary'!$B$5:$B$64,$A18)-$C18*$J18^2)/($C18-1))))</f>
        <v/>
      </c>
      <c r="L18" s="10">
        <f>IF(OR($A18="",NOT(ISNUMBER($C18)),$C18&lt;2,NOT(ISNUMBER($K18))),"",TINV(1-TARGET_CONFIDENCE,$C18-1)*$K18/SQRT($C18))</f>
        <v/>
      </c>
      <c r="M18" s="10">
        <f>IF(OR(NOT(ISNUMBER($L18)),NOT(ISNUMBER($J18)),$J18=0),"",$L18/$J18)</f>
        <v/>
      </c>
      <c r="N18" s="10">
        <f>TARGET_MARGIN_ROOT</f>
        <v/>
      </c>
      <c r="O18" s="10">
        <f>IF($A18="","",IF(OR(NOT(ISNUMBER($C18)),$C18&lt;2),"Cannot be assessed — at least 2 plots are needed for an interval.",IF(NOT(ISNUMBER($M18)),"No root data for this site.",IF($M18&lt;=$N18,"MET: ±"&amp;TEXT($M18,"0%")&amp;" at "&amp;TEXT(TARGET_CONFIDENCE,"0%")&amp;" confidence","NOT MET: ±"&amp;TEXT($M18,"0%")&amp;" against a ±"&amp;TEXT($N18,"0%")&amp;" target"))))</f>
        <v/>
      </c>
      <c r="P18" s="10">
        <f>IF(OR($A18="",NOT(ISNUMBER($B18))),"",(IF(ISNUMBER($D18),$D18,0)+IF(ISNUMBER($J18),$J18,0))*$B18)</f>
        <v/>
      </c>
      <c r="Q18" s="10">
        <f>IF(NOT(ISNUMBER($P18)),"",$P18*CO2E_FACTOR/1000)</f>
        <v/>
      </c>
      <c r="R18" s="11">
        <f>IF($A18="","",IF($C18=0,"No plots carry this Site ID — check it matches the Plot &amp; Site Log. ","")&amp;IF(AND(ISNUMBER($C18),$C18=1),"Only one plot: a mean can be reported but never an uncertainty. ","")&amp;IF($B18="","No site area, so no total carbon. ","")&amp;IF(AND(ISNUMBER($G18),ISNUMBER($H18),$G18&gt;$H18),"Soil precision target missed — scrutinise the data, then post-stratify on management before adding cores. ","")&amp;IF(AND(ISNUMBER($M18),ISNUMBER($N18),$M18&gt;$N18),"Root precision target missed. Roots are genuinely patchy; a wider honest interval is better than a tight unearned one. ",""))</f>
        <v/>
      </c>
    </row>
    <row r="19">
      <c r="A19" s="6" t="n"/>
      <c r="B19" s="6" t="n"/>
      <c r="C19" s="10">
        <f>IF($A19="","",COUNTIFS('5. Plot Summary'!$B$5:$B$64,$A19,'5. Plot Summary'!$N$5:$N$64,1))</f>
        <v/>
      </c>
      <c r="D19" s="10">
        <f>IF(OR($A19="",$C19=0),"",AVERAGEIFS('5. Plot Summary'!$L$5:$L$64,'5. Plot Summary'!$B$5:$B$64,$A19))</f>
        <v/>
      </c>
      <c r="E19" s="10">
        <f>IF(OR($A19="",NOT(ISNUMBER($C19)),$C19&lt;2),"",SQRT(MAX(0,(SUMIFS('5. Plot Summary'!$Q$5:$Q$64,'5. Plot Summary'!$B$5:$B$64,$A19)-$C19*$D19^2)/($C19-1))))</f>
        <v/>
      </c>
      <c r="F19" s="10">
        <f>IF(OR($A19="",NOT(ISNUMBER($C19)),$C19&lt;2,NOT(ISNUMBER($E19))),"",TINV(1-TARGET_CONFIDENCE,$C19-1)*$E19/SQRT($C19))</f>
        <v/>
      </c>
      <c r="G19" s="10">
        <f>IF(OR(NOT(ISNUMBER($F19)),NOT(ISNUMBER($D19)),$D19=0),"",$F19/$D19)</f>
        <v/>
      </c>
      <c r="H19" s="10">
        <f>TARGET_MARGIN_SOIL</f>
        <v/>
      </c>
      <c r="I19" s="10">
        <f>IF($A19="","",IF(OR(NOT(ISNUMBER($C19)),$C19&lt;2),"Cannot be assessed — at least 2 plots are needed for an interval.",IF(NOT(ISNUMBER($G19)),"",IF($G19&lt;=$H19,"MET: ±"&amp;TEXT($G19,"0%")&amp;" at "&amp;TEXT(TARGET_CONFIDENCE,"0%")&amp;" confidence","NOT MET: ±"&amp;TEXT($G19,"0%")&amp;" against a ±"&amp;TEXT($H19,"0%")&amp;" target"))))</f>
        <v/>
      </c>
      <c r="J19" s="10">
        <f>IF(OR($A19="",$C19=0),"",IFERROR(AVERAGEIFS('5. Plot Summary'!$M$5:$M$64,'5. Plot Summary'!$B$5:$B$64,$A19),""))</f>
        <v/>
      </c>
      <c r="K19" s="10">
        <f>IF(OR($A19="",NOT(ISNUMBER($C19)),$C19&lt;2,NOT(ISNUMBER($J19))),"",SQRT(MAX(0,(SUMIFS('5. Plot Summary'!$R$5:$R$64,'5. Plot Summary'!$B$5:$B$64,$A19)-$C19*$J19^2)/($C19-1))))</f>
        <v/>
      </c>
      <c r="L19" s="10">
        <f>IF(OR($A19="",NOT(ISNUMBER($C19)),$C19&lt;2,NOT(ISNUMBER($K19))),"",TINV(1-TARGET_CONFIDENCE,$C19-1)*$K19/SQRT($C19))</f>
        <v/>
      </c>
      <c r="M19" s="10">
        <f>IF(OR(NOT(ISNUMBER($L19)),NOT(ISNUMBER($J19)),$J19=0),"",$L19/$J19)</f>
        <v/>
      </c>
      <c r="N19" s="10">
        <f>TARGET_MARGIN_ROOT</f>
        <v/>
      </c>
      <c r="O19" s="10">
        <f>IF($A19="","",IF(OR(NOT(ISNUMBER($C19)),$C19&lt;2),"Cannot be assessed — at least 2 plots are needed for an interval.",IF(NOT(ISNUMBER($M19)),"No root data for this site.",IF($M19&lt;=$N19,"MET: ±"&amp;TEXT($M19,"0%")&amp;" at "&amp;TEXT(TARGET_CONFIDENCE,"0%")&amp;" confidence","NOT MET: ±"&amp;TEXT($M19,"0%")&amp;" against a ±"&amp;TEXT($N19,"0%")&amp;" target"))))</f>
        <v/>
      </c>
      <c r="P19" s="10">
        <f>IF(OR($A19="",NOT(ISNUMBER($B19))),"",(IF(ISNUMBER($D19),$D19,0)+IF(ISNUMBER($J19),$J19,0))*$B19)</f>
        <v/>
      </c>
      <c r="Q19" s="10">
        <f>IF(NOT(ISNUMBER($P19)),"",$P19*CO2E_FACTOR/1000)</f>
        <v/>
      </c>
      <c r="R19" s="11">
        <f>IF($A19="","",IF($C19=0,"No plots carry this Site ID — check it matches the Plot &amp; Site Log. ","")&amp;IF(AND(ISNUMBER($C19),$C19=1),"Only one plot: a mean can be reported but never an uncertainty. ","")&amp;IF($B19="","No site area, so no total carbon. ","")&amp;IF(AND(ISNUMBER($G19),ISNUMBER($H19),$G19&gt;$H19),"Soil precision target missed — scrutinise the data, then post-stratify on management before adding cores. ","")&amp;IF(AND(ISNUMBER($M19),ISNUMBER($N19),$M19&gt;$N19),"Root precision target missed. Roots are genuinely patchy; a wider honest interval is better than a tight unearned one. ",""))</f>
        <v/>
      </c>
    </row>
    <row r="20">
      <c r="A20" s="6" t="n"/>
      <c r="B20" s="6" t="n"/>
      <c r="C20" s="10">
        <f>IF($A20="","",COUNTIFS('5. Plot Summary'!$B$5:$B$64,$A20,'5. Plot Summary'!$N$5:$N$64,1))</f>
        <v/>
      </c>
      <c r="D20" s="10">
        <f>IF(OR($A20="",$C20=0),"",AVERAGEIFS('5. Plot Summary'!$L$5:$L$64,'5. Plot Summary'!$B$5:$B$64,$A20))</f>
        <v/>
      </c>
      <c r="E20" s="10">
        <f>IF(OR($A20="",NOT(ISNUMBER($C20)),$C20&lt;2),"",SQRT(MAX(0,(SUMIFS('5. Plot Summary'!$Q$5:$Q$64,'5. Plot Summary'!$B$5:$B$64,$A20)-$C20*$D20^2)/($C20-1))))</f>
        <v/>
      </c>
      <c r="F20" s="10">
        <f>IF(OR($A20="",NOT(ISNUMBER($C20)),$C20&lt;2,NOT(ISNUMBER($E20))),"",TINV(1-TARGET_CONFIDENCE,$C20-1)*$E20/SQRT($C20))</f>
        <v/>
      </c>
      <c r="G20" s="10">
        <f>IF(OR(NOT(ISNUMBER($F20)),NOT(ISNUMBER($D20)),$D20=0),"",$F20/$D20)</f>
        <v/>
      </c>
      <c r="H20" s="10">
        <f>TARGET_MARGIN_SOIL</f>
        <v/>
      </c>
      <c r="I20" s="10">
        <f>IF($A20="","",IF(OR(NOT(ISNUMBER($C20)),$C20&lt;2),"Cannot be assessed — at least 2 plots are needed for an interval.",IF(NOT(ISNUMBER($G20)),"",IF($G20&lt;=$H20,"MET: ±"&amp;TEXT($G20,"0%")&amp;" at "&amp;TEXT(TARGET_CONFIDENCE,"0%")&amp;" confidence","NOT MET: ±"&amp;TEXT($G20,"0%")&amp;" against a ±"&amp;TEXT($H20,"0%")&amp;" target"))))</f>
        <v/>
      </c>
      <c r="J20" s="10">
        <f>IF(OR($A20="",$C20=0),"",IFERROR(AVERAGEIFS('5. Plot Summary'!$M$5:$M$64,'5. Plot Summary'!$B$5:$B$64,$A20),""))</f>
        <v/>
      </c>
      <c r="K20" s="10">
        <f>IF(OR($A20="",NOT(ISNUMBER($C20)),$C20&lt;2,NOT(ISNUMBER($J20))),"",SQRT(MAX(0,(SUMIFS('5. Plot Summary'!$R$5:$R$64,'5. Plot Summary'!$B$5:$B$64,$A20)-$C20*$J20^2)/($C20-1))))</f>
        <v/>
      </c>
      <c r="L20" s="10">
        <f>IF(OR($A20="",NOT(ISNUMBER($C20)),$C20&lt;2,NOT(ISNUMBER($K20))),"",TINV(1-TARGET_CONFIDENCE,$C20-1)*$K20/SQRT($C20))</f>
        <v/>
      </c>
      <c r="M20" s="10">
        <f>IF(OR(NOT(ISNUMBER($L20)),NOT(ISNUMBER($J20)),$J20=0),"",$L20/$J20)</f>
        <v/>
      </c>
      <c r="N20" s="10">
        <f>TARGET_MARGIN_ROOT</f>
        <v/>
      </c>
      <c r="O20" s="10">
        <f>IF($A20="","",IF(OR(NOT(ISNUMBER($C20)),$C20&lt;2),"Cannot be assessed — at least 2 plots are needed for an interval.",IF(NOT(ISNUMBER($M20)),"No root data for this site.",IF($M20&lt;=$N20,"MET: ±"&amp;TEXT($M20,"0%")&amp;" at "&amp;TEXT(TARGET_CONFIDENCE,"0%")&amp;" confidence","NOT MET: ±"&amp;TEXT($M20,"0%")&amp;" against a ±"&amp;TEXT($N20,"0%")&amp;" target"))))</f>
        <v/>
      </c>
      <c r="P20" s="10">
        <f>IF(OR($A20="",NOT(ISNUMBER($B20))),"",(IF(ISNUMBER($D20),$D20,0)+IF(ISNUMBER($J20),$J20,0))*$B20)</f>
        <v/>
      </c>
      <c r="Q20" s="10">
        <f>IF(NOT(ISNUMBER($P20)),"",$P20*CO2E_FACTOR/1000)</f>
        <v/>
      </c>
      <c r="R20" s="11">
        <f>IF($A20="","",IF($C20=0,"No plots carry this Site ID — check it matches the Plot &amp; Site Log. ","")&amp;IF(AND(ISNUMBER($C20),$C20=1),"Only one plot: a mean can be reported but never an uncertainty. ","")&amp;IF($B20="","No site area, so no total carbon. ","")&amp;IF(AND(ISNUMBER($G20),ISNUMBER($H20),$G20&gt;$H20),"Soil precision target missed — scrutinise the data, then post-stratify on management before adding cores. ","")&amp;IF(AND(ISNUMBER($M20),ISNUMBER($N20),$M20&gt;$N20),"Root precision target missed. Roots are genuinely patchy; a wider honest interval is better than a tight unearned one. ",""))</f>
        <v/>
      </c>
    </row>
    <row r="21">
      <c r="A21" s="6" t="n"/>
      <c r="B21" s="6" t="n"/>
      <c r="C21" s="10">
        <f>IF($A21="","",COUNTIFS('5. Plot Summary'!$B$5:$B$64,$A21,'5. Plot Summary'!$N$5:$N$64,1))</f>
        <v/>
      </c>
      <c r="D21" s="10">
        <f>IF(OR($A21="",$C21=0),"",AVERAGEIFS('5. Plot Summary'!$L$5:$L$64,'5. Plot Summary'!$B$5:$B$64,$A21))</f>
        <v/>
      </c>
      <c r="E21" s="10">
        <f>IF(OR($A21="",NOT(ISNUMBER($C21)),$C21&lt;2),"",SQRT(MAX(0,(SUMIFS('5. Plot Summary'!$Q$5:$Q$64,'5. Plot Summary'!$B$5:$B$64,$A21)-$C21*$D21^2)/($C21-1))))</f>
        <v/>
      </c>
      <c r="F21" s="10">
        <f>IF(OR($A21="",NOT(ISNUMBER($C21)),$C21&lt;2,NOT(ISNUMBER($E21))),"",TINV(1-TARGET_CONFIDENCE,$C21-1)*$E21/SQRT($C21))</f>
        <v/>
      </c>
      <c r="G21" s="10">
        <f>IF(OR(NOT(ISNUMBER($F21)),NOT(ISNUMBER($D21)),$D21=0),"",$F21/$D21)</f>
        <v/>
      </c>
      <c r="H21" s="10">
        <f>TARGET_MARGIN_SOIL</f>
        <v/>
      </c>
      <c r="I21" s="10">
        <f>IF($A21="","",IF(OR(NOT(ISNUMBER($C21)),$C21&lt;2),"Cannot be assessed — at least 2 plots are needed for an interval.",IF(NOT(ISNUMBER($G21)),"",IF($G21&lt;=$H21,"MET: ±"&amp;TEXT($G21,"0%")&amp;" at "&amp;TEXT(TARGET_CONFIDENCE,"0%")&amp;" confidence","NOT MET: ±"&amp;TEXT($G21,"0%")&amp;" against a ±"&amp;TEXT($H21,"0%")&amp;" target"))))</f>
        <v/>
      </c>
      <c r="J21" s="10">
        <f>IF(OR($A21="",$C21=0),"",IFERROR(AVERAGEIFS('5. Plot Summary'!$M$5:$M$64,'5. Plot Summary'!$B$5:$B$64,$A21),""))</f>
        <v/>
      </c>
      <c r="K21" s="10">
        <f>IF(OR($A21="",NOT(ISNUMBER($C21)),$C21&lt;2,NOT(ISNUMBER($J21))),"",SQRT(MAX(0,(SUMIFS('5. Plot Summary'!$R$5:$R$64,'5. Plot Summary'!$B$5:$B$64,$A21)-$C21*$J21^2)/($C21-1))))</f>
        <v/>
      </c>
      <c r="L21" s="10">
        <f>IF(OR($A21="",NOT(ISNUMBER($C21)),$C21&lt;2,NOT(ISNUMBER($K21))),"",TINV(1-TARGET_CONFIDENCE,$C21-1)*$K21/SQRT($C21))</f>
        <v/>
      </c>
      <c r="M21" s="10">
        <f>IF(OR(NOT(ISNUMBER($L21)),NOT(ISNUMBER($J21)),$J21=0),"",$L21/$J21)</f>
        <v/>
      </c>
      <c r="N21" s="10">
        <f>TARGET_MARGIN_ROOT</f>
        <v/>
      </c>
      <c r="O21" s="10">
        <f>IF($A21="","",IF(OR(NOT(ISNUMBER($C21)),$C21&lt;2),"Cannot be assessed — at least 2 plots are needed for an interval.",IF(NOT(ISNUMBER($M21)),"No root data for this site.",IF($M21&lt;=$N21,"MET: ±"&amp;TEXT($M21,"0%")&amp;" at "&amp;TEXT(TARGET_CONFIDENCE,"0%")&amp;" confidence","NOT MET: ±"&amp;TEXT($M21,"0%")&amp;" against a ±"&amp;TEXT($N21,"0%")&amp;" target"))))</f>
        <v/>
      </c>
      <c r="P21" s="10">
        <f>IF(OR($A21="",NOT(ISNUMBER($B21))),"",(IF(ISNUMBER($D21),$D21,0)+IF(ISNUMBER($J21),$J21,0))*$B21)</f>
        <v/>
      </c>
      <c r="Q21" s="10">
        <f>IF(NOT(ISNUMBER($P21)),"",$P21*CO2E_FACTOR/1000)</f>
        <v/>
      </c>
      <c r="R21" s="11">
        <f>IF($A21="","",IF($C21=0,"No plots carry this Site ID — check it matches the Plot &amp; Site Log. ","")&amp;IF(AND(ISNUMBER($C21),$C21=1),"Only one plot: a mean can be reported but never an uncertainty. ","")&amp;IF($B21="","No site area, so no total carbon. ","")&amp;IF(AND(ISNUMBER($G21),ISNUMBER($H21),$G21&gt;$H21),"Soil precision target missed — scrutinise the data, then post-stratify on management before adding cores. ","")&amp;IF(AND(ISNUMBER($M21),ISNUMBER($N21),$M21&gt;$N21),"Root precision target missed. Roots are genuinely patchy; a wider honest interval is better than a tight unearned one. ",""))</f>
        <v/>
      </c>
    </row>
    <row r="22">
      <c r="A22" s="6" t="n"/>
      <c r="B22" s="6" t="n"/>
      <c r="C22" s="10">
        <f>IF($A22="","",COUNTIFS('5. Plot Summary'!$B$5:$B$64,$A22,'5. Plot Summary'!$N$5:$N$64,1))</f>
        <v/>
      </c>
      <c r="D22" s="10">
        <f>IF(OR($A22="",$C22=0),"",AVERAGEIFS('5. Plot Summary'!$L$5:$L$64,'5. Plot Summary'!$B$5:$B$64,$A22))</f>
        <v/>
      </c>
      <c r="E22" s="10">
        <f>IF(OR($A22="",NOT(ISNUMBER($C22)),$C22&lt;2),"",SQRT(MAX(0,(SUMIFS('5. Plot Summary'!$Q$5:$Q$64,'5. Plot Summary'!$B$5:$B$64,$A22)-$C22*$D22^2)/($C22-1))))</f>
        <v/>
      </c>
      <c r="F22" s="10">
        <f>IF(OR($A22="",NOT(ISNUMBER($C22)),$C22&lt;2,NOT(ISNUMBER($E22))),"",TINV(1-TARGET_CONFIDENCE,$C22-1)*$E22/SQRT($C22))</f>
        <v/>
      </c>
      <c r="G22" s="10">
        <f>IF(OR(NOT(ISNUMBER($F22)),NOT(ISNUMBER($D22)),$D22=0),"",$F22/$D22)</f>
        <v/>
      </c>
      <c r="H22" s="10">
        <f>TARGET_MARGIN_SOIL</f>
        <v/>
      </c>
      <c r="I22" s="10">
        <f>IF($A22="","",IF(OR(NOT(ISNUMBER($C22)),$C22&lt;2),"Cannot be assessed — at least 2 plots are needed for an interval.",IF(NOT(ISNUMBER($G22)),"",IF($G22&lt;=$H22,"MET: ±"&amp;TEXT($G22,"0%")&amp;" at "&amp;TEXT(TARGET_CONFIDENCE,"0%")&amp;" confidence","NOT MET: ±"&amp;TEXT($G22,"0%")&amp;" against a ±"&amp;TEXT($H22,"0%")&amp;" target"))))</f>
        <v/>
      </c>
      <c r="J22" s="10">
        <f>IF(OR($A22="",$C22=0),"",IFERROR(AVERAGEIFS('5. Plot Summary'!$M$5:$M$64,'5. Plot Summary'!$B$5:$B$64,$A22),""))</f>
        <v/>
      </c>
      <c r="K22" s="10">
        <f>IF(OR($A22="",NOT(ISNUMBER($C22)),$C22&lt;2,NOT(ISNUMBER($J22))),"",SQRT(MAX(0,(SUMIFS('5. Plot Summary'!$R$5:$R$64,'5. Plot Summary'!$B$5:$B$64,$A22)-$C22*$J22^2)/($C22-1))))</f>
        <v/>
      </c>
      <c r="L22" s="10">
        <f>IF(OR($A22="",NOT(ISNUMBER($C22)),$C22&lt;2,NOT(ISNUMBER($K22))),"",TINV(1-TARGET_CONFIDENCE,$C22-1)*$K22/SQRT($C22))</f>
        <v/>
      </c>
      <c r="M22" s="10">
        <f>IF(OR(NOT(ISNUMBER($L22)),NOT(ISNUMBER($J22)),$J22=0),"",$L22/$J22)</f>
        <v/>
      </c>
      <c r="N22" s="10">
        <f>TARGET_MARGIN_ROOT</f>
        <v/>
      </c>
      <c r="O22" s="10">
        <f>IF($A22="","",IF(OR(NOT(ISNUMBER($C22)),$C22&lt;2),"Cannot be assessed — at least 2 plots are needed for an interval.",IF(NOT(ISNUMBER($M22)),"No root data for this site.",IF($M22&lt;=$N22,"MET: ±"&amp;TEXT($M22,"0%")&amp;" at "&amp;TEXT(TARGET_CONFIDENCE,"0%")&amp;" confidence","NOT MET: ±"&amp;TEXT($M22,"0%")&amp;" against a ±"&amp;TEXT($N22,"0%")&amp;" target"))))</f>
        <v/>
      </c>
      <c r="P22" s="10">
        <f>IF(OR($A22="",NOT(ISNUMBER($B22))),"",(IF(ISNUMBER($D22),$D22,0)+IF(ISNUMBER($J22),$J22,0))*$B22)</f>
        <v/>
      </c>
      <c r="Q22" s="10">
        <f>IF(NOT(ISNUMBER($P22)),"",$P22*CO2E_FACTOR/1000)</f>
        <v/>
      </c>
      <c r="R22" s="11">
        <f>IF($A22="","",IF($C22=0,"No plots carry this Site ID — check it matches the Plot &amp; Site Log. ","")&amp;IF(AND(ISNUMBER($C22),$C22=1),"Only one plot: a mean can be reported but never an uncertainty. ","")&amp;IF($B22="","No site area, so no total carbon. ","")&amp;IF(AND(ISNUMBER($G22),ISNUMBER($H22),$G22&gt;$H22),"Soil precision target missed — scrutinise the data, then post-stratify on management before adding cores. ","")&amp;IF(AND(ISNUMBER($M22),ISNUMBER($N22),$M22&gt;$N22),"Root precision target missed. Roots are genuinely patchy; a wider honest interval is better than a tight unearned one. ",""))</f>
        <v/>
      </c>
    </row>
    <row r="23">
      <c r="A23" s="6" t="n"/>
      <c r="B23" s="6" t="n"/>
      <c r="C23" s="10">
        <f>IF($A23="","",COUNTIFS('5. Plot Summary'!$B$5:$B$64,$A23,'5. Plot Summary'!$N$5:$N$64,1))</f>
        <v/>
      </c>
      <c r="D23" s="10">
        <f>IF(OR($A23="",$C23=0),"",AVERAGEIFS('5. Plot Summary'!$L$5:$L$64,'5. Plot Summary'!$B$5:$B$64,$A23))</f>
        <v/>
      </c>
      <c r="E23" s="10">
        <f>IF(OR($A23="",NOT(ISNUMBER($C23)),$C23&lt;2),"",SQRT(MAX(0,(SUMIFS('5. Plot Summary'!$Q$5:$Q$64,'5. Plot Summary'!$B$5:$B$64,$A23)-$C23*$D23^2)/($C23-1))))</f>
        <v/>
      </c>
      <c r="F23" s="10">
        <f>IF(OR($A23="",NOT(ISNUMBER($C23)),$C23&lt;2,NOT(ISNUMBER($E23))),"",TINV(1-TARGET_CONFIDENCE,$C23-1)*$E23/SQRT($C23))</f>
        <v/>
      </c>
      <c r="G23" s="10">
        <f>IF(OR(NOT(ISNUMBER($F23)),NOT(ISNUMBER($D23)),$D23=0),"",$F23/$D23)</f>
        <v/>
      </c>
      <c r="H23" s="10">
        <f>TARGET_MARGIN_SOIL</f>
        <v/>
      </c>
      <c r="I23" s="10">
        <f>IF($A23="","",IF(OR(NOT(ISNUMBER($C23)),$C23&lt;2),"Cannot be assessed — at least 2 plots are needed for an interval.",IF(NOT(ISNUMBER($G23)),"",IF($G23&lt;=$H23,"MET: ±"&amp;TEXT($G23,"0%")&amp;" at "&amp;TEXT(TARGET_CONFIDENCE,"0%")&amp;" confidence","NOT MET: ±"&amp;TEXT($G23,"0%")&amp;" against a ±"&amp;TEXT($H23,"0%")&amp;" target"))))</f>
        <v/>
      </c>
      <c r="J23" s="10">
        <f>IF(OR($A23="",$C23=0),"",IFERROR(AVERAGEIFS('5. Plot Summary'!$M$5:$M$64,'5. Plot Summary'!$B$5:$B$64,$A23),""))</f>
        <v/>
      </c>
      <c r="K23" s="10">
        <f>IF(OR($A23="",NOT(ISNUMBER($C23)),$C23&lt;2,NOT(ISNUMBER($J23))),"",SQRT(MAX(0,(SUMIFS('5. Plot Summary'!$R$5:$R$64,'5. Plot Summary'!$B$5:$B$64,$A23)-$C23*$J23^2)/($C23-1))))</f>
        <v/>
      </c>
      <c r="L23" s="10">
        <f>IF(OR($A23="",NOT(ISNUMBER($C23)),$C23&lt;2,NOT(ISNUMBER($K23))),"",TINV(1-TARGET_CONFIDENCE,$C23-1)*$K23/SQRT($C23))</f>
        <v/>
      </c>
      <c r="M23" s="10">
        <f>IF(OR(NOT(ISNUMBER($L23)),NOT(ISNUMBER($J23)),$J23=0),"",$L23/$J23)</f>
        <v/>
      </c>
      <c r="N23" s="10">
        <f>TARGET_MARGIN_ROOT</f>
        <v/>
      </c>
      <c r="O23" s="10">
        <f>IF($A23="","",IF(OR(NOT(ISNUMBER($C23)),$C23&lt;2),"Cannot be assessed — at least 2 plots are needed for an interval.",IF(NOT(ISNUMBER($M23)),"No root data for this site.",IF($M23&lt;=$N23,"MET: ±"&amp;TEXT($M23,"0%")&amp;" at "&amp;TEXT(TARGET_CONFIDENCE,"0%")&amp;" confidence","NOT MET: ±"&amp;TEXT($M23,"0%")&amp;" against a ±"&amp;TEXT($N23,"0%")&amp;" target"))))</f>
        <v/>
      </c>
      <c r="P23" s="10">
        <f>IF(OR($A23="",NOT(ISNUMBER($B23))),"",(IF(ISNUMBER($D23),$D23,0)+IF(ISNUMBER($J23),$J23,0))*$B23)</f>
        <v/>
      </c>
      <c r="Q23" s="10">
        <f>IF(NOT(ISNUMBER($P23)),"",$P23*CO2E_FACTOR/1000)</f>
        <v/>
      </c>
      <c r="R23" s="11">
        <f>IF($A23="","",IF($C23=0,"No plots carry this Site ID — check it matches the Plot &amp; Site Log. ","")&amp;IF(AND(ISNUMBER($C23),$C23=1),"Only one plot: a mean can be reported but never an uncertainty. ","")&amp;IF($B23="","No site area, so no total carbon. ","")&amp;IF(AND(ISNUMBER($G23),ISNUMBER($H23),$G23&gt;$H23),"Soil precision target missed — scrutinise the data, then post-stratify on management before adding cores. ","")&amp;IF(AND(ISNUMBER($M23),ISNUMBER($N23),$M23&gt;$N23),"Root precision target missed. Roots are genuinely patchy; a wider honest interval is better than a tight unearned one. ",""))</f>
        <v/>
      </c>
    </row>
    <row r="24">
      <c r="A24" s="6" t="n"/>
      <c r="B24" s="6" t="n"/>
      <c r="C24" s="10">
        <f>IF($A24="","",COUNTIFS('5. Plot Summary'!$B$5:$B$64,$A24,'5. Plot Summary'!$N$5:$N$64,1))</f>
        <v/>
      </c>
      <c r="D24" s="10">
        <f>IF(OR($A24="",$C24=0),"",AVERAGEIFS('5. Plot Summary'!$L$5:$L$64,'5. Plot Summary'!$B$5:$B$64,$A24))</f>
        <v/>
      </c>
      <c r="E24" s="10">
        <f>IF(OR($A24="",NOT(ISNUMBER($C24)),$C24&lt;2),"",SQRT(MAX(0,(SUMIFS('5. Plot Summary'!$Q$5:$Q$64,'5. Plot Summary'!$B$5:$B$64,$A24)-$C24*$D24^2)/($C24-1))))</f>
        <v/>
      </c>
      <c r="F24" s="10">
        <f>IF(OR($A24="",NOT(ISNUMBER($C24)),$C24&lt;2,NOT(ISNUMBER($E24))),"",TINV(1-TARGET_CONFIDENCE,$C24-1)*$E24/SQRT($C24))</f>
        <v/>
      </c>
      <c r="G24" s="10">
        <f>IF(OR(NOT(ISNUMBER($F24)),NOT(ISNUMBER($D24)),$D24=0),"",$F24/$D24)</f>
        <v/>
      </c>
      <c r="H24" s="10">
        <f>TARGET_MARGIN_SOIL</f>
        <v/>
      </c>
      <c r="I24" s="10">
        <f>IF($A24="","",IF(OR(NOT(ISNUMBER($C24)),$C24&lt;2),"Cannot be assessed — at least 2 plots are needed for an interval.",IF(NOT(ISNUMBER($G24)),"",IF($G24&lt;=$H24,"MET: ±"&amp;TEXT($G24,"0%")&amp;" at "&amp;TEXT(TARGET_CONFIDENCE,"0%")&amp;" confidence","NOT MET: ±"&amp;TEXT($G24,"0%")&amp;" against a ±"&amp;TEXT($H24,"0%")&amp;" target"))))</f>
        <v/>
      </c>
      <c r="J24" s="10">
        <f>IF(OR($A24="",$C24=0),"",IFERROR(AVERAGEIFS('5. Plot Summary'!$M$5:$M$64,'5. Plot Summary'!$B$5:$B$64,$A24),""))</f>
        <v/>
      </c>
      <c r="K24" s="10">
        <f>IF(OR($A24="",NOT(ISNUMBER($C24)),$C24&lt;2,NOT(ISNUMBER($J24))),"",SQRT(MAX(0,(SUMIFS('5. Plot Summary'!$R$5:$R$64,'5. Plot Summary'!$B$5:$B$64,$A24)-$C24*$J24^2)/($C24-1))))</f>
        <v/>
      </c>
      <c r="L24" s="10">
        <f>IF(OR($A24="",NOT(ISNUMBER($C24)),$C24&lt;2,NOT(ISNUMBER($K24))),"",TINV(1-TARGET_CONFIDENCE,$C24-1)*$K24/SQRT($C24))</f>
        <v/>
      </c>
      <c r="M24" s="10">
        <f>IF(OR(NOT(ISNUMBER($L24)),NOT(ISNUMBER($J24)),$J24=0),"",$L24/$J24)</f>
        <v/>
      </c>
      <c r="N24" s="10">
        <f>TARGET_MARGIN_ROOT</f>
        <v/>
      </c>
      <c r="O24" s="10">
        <f>IF($A24="","",IF(OR(NOT(ISNUMBER($C24)),$C24&lt;2),"Cannot be assessed — at least 2 plots are needed for an interval.",IF(NOT(ISNUMBER($M24)),"No root data for this site.",IF($M24&lt;=$N24,"MET: ±"&amp;TEXT($M24,"0%")&amp;" at "&amp;TEXT(TARGET_CONFIDENCE,"0%")&amp;" confidence","NOT MET: ±"&amp;TEXT($M24,"0%")&amp;" against a ±"&amp;TEXT($N24,"0%")&amp;" target"))))</f>
        <v/>
      </c>
      <c r="P24" s="10">
        <f>IF(OR($A24="",NOT(ISNUMBER($B24))),"",(IF(ISNUMBER($D24),$D24,0)+IF(ISNUMBER($J24),$J24,0))*$B24)</f>
        <v/>
      </c>
      <c r="Q24" s="10">
        <f>IF(NOT(ISNUMBER($P24)),"",$P24*CO2E_FACTOR/1000)</f>
        <v/>
      </c>
      <c r="R24" s="11">
        <f>IF($A24="","",IF($C24=0,"No plots carry this Site ID — check it matches the Plot &amp; Site Log. ","")&amp;IF(AND(ISNUMBER($C24),$C24=1),"Only one plot: a mean can be reported but never an uncertainty. ","")&amp;IF($B24="","No site area, so no total carbon. ","")&amp;IF(AND(ISNUMBER($G24),ISNUMBER($H24),$G24&gt;$H24),"Soil precision target missed — scrutinise the data, then post-stratify on management before adding cores. ","")&amp;IF(AND(ISNUMBER($M24),ISNUMBER($N24),$M24&gt;$N24),"Root precision target missed. Roots are genuinely patchy; a wider honest interval is better than a tight unearned one. ",""))</f>
        <v/>
      </c>
    </row>
    <row r="27" ht="20" customHeight="1">
      <c r="A27" s="5" t="inlineStr">
        <is>
          <t xml:space="preserve">  STUDY AREA — all sites combined, weighted by area</t>
        </is>
      </c>
    </row>
    <row r="28">
      <c r="A28" s="3" t="inlineStr">
        <is>
          <t>Total area (m²)</t>
        </is>
      </c>
      <c r="B28">
        <f>IF(SUM($B$5:$B$24)=0,"",SUM($B$5:$B$24))</f>
        <v/>
      </c>
    </row>
    <row r="29">
      <c r="A29" s="3" t="inlineStr">
        <is>
          <t>Total carbon (kg C)</t>
        </is>
      </c>
      <c r="B29">
        <f>IF(SUM($P$5:$P$24)=0,"",SUM($P$5:$P$24))</f>
        <v/>
      </c>
    </row>
    <row r="30">
      <c r="A30" s="3" t="inlineStr">
        <is>
          <t>Area-weighted mean (kg C/m²)</t>
        </is>
      </c>
      <c r="B30">
        <f>IF(OR(NOT(ISNUMBER($B$29)),NOT(ISNUMBER($B$28)),$B$28=0),"",$B$29/$B$28)</f>
        <v/>
      </c>
    </row>
    <row r="31">
      <c r="A31" s="3" t="inlineStr">
        <is>
          <t>Total (t CO₂e)</t>
        </is>
      </c>
      <c r="B31">
        <f>IF(NOT(ISNUMBER($B$29)),"",$B$29*CO2E_FACTOR/1000)</f>
        <v/>
      </c>
    </row>
    <row r="33" ht="30" customHeight="1">
      <c r="A33" s="2" t="inlineStr">
        <is>
          <t>Basis: soil to the REPORTING DEPTH, plus measured root carbon. The site mean uses the reporting-depth figure because cores reach different depths, and averaging full-profile stocks would describe no defined depth — a plot cored shallower would look like real variability rather than a shorter core. Full-profile figures are on the Plot Summary. Vegetation is reported separately on the Plot Summary and is deliberately NOT rolled into this total — it is a standing crop, not a stock. The study-area mean weights each site by its area, which is right when sites differ in size; it does NOT propagate the per-site uncertainties into a study-area interval.</t>
        </is>
      </c>
    </row>
  </sheetData>
  <mergeCells count="4">
    <mergeCell ref="A27:R27"/>
    <mergeCell ref="A2:R2"/>
    <mergeCell ref="A33:R33"/>
    <mergeCell ref="A1:R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24"/>
  <sheetViews>
    <sheetView workbookViewId="0">
      <pane ySplit="4" topLeftCell="A5" activePane="bottomLeft" state="frozen"/>
      <selection pane="bottomLeft" activeCell="A1" sqref="A1"/>
    </sheetView>
  </sheetViews>
  <sheetFormatPr baseColWidth="8" defaultRowHeight="15"/>
  <cols>
    <col width="32" customWidth="1" min="1" max="1"/>
    <col width="12" customWidth="1" min="2" max="2"/>
    <col width="96" customWidth="1" min="3" max="3"/>
  </cols>
  <sheetData>
    <row r="1">
      <c r="A1" s="1" t="inlineStr">
        <is>
          <t>SETTINGS</t>
        </is>
      </c>
    </row>
    <row r="2" ht="32" customHeight="1">
      <c r="A2" s="2" t="inlineStr">
        <is>
          <t>Everything the calculator assumes lives here. Change it once and every sheet follows. Orange rows are values only you can supply.</t>
        </is>
      </c>
    </row>
    <row r="4" ht="46" customHeight="1">
      <c r="A4" s="14" t="inlineStr">
        <is>
          <t>Parameter</t>
        </is>
      </c>
      <c r="B4" s="14" t="inlineStr">
        <is>
          <t>Value</t>
        </is>
      </c>
      <c r="C4" s="14" t="inlineStr">
        <is>
          <t>What it does</t>
        </is>
      </c>
    </row>
    <row r="5" ht="34" customHeight="1">
      <c r="A5" s="3" t="inlineStr">
        <is>
          <t>CARBON_FRACTION_BIOMASS</t>
        </is>
      </c>
      <c r="B5" s="8" t="n">
        <v>0.5</v>
      </c>
      <c r="C5" s="4" t="inlineStr">
        <is>
          <t>Fraction of dry ABOVE-GROUND plant biomass that is carbon. 0.5 is the convention used across this series.</t>
        </is>
      </c>
    </row>
    <row r="6" ht="34" customHeight="1">
      <c r="A6" s="3" t="inlineStr">
        <is>
          <t>CARBON_FRACTION_ROOT</t>
        </is>
      </c>
      <c r="B6" s="8" t="n">
        <v>0.5</v>
      </c>
      <c r="C6" s="4" t="inlineStr">
        <is>
          <t>Fraction of dry ROOT biomass that is carbon. Set equal to the shoot value by default; published root values often run a little lower. See 'R1. Reference'.</t>
        </is>
      </c>
    </row>
    <row r="7" ht="34" customHeight="1">
      <c r="A7" s="3" t="inlineStr">
        <is>
          <t>CO2E_FACTOR</t>
        </is>
      </c>
      <c r="B7" s="9" t="n">
        <v>3.67</v>
      </c>
      <c r="C7" s="4" t="inlineStr">
        <is>
          <t>Multiply kg C by this to report CO₂ equivalents.</t>
        </is>
      </c>
    </row>
    <row r="8" ht="34" customHeight="1">
      <c r="A8" s="3" t="inlineStr">
        <is>
          <t>SOIL_REPORTING_DEPTH_CM</t>
        </is>
      </c>
      <c r="B8" s="8" t="n">
        <v>30</v>
      </c>
      <c r="C8" s="4" t="inlineStr">
        <is>
          <t>The fixed depth every core is reported to, ALONGSIDE the full profile. 30 cm is the IPCC default and what makes your number comparable. It is a floor, not the total.</t>
        </is>
      </c>
    </row>
    <row r="9" ht="34" customHeight="1">
      <c r="A9" s="3" t="inlineStr">
        <is>
          <t>ROOTS_REMOVED_BEFORE_SOIL_C</t>
        </is>
      </c>
      <c r="B9" s="8" t="inlineStr">
        <is>
          <t>Yes</t>
        </is>
      </c>
      <c r="C9" s="4" t="inlineStr">
        <is>
          <t>Were roots sieved OUT before the soil went for carbon analysis? If No, fine-root carbon is already inside the soil number and adding root carbon double counts it.</t>
        </is>
      </c>
    </row>
    <row r="10" ht="34" customHeight="1">
      <c r="A10" s="3" t="inlineStr">
        <is>
          <t>ROOT_SIEVE_MM</t>
        </is>
      </c>
      <c r="B10" s="8" t="n">
        <v>0.5</v>
      </c>
      <c r="C10" s="4" t="inlineStr">
        <is>
          <t>Finest sieve mesh used to recover roots, mm. Roots finer than this are lost, so the fine-root figure is a known underestimate and cannot be interpreted without this number.</t>
        </is>
      </c>
    </row>
    <row r="11" ht="34" customHeight="1">
      <c r="A11" s="3" t="inlineStr">
        <is>
          <t>ASH_CORRECTED</t>
        </is>
      </c>
      <c r="B11" s="8" t="inlineStr">
        <is>
          <t>No</t>
        </is>
      </c>
      <c r="C11" s="4" t="inlineStr">
        <is>
          <t>Was root mass corrected for adhering mineral soil by ashing a subsample? Uncorrected root mass is systematically too high.</t>
        </is>
      </c>
    </row>
    <row r="12" ht="34" customHeight="1">
      <c r="A12" s="3" t="inlineStr">
        <is>
          <t>ROOT_DRY_TEMP_C</t>
        </is>
      </c>
      <c r="B12" s="8" t="n">
        <v>65</v>
      </c>
      <c r="C12" s="4" t="inlineStr">
        <is>
          <t>Temperature roots were dried at. Roots dry at 60–70 °C; soil bulk density at 105 °C.</t>
        </is>
      </c>
    </row>
    <row r="13" ht="34" customHeight="1">
      <c r="A13" s="3" t="inlineStr">
        <is>
          <t>PEAK_SEASON_SAMPLED</t>
        </is>
      </c>
      <c r="B13" s="8" t="inlineStr">
        <is>
          <t>No</t>
        </is>
      </c>
      <c r="C13" s="4" t="inlineStr">
        <is>
          <t>Was above-ground vegetation clipped at peak growing season? Off-peak, a standing crop is not comparable to anything.</t>
        </is>
      </c>
    </row>
    <row r="14" ht="34" customHeight="1">
      <c r="A14" s="3" t="inlineStr">
        <is>
          <t>TREE_COVER_THRESHOLD_PCT</t>
        </is>
      </c>
      <c r="B14" s="8" t="n">
        <v>25</v>
      </c>
      <c r="C14" s="4" t="inlineStr">
        <is>
          <t>Canopy cover at or above which the Forests tree protocol applies. 25% matches the Wetlands treed-swamp rule. Savannah sits on this boundary by definition.</t>
        </is>
      </c>
    </row>
    <row r="15" ht="34" customHeight="1">
      <c r="A15" s="3" t="inlineStr">
        <is>
          <t>SMALL_PLOT_AREA_M2</t>
        </is>
      </c>
      <c r="B15" s="9" t="n">
        <v>0.25</v>
      </c>
      <c r="C15" s="4" t="inlineStr">
        <is>
          <t>Default clip-and-weigh quadrat area. 0.25 m², or a circle of radius 0.28 m.</t>
        </is>
      </c>
    </row>
    <row r="16" ht="34" customHeight="1">
      <c r="A16" s="3" t="inlineStr">
        <is>
          <t>MEDIUM_PLOT_AREA_M2</t>
        </is>
      </c>
      <c r="B16" s="9" t="n">
        <v>100</v>
      </c>
      <c r="C16" s="4" t="inlineStr">
        <is>
          <t>Default medium (shrub) plot area. 16–100 m².</t>
        </is>
      </c>
    </row>
    <row r="17" ht="34" customHeight="1">
      <c r="A17" s="3" t="inlineStr">
        <is>
          <t>LARGE_PLOT_AREA_M2</t>
        </is>
      </c>
      <c r="B17" s="9" t="n">
        <v>400</v>
      </c>
      <c r="C17" s="4" t="inlineStr">
        <is>
          <t>Default large (tree) plot area.</t>
        </is>
      </c>
    </row>
    <row r="18" ht="34" customHeight="1">
      <c r="A18" s="3" t="inlineStr">
        <is>
          <t>TARGET_MARGIN_SOIL</t>
        </is>
      </c>
      <c r="B18" s="8" t="n">
        <v>0.2</v>
      </c>
      <c r="C18" s="4" t="inlineStr">
        <is>
          <t>Precision target for SOIL carbon, as a fraction of the mean.</t>
        </is>
      </c>
    </row>
    <row r="19" ht="34" customHeight="1">
      <c r="A19" s="3" t="inlineStr">
        <is>
          <t>TARGET_MARGIN_ROOT</t>
        </is>
      </c>
      <c r="B19" s="8" t="n">
        <v>0.4</v>
      </c>
      <c r="C19" s="4" t="inlineStr">
        <is>
          <t>Precision target for ROOT biomass. Deliberately looser than soil — roots are far more variable, so the same target would need four to five times the cores. See Part 2, A10.</t>
        </is>
      </c>
    </row>
    <row r="20" ht="34" customHeight="1">
      <c r="A20" s="3" t="inlineStr">
        <is>
          <t>TARGET_CONFIDENCE</t>
        </is>
      </c>
      <c r="B20" s="9" t="n">
        <v>0.9</v>
      </c>
      <c r="C20" s="4" t="inlineStr">
        <is>
          <t>Confidence level for the targets and all reported intervals.</t>
        </is>
      </c>
    </row>
    <row r="21" ht="34" customHeight="1">
      <c r="A21" s="3" t="inlineStr">
        <is>
          <t>QC_BD_MIN</t>
        </is>
      </c>
      <c r="B21" s="9" t="n">
        <v>0.6</v>
      </c>
      <c r="C21" s="4" t="inlineStr">
        <is>
          <t>Minimum plausible bulk density for a mineral grassland soil, g/cm³.</t>
        </is>
      </c>
    </row>
    <row r="22" ht="34" customHeight="1">
      <c r="A22" s="3" t="inlineStr">
        <is>
          <t>QC_BD_MAX</t>
        </is>
      </c>
      <c r="B22" s="9" t="n">
        <v>1.8</v>
      </c>
      <c r="C22" s="4" t="inlineStr">
        <is>
          <t>Maximum plausible bulk density, g/cm³. Above this suggests a compacted or mis-measured sample.</t>
        </is>
      </c>
    </row>
    <row r="23" ht="34" customHeight="1">
      <c r="A23" s="3" t="inlineStr">
        <is>
          <t>QC_CARBON_PCT_MAX</t>
        </is>
      </c>
      <c r="B23" s="9" t="n">
        <v>20</v>
      </c>
      <c r="C23" s="4" t="inlineStr">
        <is>
          <t>Flag soil organic carbon above this per cent. Grassland topsoil usually runs 2–8%; much higher suggests an organic horizon or a units error.</t>
        </is>
      </c>
    </row>
    <row r="24" ht="34" customHeight="1">
      <c r="A24" s="3" t="inlineStr">
        <is>
          <t>QC_RECOVERY_MIN</t>
        </is>
      </c>
      <c r="B24" s="9" t="n">
        <v>0.9</v>
      </c>
      <c r="C24" s="4" t="inlineStr">
        <is>
          <t>Minimum acceptable ratio of core length recovered to depth driven.</t>
        </is>
      </c>
    </row>
  </sheetData>
  <mergeCells count="2">
    <mergeCell ref="A1:C1"/>
    <mergeCell ref="A2:C2"/>
  </mergeCells>
  <dataValidations count="3">
    <dataValidation sqref="B9" showDropDown="0" showInputMessage="0" showErrorMessage="0" allowBlank="1" type="list">
      <formula1>"Yes,No"</formula1>
    </dataValidation>
    <dataValidation sqref="B11" showDropDown="0" showInputMessage="0" showErrorMessage="0" allowBlank="1" type="list">
      <formula1>"Yes,No"</formula1>
    </dataValidation>
    <dataValidation sqref="B13"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26"/>
  <sheetViews>
    <sheetView workbookViewId="0">
      <pane ySplit="4" topLeftCell="A5" activePane="bottomLeft" state="frozen"/>
      <selection pane="bottomLeft" activeCell="A1" sqref="A1"/>
    </sheetView>
  </sheetViews>
  <sheetFormatPr baseColWidth="8" defaultRowHeight="15"/>
  <cols>
    <col width="32" customWidth="1" min="1" max="1"/>
    <col width="18" customWidth="1" min="2" max="2"/>
    <col width="54" customWidth="1" min="3" max="3"/>
    <col width="14" customWidth="1" min="4" max="4"/>
    <col width="62" customWidth="1" min="5" max="5"/>
  </cols>
  <sheetData>
    <row r="1">
      <c r="A1" s="1" t="inlineStr">
        <is>
          <t>FILL ME IN</t>
        </is>
      </c>
    </row>
    <row r="2" ht="32" customHeight="1">
      <c r="A2" s="2" t="inlineStr">
        <is>
          <t>Every value in this workbook that only you can supply, in one list. Each has a working default, so the workbook computes from the moment you open it — but the defaults are assumptions, and each one stays flagged until you replace it.</t>
        </is>
      </c>
    </row>
    <row r="4" ht="46" customHeight="1">
      <c r="A4" s="14" t="inlineStr">
        <is>
          <t>What</t>
        </is>
      </c>
      <c r="B4" s="14" t="inlineStr">
        <is>
          <t>Where it lives</t>
        </is>
      </c>
      <c r="C4" s="14" t="inlineStr">
        <is>
          <t>What it is</t>
        </is>
      </c>
      <c r="D4" s="14" t="inlineStr">
        <is>
          <t>Default</t>
        </is>
      </c>
      <c r="E4" s="14" t="inlineStr">
        <is>
          <t>What happens if you leave it</t>
        </is>
      </c>
    </row>
    <row r="5" ht="42" customHeight="1">
      <c r="A5" s="3" t="inlineStr">
        <is>
          <t>TREE_COVER_THRESHOLD_PCT</t>
        </is>
      </c>
      <c r="B5" s="15" t="inlineStr">
        <is>
          <t>7. Settings</t>
        </is>
      </c>
      <c r="C5" s="4" t="inlineStr">
        <is>
          <t>Canopy cover at or above which the Forests tree protocol applies.</t>
        </is>
      </c>
      <c r="D5" s="8" t="inlineStr">
        <is>
          <t>25</t>
        </is>
      </c>
      <c r="E5" s="4" t="inlineStr">
        <is>
          <t>Savannah plots sit right on this boundary, so the choice changes whether trees are counted at all.</t>
        </is>
      </c>
    </row>
    <row r="6" ht="42" customHeight="1">
      <c r="A6" s="3" t="inlineStr">
        <is>
          <t>CARBON_FRACTION_BIOMASS</t>
        </is>
      </c>
      <c r="B6" s="15" t="inlineStr">
        <is>
          <t>7. Settings</t>
        </is>
      </c>
      <c r="C6" s="4" t="inlineStr">
        <is>
          <t>Fraction of dry above-ground plant biomass that is carbon.</t>
        </is>
      </c>
      <c r="D6" s="8" t="inlineStr">
        <is>
          <t>0.5</t>
        </is>
      </c>
      <c r="E6" s="4" t="inlineStr">
        <is>
          <t>A generic default. Fine for most purposes; calibrate if you have CHN on plant tissue.</t>
        </is>
      </c>
    </row>
    <row r="7" ht="42" customHeight="1">
      <c r="A7" s="3" t="inlineStr">
        <is>
          <t>CARBON_FRACTION_ROOT</t>
        </is>
      </c>
      <c r="B7" s="15" t="inlineStr">
        <is>
          <t>7. Settings</t>
        </is>
      </c>
      <c r="C7" s="4" t="inlineStr">
        <is>
          <t>Fraction of dry root biomass that is carbon.</t>
        </is>
      </c>
      <c r="D7" s="8" t="inlineStr">
        <is>
          <t>0.5</t>
        </is>
      </c>
      <c r="E7" s="4" t="inlineStr">
        <is>
          <t>Set equal to the shoot value by default. Published root values often run a little lower.</t>
        </is>
      </c>
    </row>
    <row r="8" ht="42" customHeight="1">
      <c r="A8" s="3" t="inlineStr">
        <is>
          <t>ROOTS_REMOVED_BEFORE_SOIL_C</t>
        </is>
      </c>
      <c r="B8" s="15" t="inlineStr">
        <is>
          <t>7. Settings</t>
        </is>
      </c>
      <c r="C8" s="4" t="inlineStr">
        <is>
          <t>Were roots sieved OUT before the soil was analysed for carbon?</t>
        </is>
      </c>
      <c r="D8" s="8" t="inlineStr">
        <is>
          <t>Yes</t>
        </is>
      </c>
      <c r="E8" s="4" t="inlineStr">
        <is>
          <t>If No, fine-root carbon is already inside the soil number and adding root carbon DOUBLE COUNTS it.</t>
        </is>
      </c>
    </row>
    <row r="9" ht="42" customHeight="1">
      <c r="A9" s="3" t="inlineStr">
        <is>
          <t>ROOT_SIEVE_MM</t>
        </is>
      </c>
      <c r="B9" s="15" t="inlineStr">
        <is>
          <t>7. Settings</t>
        </is>
      </c>
      <c r="C9" s="4" t="inlineStr">
        <is>
          <t>Finest sieve mesh used to recover roots, in mm.</t>
        </is>
      </c>
      <c r="D9" s="8" t="inlineStr">
        <is>
          <t>0.5</t>
        </is>
      </c>
      <c r="E9" s="4" t="inlineStr">
        <is>
          <t>Roots finer than the mesh are lost. Without this number the fine-root figure cannot be interpreted.</t>
        </is>
      </c>
    </row>
    <row r="10" ht="42" customHeight="1">
      <c r="A10" s="3" t="inlineStr">
        <is>
          <t>ASH_CORRECTED</t>
        </is>
      </c>
      <c r="B10" s="15" t="inlineStr">
        <is>
          <t>7. Settings</t>
        </is>
      </c>
      <c r="C10" s="4" t="inlineStr">
        <is>
          <t>Was root mass corrected for adhering mineral soil by ashing?</t>
        </is>
      </c>
      <c r="D10" s="8" t="inlineStr">
        <is>
          <t>No</t>
        </is>
      </c>
      <c r="E10" s="4" t="inlineStr">
        <is>
          <t>Uncorrected root mass is systematically TOO HIGH, badly so in clay soils.</t>
        </is>
      </c>
    </row>
    <row r="11" ht="42" customHeight="1">
      <c r="A11" s="3" t="inlineStr">
        <is>
          <t>ROOT_DRY_TEMP_C</t>
        </is>
      </c>
      <c r="B11" s="15" t="inlineStr">
        <is>
          <t>7. Settings</t>
        </is>
      </c>
      <c r="C11" s="4" t="inlineStr">
        <is>
          <t>Temperature roots were dried at, in degrees C.</t>
        </is>
      </c>
      <c r="D11" s="8" t="inlineStr">
        <is>
          <t>65</t>
        </is>
      </c>
      <c r="E11" s="4" t="inlineStr">
        <is>
          <t>Roots dry at 60-70 C; soil bulk density at 105 C. Confusing the two biases root mass.</t>
        </is>
      </c>
    </row>
    <row r="12" ht="42" customHeight="1">
      <c r="A12" s="3" t="inlineStr">
        <is>
          <t>PEAK_SEASON_SAMPLED</t>
        </is>
      </c>
      <c r="B12" s="15" t="inlineStr">
        <is>
          <t>7. Settings</t>
        </is>
      </c>
      <c r="C12" s="4" t="inlineStr">
        <is>
          <t>Was above-ground vegetation clipped at peak growing season?</t>
        </is>
      </c>
      <c r="D12" s="8" t="inlineStr">
        <is>
          <t>No</t>
        </is>
      </c>
      <c r="E12" s="4" t="inlineStr">
        <is>
          <t>A standing crop measured off-peak is not comparable to anything, including your own next visit.</t>
        </is>
      </c>
    </row>
    <row r="13" ht="42" customHeight="1">
      <c r="A13" s="3" t="inlineStr">
        <is>
          <t>SOIL_REPORTING_DEPTH_CM</t>
        </is>
      </c>
      <c r="B13" s="15" t="inlineStr">
        <is>
          <t>7. Settings</t>
        </is>
      </c>
      <c r="C13" s="4" t="inlineStr">
        <is>
          <t>The fixed depth every core is reported to, alongside the full profile.</t>
        </is>
      </c>
      <c r="D13" s="8" t="inlineStr">
        <is>
          <t>30</t>
        </is>
      </c>
      <c r="E13" s="4" t="inlineStr">
        <is>
          <t>30 cm is the comparability depth. It is a FLOOR, not the total.</t>
        </is>
      </c>
    </row>
    <row r="14" ht="42" customHeight="1">
      <c r="A14" s="3" t="inlineStr">
        <is>
          <t>TARGET_MARGIN_SOIL</t>
        </is>
      </c>
      <c r="B14" s="15" t="inlineStr">
        <is>
          <t>7. Settings</t>
        </is>
      </c>
      <c r="C14" s="4" t="inlineStr">
        <is>
          <t>Precision target for soil carbon, as a fraction of the mean.</t>
        </is>
      </c>
      <c r="D14" s="8" t="inlineStr">
        <is>
          <t>0.2</t>
        </is>
      </c>
      <c r="E14" s="4" t="inlineStr">
        <is>
          <t>Set in Part 2. The Site Summary checks achieved precision against it.</t>
        </is>
      </c>
    </row>
    <row r="15" ht="42" customHeight="1">
      <c r="A15" s="3" t="inlineStr">
        <is>
          <t>TARGET_MARGIN_ROOT</t>
        </is>
      </c>
      <c r="B15" s="15" t="inlineStr">
        <is>
          <t>7. Settings</t>
        </is>
      </c>
      <c r="C15" s="4" t="inlineStr">
        <is>
          <t>Precision target for root biomass, as a fraction of the mean.</t>
        </is>
      </c>
      <c r="D15" s="8" t="inlineStr">
        <is>
          <t>0.4</t>
        </is>
      </c>
      <c r="E15" s="4" t="inlineStr">
        <is>
          <t>Deliberately looser than soil: roots are far more variable, so the same target would need 4-5x the cores.</t>
        </is>
      </c>
    </row>
    <row r="16" ht="42" customHeight="1">
      <c r="A16" s="3" t="inlineStr">
        <is>
          <t>Regional SOC prior (mean)</t>
        </is>
      </c>
      <c r="B16" s="15" t="inlineStr">
        <is>
          <t>8. Fill Me In</t>
        </is>
      </c>
      <c r="C16" s="4" t="inlineStr">
        <is>
          <t>Expected soil carbon for your region, kg C/m2, used when planning.</t>
        </is>
      </c>
      <c r="D16" s="8" t="inlineStr">
        <is>
          <t>(none)</t>
        </is>
      </c>
      <c r="E16" s="4" t="inlineStr">
        <is>
          <t>Planning only -- does not affect any calculated result. Without it, Part 2's sample size is a guess.</t>
        </is>
      </c>
    </row>
    <row r="17" ht="42" customHeight="1">
      <c r="A17" s="3" t="inlineStr">
        <is>
          <t>Regional SOC prior (CV)</t>
        </is>
      </c>
      <c r="B17" s="15" t="inlineStr">
        <is>
          <t>8. Fill Me In</t>
        </is>
      </c>
      <c r="C17" s="4" t="inlineStr">
        <is>
          <t>Expected coefficient of variation for soil carbon in your region.</t>
        </is>
      </c>
      <c r="D17" s="8" t="inlineStr">
        <is>
          <t>(none)</t>
        </is>
      </c>
      <c r="E17" s="4" t="inlineStr">
        <is>
          <t>As above. A map-derived CV must be inflated before use -- see Part 2.</t>
        </is>
      </c>
    </row>
    <row r="18" ht="42" customHeight="1">
      <c r="A18" s="3" t="inlineStr">
        <is>
          <t>Regional root CV prior</t>
        </is>
      </c>
      <c r="B18" s="15" t="inlineStr">
        <is>
          <t>8. Fill Me In</t>
        </is>
      </c>
      <c r="C18" s="4" t="inlineStr">
        <is>
          <t>Expected coefficient of variation for root biomass.</t>
        </is>
      </c>
      <c r="D18" s="8" t="inlineStr">
        <is>
          <t>(none)</t>
        </is>
      </c>
      <c r="E18" s="4" t="inlineStr">
        <is>
          <t>Roots typically 0.5-1.0+. Drives the separate root sample size.</t>
        </is>
      </c>
    </row>
    <row r="19" ht="42" customHeight="1">
      <c r="A19" s="3" t="inlineStr">
        <is>
          <t>Lab bulk-density basis</t>
        </is>
      </c>
      <c r="B19" s="15" t="inlineStr">
        <is>
          <t>2. Soil Data</t>
        </is>
      </c>
      <c r="C19" s="4" t="inlineStr">
        <is>
          <t>Which basis your lab reports bulk density on. Column L, per row.</t>
        </is>
      </c>
      <c r="D19" s="8" t="inlineStr">
        <is>
          <t>Not confirmed</t>
        </is>
      </c>
      <c r="E19" s="4" t="inlineStr">
        <is>
          <t>Getting this wrong understates a stony site by up to a third -- or double-corrects it.</t>
        </is>
      </c>
    </row>
    <row r="21" ht="20" customHeight="1">
      <c r="A21" s="12" t="inlineStr">
        <is>
          <t>PLANNING PRIORS — not used in any calculation, recorded so the design is auditable</t>
        </is>
      </c>
    </row>
    <row r="22">
      <c r="A22" s="3" t="inlineStr">
        <is>
          <t>Regional SOC prior — mean (kg C/m²)</t>
        </is>
      </c>
      <c r="D22" s="8" t="n"/>
    </row>
    <row r="23">
      <c r="A23" s="3" t="inlineStr">
        <is>
          <t>Regional SOC prior — CV</t>
        </is>
      </c>
      <c r="D23" s="8" t="n"/>
    </row>
    <row r="24">
      <c r="A24" s="3" t="inlineStr">
        <is>
          <t>Regional root CV prior</t>
        </is>
      </c>
      <c r="D24" s="8" t="n"/>
    </row>
    <row r="25">
      <c r="A25" s="3" t="inlineStr">
        <is>
          <t>Source of the above</t>
        </is>
      </c>
      <c r="D25" s="8" t="n"/>
    </row>
    <row r="26" ht="30" customHeight="1">
      <c r="A26" s="2" t="inlineStr">
        <is>
          <t>Part 2 sizes the campaign from these. A CV read off a modelled map understates plot-scale variance and must be inflated — or replaced with a pilot estimate — before it sizes anything.</t>
        </is>
      </c>
    </row>
  </sheetData>
  <mergeCells count="4">
    <mergeCell ref="A2:E2"/>
    <mergeCell ref="A1:E1"/>
    <mergeCell ref="A26:E26"/>
    <mergeCell ref="A21:E2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30"/>
  <sheetViews>
    <sheetView workbookViewId="0">
      <pane ySplit="26" topLeftCell="A27" activePane="bottomLeft" state="frozen"/>
      <selection pane="bottomLeft" activeCell="A1" sqref="A1"/>
    </sheetView>
  </sheetViews>
  <sheetFormatPr baseColWidth="8" defaultRowHeight="15"/>
  <cols>
    <col width="24" customWidth="1" min="1" max="1"/>
    <col width="30" customWidth="1" min="2" max="2"/>
    <col width="74" customWidth="1" min="3" max="3"/>
    <col width="18" customWidth="1" min="4" max="4"/>
  </cols>
  <sheetData>
    <row r="1">
      <c r="A1" s="1" t="inlineStr">
        <is>
          <t>REFERENCE TABLES</t>
        </is>
      </c>
    </row>
    <row r="2" ht="32" customHeight="1">
      <c r="A2" s="2" t="inlineStr">
        <is>
          <t>Lookups and the published ranges behind the defaults.</t>
        </is>
      </c>
    </row>
    <row r="4" ht="20" customHeight="1">
      <c r="A4" s="5" t="inlineStr">
        <is>
          <t>CARBON FRACTION OF DRY BIOMASS</t>
        </is>
      </c>
    </row>
    <row r="5" ht="30" customHeight="1">
      <c r="A5" s="2" t="inlineStr">
        <is>
          <t>The workbook defaults to 0.5 for both shoots and roots. Root tissue is often reported a little lower than shoot tissue. Calibrate against CHN if you can.</t>
        </is>
      </c>
    </row>
    <row r="6" ht="46" customHeight="1">
      <c r="A6" s="14" t="inlineStr">
        <is>
          <t>Factor</t>
        </is>
      </c>
      <c r="B6" s="14" t="inlineStr">
        <is>
          <t>Source</t>
        </is>
      </c>
      <c r="C6" s="14" t="inlineStr">
        <is>
          <t>Note</t>
        </is>
      </c>
      <c r="D6" s="14" t="inlineStr"/>
    </row>
    <row r="7" ht="26" customHeight="1">
      <c r="A7" s="3" t="inlineStr">
        <is>
          <t>0.50</t>
        </is>
      </c>
      <c r="B7" s="15" t="inlineStr">
        <is>
          <t>This workshop / WWF guides</t>
        </is>
      </c>
      <c r="C7" s="4" t="inlineStr">
        <is>
          <t>Dry plant biomass taken as 50% carbon. The default here.</t>
        </is>
      </c>
    </row>
    <row r="8" ht="26" customHeight="1">
      <c r="A8" s="3" t="inlineStr">
        <is>
          <t>0.45-0.50</t>
        </is>
      </c>
      <c r="B8" s="15" t="inlineStr">
        <is>
          <t>Commonly reported for roots</t>
        </is>
      </c>
      <c r="C8" s="4" t="inlineStr">
        <is>
          <t>Root tissue carbon fraction is often reported a little BELOW shoot tissue.</t>
        </is>
      </c>
    </row>
    <row r="9" ht="26" customHeight="1">
      <c r="A9" s="3" t="inlineStr">
        <is>
          <t>0.58</t>
        </is>
      </c>
      <c r="B9" s="15" t="inlineStr">
        <is>
          <t>van Bemmelen (historical)</t>
        </is>
      </c>
      <c r="C9" s="4" t="inlineStr">
        <is>
          <t>Long-standing general soil factor; considered too high for many soils.</t>
        </is>
      </c>
    </row>
    <row r="10" ht="26" customHeight="1">
      <c r="A10" s="3" t="inlineStr">
        <is>
          <t>0.40-0.60</t>
        </is>
      </c>
      <c r="B10" s="15" t="inlineStr">
        <is>
          <t>Varies with material and decomposition</t>
        </is>
      </c>
      <c r="C10" s="4" t="inlineStr">
        <is>
          <t>Which is why a local calibration against CHN is worth doing.</t>
        </is>
      </c>
    </row>
    <row r="12" ht="20" customHeight="1">
      <c r="A12" s="5" t="inlineStr">
        <is>
          <t>BULK DENSITY BASIS — and the double-correction trap</t>
        </is>
      </c>
    </row>
    <row r="13" ht="30" customHeight="1">
      <c r="A13" s="2" t="inlineStr">
        <is>
          <t>Rocks hold no carbon. Labs report bulk density on one of two bases and they are NOT interchangeable. Correcting twice understates a stony site by as much as a third; not correcting at all overstates it by the same.</t>
        </is>
      </c>
    </row>
    <row r="14" ht="46" customHeight="1">
      <c r="A14" s="14" t="inlineStr">
        <is>
          <t>Basis</t>
        </is>
      </c>
      <c r="B14" s="14" t="inlineStr">
        <is>
          <t>Meaning</t>
        </is>
      </c>
      <c r="C14" s="14" t="inlineStr">
        <is>
          <t>What the workbook does</t>
        </is>
      </c>
      <c r="D14" s="14" t="inlineStr"/>
    </row>
    <row r="15" ht="32" customHeight="1">
      <c r="A15" s="3" t="inlineStr">
        <is>
          <t>Fine earth / total volume</t>
        </is>
      </c>
      <c r="B15" s="4" t="inlineStr">
        <is>
          <t>Mass of the &lt;2 mm fraction divided by the WHOLE sample volume.</t>
        </is>
      </c>
      <c r="C15" s="4" t="inlineStr">
        <is>
          <t>Uses it as-is. Coarse fragments are already accounted for.</t>
        </is>
      </c>
    </row>
    <row r="16" ht="32" customHeight="1">
      <c r="A16" s="3" t="inlineStr">
        <is>
          <t>Fine earth / fine-earth volume</t>
        </is>
      </c>
      <c r="B16" s="4" t="inlineStr">
        <is>
          <t>Mass of the &lt;2 mm fraction divided by only the volume that fraction occupies.</t>
        </is>
      </c>
      <c r="C16" s="4" t="inlineStr">
        <is>
          <t>Multiplies by (1 − coarse fragment %) to convert to a total-volume basis.</t>
        </is>
      </c>
    </row>
    <row r="17" ht="32" customHeight="1">
      <c r="A17" s="3" t="inlineStr">
        <is>
          <t>Not confirmed</t>
        </is>
      </c>
      <c r="B17" s="4" t="inlineStr">
        <is>
          <t>You have not asked the lab yet.</t>
        </is>
      </c>
      <c r="C17" s="4" t="inlineStr">
        <is>
          <t>Uses the value as-is AND raises a flag. Ask the lab.</t>
        </is>
      </c>
    </row>
    <row r="19" ht="20" customHeight="1">
      <c r="A19" s="5" t="inlineStr">
        <is>
          <t>ROOT DIAMETER CLASSES</t>
        </is>
      </c>
    </row>
    <row r="20" ht="30" customHeight="1">
      <c r="A20" s="2" t="inlineStr">
        <is>
          <t>The ≤2 mm cutoff for 'fine' roots is near-universal and functionally arbitrary — it lumps absorptive roots that live weeks with transport roots that live years. The workshop keeps it because a field crew can apply it consistently with a sieve, not because it is a biological boundary.</t>
        </is>
      </c>
    </row>
    <row r="21" ht="46" customHeight="1">
      <c r="A21" s="14" t="inlineStr">
        <is>
          <t>Class</t>
        </is>
      </c>
      <c r="B21" s="14" t="inlineStr">
        <is>
          <t>Turnover</t>
        </is>
      </c>
      <c r="C21" s="14" t="inlineStr">
        <is>
          <t>Where the carbon goes</t>
        </is>
      </c>
      <c r="D21" s="14" t="inlineStr">
        <is>
          <t>Recovery from a core</t>
        </is>
      </c>
    </row>
    <row r="22" ht="30" customHeight="1">
      <c r="A22" s="3" t="inlineStr">
        <is>
          <t>≤ 2 mm (fine)</t>
        </is>
      </c>
      <c r="B22" s="4" t="inlineStr">
        <is>
          <t>Fast — much of it annual</t>
        </is>
      </c>
      <c r="C22" s="4" t="inlineStr">
        <is>
          <t>Straight into soil organic matter</t>
        </is>
      </c>
      <c r="D22" s="4" t="inlineStr">
        <is>
          <t>POOR — the finest pass through the sieve and are lost</t>
        </is>
      </c>
    </row>
    <row r="23" ht="30" customHeight="1">
      <c r="A23" s="3" t="inlineStr">
        <is>
          <t>&gt; 2 mm (coarse)</t>
        </is>
      </c>
      <c r="B23" s="4" t="inlineStr">
        <is>
          <t>Slow</t>
        </is>
      </c>
      <c r="C23" s="4" t="inlineStr">
        <is>
          <t>Stays as biomass for years</t>
        </is>
      </c>
      <c r="D23" s="4" t="inlineStr">
        <is>
          <t>Good</t>
        </is>
      </c>
    </row>
    <row r="25" ht="20" customHeight="1">
      <c r="A25" s="5" t="inlineStr">
        <is>
          <t>GRASSLAND TYPES</t>
        </is>
      </c>
    </row>
    <row r="26" ht="46" customHeight="1">
      <c r="A26" s="14" t="inlineStr">
        <is>
          <t>Type</t>
        </is>
      </c>
      <c r="B26" s="14" t="inlineStr">
        <is>
          <t>Character</t>
        </is>
      </c>
      <c r="C26" s="14" t="inlineStr">
        <is>
          <t>What changes in the method</t>
        </is>
      </c>
      <c r="D26" s="14" t="inlineStr"/>
    </row>
    <row r="27" ht="30" customHeight="1">
      <c r="A27" s="3" t="inlineStr">
        <is>
          <t>Prairie</t>
        </is>
      </c>
      <c r="B27" s="4" t="inlineStr">
        <is>
          <t>Mixed-grass, fescue. Deep dark soils.</t>
        </is>
      </c>
      <c r="C27" s="4" t="inlineStr">
        <is>
          <t>The baseline case. Stratify on grazing and management first.</t>
        </is>
      </c>
    </row>
    <row r="28" ht="30" customHeight="1">
      <c r="A28" s="3" t="inlineStr">
        <is>
          <t>Aspen parkland</t>
        </is>
      </c>
      <c r="B28" s="4" t="inlineStr">
        <is>
          <t>Grassland matrix with aspen groves.</t>
        </is>
      </c>
      <c r="C28" s="4" t="inlineStr">
        <is>
          <t>Shrub/medium plot carries more weight; the boundary with Forests matters.</t>
        </is>
      </c>
    </row>
    <row r="29" ht="30" customHeight="1">
      <c r="A29" s="3" t="inlineStr">
        <is>
          <t>Black Oak savannah</t>
        </is>
      </c>
      <c r="B29" s="4" t="inlineStr">
        <is>
          <t>Scattered open-grown oaks; fire-maintained; sandy soils.</t>
        </is>
      </c>
      <c r="C29" s="4" t="inlineStr">
        <is>
          <t>Tree protocol applies. Fire history is a stratification variable, not context.</t>
        </is>
      </c>
    </row>
    <row r="30" ht="30" customHeight="1">
      <c r="A30" s="3" t="inlineStr">
        <is>
          <t>Interior BC bunchgrass</t>
        </is>
      </c>
      <c r="B30" s="4" t="inlineStr">
        <is>
          <t>Semi-arid; shallow soils; coarse fragments common.</t>
        </is>
      </c>
      <c r="C30" s="4" t="inlineStr">
        <is>
          <t>The coarse-fragment correction is mandatory. Shallow-soil method; record depth to refusal.</t>
        </is>
      </c>
    </row>
  </sheetData>
  <mergeCells count="9">
    <mergeCell ref="A1:D1"/>
    <mergeCell ref="A5:D5"/>
    <mergeCell ref="A12:D12"/>
    <mergeCell ref="A4:D4"/>
    <mergeCell ref="A20:D20"/>
    <mergeCell ref="A25:D25"/>
    <mergeCell ref="A2:D2"/>
    <mergeCell ref="A19:D19"/>
    <mergeCell ref="A13:D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2026-09-21T15:36:52Z</dcterms:created>
  <dcterms:modified xmlns:dcterms="http://purl.org/dc/terms/" xmlns:xsi="http://www.w3.org/2001/XMLSchema-instance" xsi:type="dcterms:W3CDTF">2026-09-21T15:36:54Z</dcterms:modified>
</cp:coreProperties>
</file>